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3dc7f231aa9e1eb/Documents/James Personal/Life Stuffs/"/>
    </mc:Choice>
  </mc:AlternateContent>
  <xr:revisionPtr revIDLastSave="44" documentId="8_{AF18D75D-FC05-47F8-ABF9-E2C5477389A8}" xr6:coauthVersionLast="47" xr6:coauthVersionMax="47" xr10:uidLastSave="{EEA09480-2310-4411-AE5F-4B80238562BA}"/>
  <bookViews>
    <workbookView xWindow="-28908" yWindow="-108" windowWidth="29016" windowHeight="15816" xr2:uid="{D0A98E5A-058D-4A38-8BEE-AC739CFB0A6B}"/>
  </bookViews>
  <sheets>
    <sheet name="Overview" sheetId="1" r:id="rId1"/>
    <sheet name="Wealth" sheetId="13" state="hidden" r:id="rId2"/>
    <sheet name="Salary &amp; Spend" sheetId="4" r:id="rId3"/>
    <sheet name="Expenses" sheetId="12" state="hidden" r:id="rId4"/>
    <sheet name="Saving_Invest Forecaster" sheetId="18" r:id="rId5"/>
    <sheet name="Personal Investment" sheetId="2" r:id="rId6"/>
    <sheet name="US Transaction" sheetId="8" state="hidden" r:id="rId7"/>
    <sheet name="US Calculation" sheetId="9" state="hidden" r:id="rId8"/>
    <sheet name="US Portfolio" sheetId="10" r:id="rId9"/>
    <sheet name="Australian Transaction" sheetId="5" state="hidden" r:id="rId10"/>
    <sheet name="AUS Calculations" sheetId="6" state="hidden" r:id="rId11"/>
    <sheet name="AUS Portfolio" sheetId="7" state="hidden" r:id="rId12"/>
    <sheet name="Australian MTransaction" sheetId="16" state="hidden" r:id="rId13"/>
    <sheet name="AUS MCalculations" sheetId="17" state="hidden" r:id="rId14"/>
    <sheet name="AUS Margin Portfolio" sheetId="15" r:id="rId15"/>
    <sheet name="Securities List" sheetId="14" state="hidden" r:id="rId16"/>
    <sheet name="Joint Portfolio" sheetId="11" state="hidden" r:id="rId17"/>
    <sheet name="Super Investment" sheetId="3" r:id="rId18"/>
  </sheets>
  <definedNames>
    <definedName name="CodeLabel">OFFSET('Joint Portfolio'!$N$2,0,0,COUNTA('Joint Portfolio'!$N:$N)-1,1)</definedName>
    <definedName name="DateLabel">OFFSET(Wealth!$B$1,0,0,1,COUNTA(Wealth!$1:$1))</definedName>
    <definedName name="MarketValLabel">OFFSET('Joint Portfolio'!$V$2,0,0,COUNTA('Joint Portfolio'!$N:$N)-1,1)</definedName>
    <definedName name="PercentProfLabel">OFFSET('Joint Portfolio'!$Z$2,0,0,COUNTA('Joint Portfolio'!$N:$N)-1,1)</definedName>
    <definedName name="ProfLabel">OFFSET(Wealth!$B$6,0,0,1,COUNTA(Wealth!$1:$1))</definedName>
    <definedName name="TotValLabel">OFFSET(Wealth!$B$8,0,0,1,COUNTA(Wealth!$1:$1))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1" l="1"/>
  <c r="E17" i="4"/>
  <c r="F17" i="1"/>
  <c r="B19" i="1"/>
  <c r="G2" i="18" l="1"/>
  <c r="C2" i="18"/>
  <c r="B20" i="1"/>
  <c r="E16" i="4" l="1"/>
  <c r="E15" i="4" l="1"/>
  <c r="Q2" i="18"/>
  <c r="M2" i="18" s="1"/>
  <c r="K3" i="18"/>
  <c r="K4" i="18" s="1"/>
  <c r="K5" i="18" s="1"/>
  <c r="K6" i="18" s="1"/>
  <c r="K7" i="18" s="1"/>
  <c r="K8" i="18" s="1"/>
  <c r="K9" i="18" s="1"/>
  <c r="K10" i="18" s="1"/>
  <c r="K11" i="18" s="1"/>
  <c r="A28" i="2" l="1"/>
  <c r="E4" i="16"/>
  <c r="E5" i="16"/>
  <c r="E6" i="16"/>
  <c r="B38" i="11" l="1"/>
  <c r="O38" i="11"/>
  <c r="B39" i="11"/>
  <c r="O39" i="11"/>
  <c r="B40" i="11"/>
  <c r="O40" i="11"/>
  <c r="B41" i="11"/>
  <c r="O41" i="11"/>
  <c r="B42" i="11"/>
  <c r="O42" i="11"/>
  <c r="B43" i="11"/>
  <c r="O43" i="11"/>
  <c r="A2" i="7" a="1"/>
  <c r="A2" i="7" s="1"/>
  <c r="E2" i="16"/>
  <c r="E3" i="16"/>
  <c r="E3" i="17" s="1"/>
  <c r="M8" i="15"/>
  <c r="M9" i="15"/>
  <c r="J8" i="15"/>
  <c r="J9" i="15"/>
  <c r="H8" i="15"/>
  <c r="H9" i="15"/>
  <c r="F8" i="15" a="1"/>
  <c r="F8" i="15" s="1"/>
  <c r="F9" i="15" a="1"/>
  <c r="F9" i="15" s="1"/>
  <c r="E8" i="15" a="1"/>
  <c r="E8" i="15" s="1"/>
  <c r="E9" i="15" a="1"/>
  <c r="E9" i="15" s="1"/>
  <c r="D8" i="15"/>
  <c r="D9" i="15"/>
  <c r="C8" i="15"/>
  <c r="C9" i="15"/>
  <c r="E4" i="17"/>
  <c r="E5" i="17"/>
  <c r="E6" i="17"/>
  <c r="E10" i="17"/>
  <c r="E11" i="17"/>
  <c r="E12" i="17"/>
  <c r="E13" i="17"/>
  <c r="E14" i="17"/>
  <c r="E15" i="17"/>
  <c r="E16" i="17"/>
  <c r="E17" i="17"/>
  <c r="E18" i="17"/>
  <c r="E19" i="17"/>
  <c r="E20" i="17"/>
  <c r="E21" i="17"/>
  <c r="E22" i="17"/>
  <c r="E23" i="17"/>
  <c r="E24" i="17"/>
  <c r="E25" i="17"/>
  <c r="E26" i="17"/>
  <c r="E27" i="17"/>
  <c r="E28" i="17"/>
  <c r="E29" i="17"/>
  <c r="E30" i="17"/>
  <c r="E31" i="17"/>
  <c r="E32" i="17"/>
  <c r="E33" i="17"/>
  <c r="E34" i="17"/>
  <c r="E35" i="17"/>
  <c r="E36" i="17"/>
  <c r="E37" i="17"/>
  <c r="E38" i="17"/>
  <c r="E39" i="17"/>
  <c r="E40" i="17"/>
  <c r="E41" i="17"/>
  <c r="E42" i="17"/>
  <c r="E43" i="17"/>
  <c r="E44" i="17"/>
  <c r="E45" i="17"/>
  <c r="E46" i="17"/>
  <c r="E47" i="17"/>
  <c r="E48" i="17"/>
  <c r="E49" i="17"/>
  <c r="E50" i="17"/>
  <c r="E51" i="17"/>
  <c r="E52" i="17"/>
  <c r="E53" i="17"/>
  <c r="E54" i="17"/>
  <c r="E55" i="17"/>
  <c r="E56" i="17"/>
  <c r="E57" i="17"/>
  <c r="E58" i="17"/>
  <c r="E59" i="17"/>
  <c r="E60" i="17"/>
  <c r="E61" i="17"/>
  <c r="E62" i="17"/>
  <c r="E63" i="17"/>
  <c r="E64" i="17"/>
  <c r="E65" i="17"/>
  <c r="E66" i="17"/>
  <c r="E67" i="17"/>
  <c r="E68" i="17"/>
  <c r="E69" i="17"/>
  <c r="E70" i="17"/>
  <c r="E71" i="17"/>
  <c r="E72" i="17"/>
  <c r="E73" i="17"/>
  <c r="E74" i="17"/>
  <c r="E75" i="17"/>
  <c r="E76" i="17"/>
  <c r="E77" i="17"/>
  <c r="E78" i="17"/>
  <c r="E79" i="17"/>
  <c r="E80" i="17"/>
  <c r="E81" i="17"/>
  <c r="E82" i="17"/>
  <c r="E83" i="17"/>
  <c r="E84" i="17"/>
  <c r="E85" i="17"/>
  <c r="E86" i="17"/>
  <c r="E87" i="17"/>
  <c r="E88" i="17"/>
  <c r="E89" i="17"/>
  <c r="E90" i="17"/>
  <c r="E91" i="17"/>
  <c r="E92" i="17"/>
  <c r="E93" i="17"/>
  <c r="E94" i="17"/>
  <c r="E95" i="17"/>
  <c r="E96" i="17"/>
  <c r="E97" i="17"/>
  <c r="E98" i="17"/>
  <c r="E99" i="17"/>
  <c r="E100" i="17"/>
  <c r="E101" i="17"/>
  <c r="E102" i="17"/>
  <c r="E103" i="17"/>
  <c r="E104" i="17"/>
  <c r="E105" i="17"/>
  <c r="E106" i="17"/>
  <c r="E107" i="17"/>
  <c r="E108" i="17"/>
  <c r="E109" i="17"/>
  <c r="E110" i="17"/>
  <c r="E111" i="17"/>
  <c r="E112" i="17"/>
  <c r="E113" i="17"/>
  <c r="E114" i="17"/>
  <c r="E115" i="17"/>
  <c r="E116" i="17"/>
  <c r="E117" i="17"/>
  <c r="E118" i="17"/>
  <c r="E119" i="17"/>
  <c r="E120" i="17"/>
  <c r="E121" i="17"/>
  <c r="E122" i="17"/>
  <c r="E123" i="17"/>
  <c r="E124" i="17"/>
  <c r="E125" i="17"/>
  <c r="E126" i="17"/>
  <c r="E127" i="17"/>
  <c r="E128" i="17"/>
  <c r="E129" i="17"/>
  <c r="E130" i="17"/>
  <c r="E131" i="17"/>
  <c r="E132" i="17"/>
  <c r="E133" i="17"/>
  <c r="E134" i="17"/>
  <c r="E135" i="17"/>
  <c r="E136" i="17"/>
  <c r="E137" i="17"/>
  <c r="E138" i="17"/>
  <c r="E139" i="17"/>
  <c r="E140" i="17"/>
  <c r="E141" i="17"/>
  <c r="E142" i="17"/>
  <c r="E143" i="17"/>
  <c r="E144" i="17"/>
  <c r="E145" i="17"/>
  <c r="E146" i="17"/>
  <c r="E147" i="17"/>
  <c r="E148" i="17"/>
  <c r="E149" i="17"/>
  <c r="E150" i="17"/>
  <c r="E151" i="17"/>
  <c r="E152" i="17"/>
  <c r="E153" i="17"/>
  <c r="E154" i="17"/>
  <c r="E155" i="17"/>
  <c r="E156" i="17"/>
  <c r="E157" i="17"/>
  <c r="E158" i="17"/>
  <c r="E159" i="17"/>
  <c r="E160" i="17"/>
  <c r="E161" i="17"/>
  <c r="E162" i="17"/>
  <c r="E163" i="17"/>
  <c r="E164" i="17"/>
  <c r="E165" i="17"/>
  <c r="E166" i="17"/>
  <c r="E167" i="17"/>
  <c r="E168" i="17"/>
  <c r="E169" i="17"/>
  <c r="E170" i="17"/>
  <c r="E171" i="17"/>
  <c r="E172" i="17"/>
  <c r="E173" i="17"/>
  <c r="E174" i="17"/>
  <c r="E175" i="17"/>
  <c r="E176" i="17"/>
  <c r="E177" i="17"/>
  <c r="E178" i="17"/>
  <c r="E179" i="17"/>
  <c r="E180" i="17"/>
  <c r="E181" i="17"/>
  <c r="E182" i="17"/>
  <c r="E183" i="17"/>
  <c r="E184" i="17"/>
  <c r="E185" i="17"/>
  <c r="E186" i="17"/>
  <c r="E187" i="17"/>
  <c r="E188" i="17"/>
  <c r="E189" i="17"/>
  <c r="E190" i="17"/>
  <c r="E191" i="17"/>
  <c r="E192" i="17"/>
  <c r="E193" i="17"/>
  <c r="E194" i="17"/>
  <c r="E195" i="17"/>
  <c r="E196" i="17"/>
  <c r="E197" i="17"/>
  <c r="E198" i="17"/>
  <c r="E199" i="17"/>
  <c r="E200" i="17"/>
  <c r="E201" i="17"/>
  <c r="E202" i="17"/>
  <c r="E203" i="17"/>
  <c r="E204" i="17"/>
  <c r="E205" i="17"/>
  <c r="E206" i="17"/>
  <c r="E207" i="17"/>
  <c r="E208" i="17"/>
  <c r="E209" i="17"/>
  <c r="E210" i="17"/>
  <c r="E211" i="17"/>
  <c r="E212" i="17"/>
  <c r="E213" i="17"/>
  <c r="E214" i="17"/>
  <c r="E215" i="17"/>
  <c r="E216" i="17"/>
  <c r="E217" i="17"/>
  <c r="E218" i="17"/>
  <c r="E219" i="17"/>
  <c r="E220" i="17"/>
  <c r="E221" i="17"/>
  <c r="E222" i="17"/>
  <c r="E223" i="17"/>
  <c r="E224" i="17"/>
  <c r="E225" i="17"/>
  <c r="E226" i="17"/>
  <c r="E227" i="17"/>
  <c r="E228" i="17"/>
  <c r="E229" i="17"/>
  <c r="E230" i="17"/>
  <c r="E231" i="17"/>
  <c r="E232" i="17"/>
  <c r="E233" i="17"/>
  <c r="E234" i="17"/>
  <c r="E235" i="17"/>
  <c r="E236" i="17"/>
  <c r="E237" i="17"/>
  <c r="E238" i="17"/>
  <c r="E239" i="17"/>
  <c r="E240" i="17"/>
  <c r="E241" i="17"/>
  <c r="E242" i="17"/>
  <c r="E243" i="17"/>
  <c r="E244" i="17"/>
  <c r="E245" i="17"/>
  <c r="E246" i="17"/>
  <c r="E247" i="17"/>
  <c r="E248" i="17"/>
  <c r="E249" i="17"/>
  <c r="E250" i="17"/>
  <c r="E251" i="17"/>
  <c r="E252" i="17"/>
  <c r="E253" i="17"/>
  <c r="E254" i="17"/>
  <c r="E255" i="17"/>
  <c r="E256" i="17"/>
  <c r="E257" i="17"/>
  <c r="E258" i="17"/>
  <c r="E259" i="17"/>
  <c r="E260" i="17"/>
  <c r="E261" i="17"/>
  <c r="E262" i="17"/>
  <c r="E263" i="17"/>
  <c r="E264" i="17"/>
  <c r="E265" i="17"/>
  <c r="E266" i="17"/>
  <c r="E267" i="17"/>
  <c r="E268" i="17"/>
  <c r="E269" i="17"/>
  <c r="E270" i="17"/>
  <c r="E271" i="17"/>
  <c r="E272" i="17"/>
  <c r="E273" i="17"/>
  <c r="E274" i="17"/>
  <c r="E275" i="17"/>
  <c r="E276" i="17"/>
  <c r="E277" i="17"/>
  <c r="E278" i="17"/>
  <c r="E279" i="17"/>
  <c r="E280" i="17"/>
  <c r="E281" i="17"/>
  <c r="E282" i="17"/>
  <c r="E283" i="17"/>
  <c r="E284" i="17"/>
  <c r="E285" i="17"/>
  <c r="E286" i="17"/>
  <c r="E287" i="17"/>
  <c r="E288" i="17"/>
  <c r="E289" i="17"/>
  <c r="E290" i="17"/>
  <c r="E291" i="17"/>
  <c r="E292" i="17"/>
  <c r="E293" i="17"/>
  <c r="E294" i="17"/>
  <c r="E295" i="17"/>
  <c r="E296" i="17"/>
  <c r="E297" i="17"/>
  <c r="E298" i="17"/>
  <c r="E299" i="17"/>
  <c r="E300" i="17"/>
  <c r="D6" i="17"/>
  <c r="D7"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104" i="17"/>
  <c r="D105" i="17"/>
  <c r="D106" i="17"/>
  <c r="D107" i="17"/>
  <c r="D108" i="17"/>
  <c r="D109" i="17"/>
  <c r="D110" i="17"/>
  <c r="D111" i="17"/>
  <c r="D112" i="17"/>
  <c r="D113" i="17"/>
  <c r="D114" i="17"/>
  <c r="D115" i="17"/>
  <c r="D116" i="17"/>
  <c r="D117" i="17"/>
  <c r="D118" i="17"/>
  <c r="D119" i="17"/>
  <c r="D120" i="17"/>
  <c r="D121" i="17"/>
  <c r="D122" i="17"/>
  <c r="D123" i="17"/>
  <c r="D124" i="17"/>
  <c r="D125" i="17"/>
  <c r="D126" i="17"/>
  <c r="D127" i="17"/>
  <c r="D128" i="17"/>
  <c r="D129" i="17"/>
  <c r="D130" i="17"/>
  <c r="D131" i="17"/>
  <c r="D132" i="17"/>
  <c r="D133" i="17"/>
  <c r="D134" i="17"/>
  <c r="D135" i="17"/>
  <c r="D136" i="17"/>
  <c r="D137" i="17"/>
  <c r="D138" i="17"/>
  <c r="D139" i="17"/>
  <c r="D140" i="17"/>
  <c r="D141" i="17"/>
  <c r="D142" i="17"/>
  <c r="D143" i="17"/>
  <c r="D144" i="17"/>
  <c r="D145" i="17"/>
  <c r="D146" i="17"/>
  <c r="D147" i="17"/>
  <c r="D148" i="17"/>
  <c r="D149" i="17"/>
  <c r="D150" i="17"/>
  <c r="D151" i="17"/>
  <c r="D152" i="17"/>
  <c r="D153" i="17"/>
  <c r="D154" i="17"/>
  <c r="D155" i="17"/>
  <c r="D156" i="17"/>
  <c r="D157" i="17"/>
  <c r="D158" i="17"/>
  <c r="D159" i="17"/>
  <c r="D160" i="17"/>
  <c r="D161" i="17"/>
  <c r="D162" i="17"/>
  <c r="D163" i="17"/>
  <c r="D164" i="17"/>
  <c r="D165" i="17"/>
  <c r="D166" i="17"/>
  <c r="D167" i="17"/>
  <c r="D168" i="17"/>
  <c r="D169" i="17"/>
  <c r="D170" i="17"/>
  <c r="D171" i="17"/>
  <c r="D172" i="17"/>
  <c r="D173" i="17"/>
  <c r="D174" i="17"/>
  <c r="D175" i="17"/>
  <c r="D176" i="17"/>
  <c r="D177" i="17"/>
  <c r="D178" i="17"/>
  <c r="D179" i="17"/>
  <c r="D180" i="17"/>
  <c r="D181" i="17"/>
  <c r="D182" i="17"/>
  <c r="D183" i="17"/>
  <c r="D184" i="17"/>
  <c r="D185" i="17"/>
  <c r="D186" i="17"/>
  <c r="D187" i="17"/>
  <c r="D188" i="17"/>
  <c r="D189" i="17"/>
  <c r="D190" i="17"/>
  <c r="D191" i="17"/>
  <c r="D192" i="17"/>
  <c r="D193" i="17"/>
  <c r="D194" i="17"/>
  <c r="D195" i="17"/>
  <c r="D196" i="17"/>
  <c r="D197" i="17"/>
  <c r="D198" i="17"/>
  <c r="D199" i="17"/>
  <c r="D200" i="17"/>
  <c r="D201" i="17"/>
  <c r="D202" i="17"/>
  <c r="D203" i="17"/>
  <c r="D204" i="17"/>
  <c r="D205" i="17"/>
  <c r="D206" i="17"/>
  <c r="D207" i="17"/>
  <c r="D208" i="17"/>
  <c r="D209" i="17"/>
  <c r="D210" i="17"/>
  <c r="D211" i="17"/>
  <c r="D212" i="17"/>
  <c r="D213" i="17"/>
  <c r="D214" i="17"/>
  <c r="D215" i="17"/>
  <c r="D216" i="17"/>
  <c r="D217" i="17"/>
  <c r="D218" i="17"/>
  <c r="D219" i="17"/>
  <c r="D220" i="17"/>
  <c r="D221" i="17"/>
  <c r="D222" i="17"/>
  <c r="D223" i="17"/>
  <c r="D224" i="17"/>
  <c r="D225" i="17"/>
  <c r="D226" i="17"/>
  <c r="D227" i="17"/>
  <c r="D228" i="17"/>
  <c r="D229" i="17"/>
  <c r="D230" i="17"/>
  <c r="D231" i="17"/>
  <c r="D232" i="17"/>
  <c r="D233" i="17"/>
  <c r="D234" i="17"/>
  <c r="D235" i="17"/>
  <c r="D236" i="17"/>
  <c r="D237" i="17"/>
  <c r="D238" i="17"/>
  <c r="D239" i="17"/>
  <c r="D240" i="17"/>
  <c r="D241" i="17"/>
  <c r="D242" i="17"/>
  <c r="D243" i="17"/>
  <c r="D244" i="17"/>
  <c r="D245" i="17"/>
  <c r="D246" i="17"/>
  <c r="D247" i="17"/>
  <c r="D248" i="17"/>
  <c r="D249" i="17"/>
  <c r="D250" i="17"/>
  <c r="D251" i="17"/>
  <c r="D252" i="17"/>
  <c r="D253" i="17"/>
  <c r="D254" i="17"/>
  <c r="D255" i="17"/>
  <c r="D256" i="17"/>
  <c r="D257" i="17"/>
  <c r="D258" i="17"/>
  <c r="D259" i="17"/>
  <c r="D260" i="17"/>
  <c r="D261" i="17"/>
  <c r="D262" i="17"/>
  <c r="D263" i="17"/>
  <c r="D264" i="17"/>
  <c r="D265" i="17"/>
  <c r="D266" i="17"/>
  <c r="D267" i="17"/>
  <c r="D268" i="17"/>
  <c r="D269" i="17"/>
  <c r="D270" i="17"/>
  <c r="D271" i="17"/>
  <c r="D272" i="17"/>
  <c r="D273" i="17"/>
  <c r="D274" i="17"/>
  <c r="D275" i="17"/>
  <c r="D276" i="17"/>
  <c r="D277" i="17"/>
  <c r="D278" i="17"/>
  <c r="D279" i="17"/>
  <c r="D280" i="17"/>
  <c r="D281" i="17"/>
  <c r="D282" i="17"/>
  <c r="D283" i="17"/>
  <c r="D284" i="17"/>
  <c r="D285" i="17"/>
  <c r="D286" i="17"/>
  <c r="D287" i="17"/>
  <c r="D288" i="17"/>
  <c r="D289" i="17"/>
  <c r="D290" i="17"/>
  <c r="D291" i="17"/>
  <c r="D292" i="17"/>
  <c r="D293" i="17"/>
  <c r="D294" i="17"/>
  <c r="D295" i="17"/>
  <c r="D296" i="17"/>
  <c r="D297" i="17"/>
  <c r="D298" i="17"/>
  <c r="D299" i="17"/>
  <c r="D300" i="17"/>
  <c r="D3" i="17"/>
  <c r="C6" i="17"/>
  <c r="C7"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4" i="17"/>
  <c r="C45" i="17"/>
  <c r="C46" i="17"/>
  <c r="C47" i="17"/>
  <c r="C48" i="17"/>
  <c r="C49" i="17"/>
  <c r="C50" i="17"/>
  <c r="C51" i="17"/>
  <c r="C52" i="17"/>
  <c r="C53" i="17"/>
  <c r="C54" i="17"/>
  <c r="C55" i="17"/>
  <c r="C56" i="17"/>
  <c r="C57" i="17"/>
  <c r="C58" i="17"/>
  <c r="C59" i="17"/>
  <c r="C60" i="17"/>
  <c r="C61" i="17"/>
  <c r="C62" i="17"/>
  <c r="C63" i="17"/>
  <c r="C64" i="17"/>
  <c r="C65" i="17"/>
  <c r="C66" i="17"/>
  <c r="C67" i="17"/>
  <c r="C68" i="17"/>
  <c r="C69" i="17"/>
  <c r="C70" i="17"/>
  <c r="C71" i="17"/>
  <c r="C72" i="17"/>
  <c r="C73" i="17"/>
  <c r="C74" i="17"/>
  <c r="C75" i="17"/>
  <c r="C76" i="17"/>
  <c r="C77" i="17"/>
  <c r="C78" i="17"/>
  <c r="C79" i="17"/>
  <c r="C80" i="17"/>
  <c r="C81" i="17"/>
  <c r="C82" i="17"/>
  <c r="C83" i="17"/>
  <c r="C84" i="17"/>
  <c r="C85" i="17"/>
  <c r="C86" i="17"/>
  <c r="C87" i="17"/>
  <c r="C88" i="17"/>
  <c r="C89" i="17"/>
  <c r="C90" i="17"/>
  <c r="C91" i="17"/>
  <c r="C92" i="17"/>
  <c r="C93" i="17"/>
  <c r="C94" i="17"/>
  <c r="C95" i="17"/>
  <c r="C96" i="17"/>
  <c r="C97" i="17"/>
  <c r="C98" i="17"/>
  <c r="C99" i="17"/>
  <c r="C100" i="17"/>
  <c r="C101" i="17"/>
  <c r="C102" i="17"/>
  <c r="C103" i="17"/>
  <c r="C104" i="17"/>
  <c r="C105" i="17"/>
  <c r="C106" i="17"/>
  <c r="C107" i="17"/>
  <c r="C108" i="17"/>
  <c r="C109" i="17"/>
  <c r="C110" i="17"/>
  <c r="C111" i="17"/>
  <c r="C112" i="17"/>
  <c r="C113" i="17"/>
  <c r="C114" i="17"/>
  <c r="C115" i="17"/>
  <c r="C116" i="17"/>
  <c r="C117" i="17"/>
  <c r="C118" i="17"/>
  <c r="C119" i="17"/>
  <c r="C120" i="17"/>
  <c r="C121" i="17"/>
  <c r="C122" i="17"/>
  <c r="C123" i="17"/>
  <c r="C124" i="17"/>
  <c r="C125" i="17"/>
  <c r="C126" i="17"/>
  <c r="C127" i="17"/>
  <c r="C128" i="17"/>
  <c r="C129" i="17"/>
  <c r="C130" i="17"/>
  <c r="C131" i="17"/>
  <c r="C132" i="17"/>
  <c r="C133" i="17"/>
  <c r="C134" i="17"/>
  <c r="C135" i="17"/>
  <c r="C136" i="17"/>
  <c r="C137" i="17"/>
  <c r="C138" i="17"/>
  <c r="C139" i="17"/>
  <c r="C140" i="17"/>
  <c r="C141" i="17"/>
  <c r="C142" i="17"/>
  <c r="C143" i="17"/>
  <c r="C144" i="17"/>
  <c r="C145" i="17"/>
  <c r="C146" i="17"/>
  <c r="C147" i="17"/>
  <c r="C148" i="17"/>
  <c r="C149" i="17"/>
  <c r="C150" i="17"/>
  <c r="C151" i="17"/>
  <c r="C152" i="17"/>
  <c r="C153" i="17"/>
  <c r="C154" i="17"/>
  <c r="C155" i="17"/>
  <c r="C156" i="17"/>
  <c r="C157" i="17"/>
  <c r="C158" i="17"/>
  <c r="C159" i="17"/>
  <c r="C160" i="17"/>
  <c r="C161" i="17"/>
  <c r="C162" i="17"/>
  <c r="C163" i="17"/>
  <c r="C164" i="17"/>
  <c r="C165" i="17"/>
  <c r="C166" i="17"/>
  <c r="C167" i="17"/>
  <c r="C168" i="17"/>
  <c r="C169" i="17"/>
  <c r="C170" i="17"/>
  <c r="C171" i="17"/>
  <c r="C172" i="17"/>
  <c r="C173" i="17"/>
  <c r="C174" i="17"/>
  <c r="C175" i="17"/>
  <c r="C176" i="17"/>
  <c r="C177" i="17"/>
  <c r="C178" i="17"/>
  <c r="C179" i="17"/>
  <c r="C180" i="17"/>
  <c r="C181" i="17"/>
  <c r="C182" i="17"/>
  <c r="C183" i="17"/>
  <c r="C184" i="17"/>
  <c r="C185" i="17"/>
  <c r="C186" i="17"/>
  <c r="C187" i="17"/>
  <c r="C188" i="17"/>
  <c r="C189" i="17"/>
  <c r="C190" i="17"/>
  <c r="C191" i="17"/>
  <c r="C192" i="17"/>
  <c r="C193" i="17"/>
  <c r="C194" i="17"/>
  <c r="C195" i="17"/>
  <c r="C196" i="17"/>
  <c r="C197" i="17"/>
  <c r="C198" i="17"/>
  <c r="C199" i="17"/>
  <c r="C200" i="17"/>
  <c r="C201" i="17"/>
  <c r="C202" i="17"/>
  <c r="C203" i="17"/>
  <c r="C204" i="17"/>
  <c r="C205" i="17"/>
  <c r="C206" i="17"/>
  <c r="C207" i="17"/>
  <c r="C208" i="17"/>
  <c r="C209" i="17"/>
  <c r="C210" i="17"/>
  <c r="C211" i="17"/>
  <c r="C212" i="17"/>
  <c r="C213" i="17"/>
  <c r="C214" i="17"/>
  <c r="C215" i="17"/>
  <c r="C216" i="17"/>
  <c r="C217" i="17"/>
  <c r="C218" i="17"/>
  <c r="C219" i="17"/>
  <c r="C220" i="17"/>
  <c r="C221" i="17"/>
  <c r="C222" i="17"/>
  <c r="C223" i="17"/>
  <c r="C224" i="17"/>
  <c r="C225" i="17"/>
  <c r="C226" i="17"/>
  <c r="C227" i="17"/>
  <c r="C228" i="17"/>
  <c r="C229" i="17"/>
  <c r="C230" i="17"/>
  <c r="C231" i="17"/>
  <c r="C232" i="17"/>
  <c r="C233" i="17"/>
  <c r="C234" i="17"/>
  <c r="C235" i="17"/>
  <c r="C236" i="17"/>
  <c r="C237" i="17"/>
  <c r="C238" i="17"/>
  <c r="C239" i="17"/>
  <c r="C240" i="17"/>
  <c r="C241" i="17"/>
  <c r="C242" i="17"/>
  <c r="C243" i="17"/>
  <c r="C244" i="17"/>
  <c r="C245" i="17"/>
  <c r="C246" i="17"/>
  <c r="C247" i="17"/>
  <c r="C248" i="17"/>
  <c r="C249" i="17"/>
  <c r="C250" i="17"/>
  <c r="C251" i="17"/>
  <c r="C252" i="17"/>
  <c r="C253" i="17"/>
  <c r="C254" i="17"/>
  <c r="C255" i="17"/>
  <c r="C256" i="17"/>
  <c r="C257" i="17"/>
  <c r="C258" i="17"/>
  <c r="C259" i="17"/>
  <c r="C260" i="17"/>
  <c r="C261" i="17"/>
  <c r="C262" i="17"/>
  <c r="C263" i="17"/>
  <c r="C264" i="17"/>
  <c r="C265" i="17"/>
  <c r="C266" i="17"/>
  <c r="C267" i="17"/>
  <c r="C268" i="17"/>
  <c r="C269" i="17"/>
  <c r="C270" i="17"/>
  <c r="C271" i="17"/>
  <c r="C272" i="17"/>
  <c r="C273" i="17"/>
  <c r="C274" i="17"/>
  <c r="C275" i="17"/>
  <c r="C276" i="17"/>
  <c r="C277" i="17"/>
  <c r="C278" i="17"/>
  <c r="C279" i="17"/>
  <c r="C280" i="17"/>
  <c r="C281" i="17"/>
  <c r="C282" i="17"/>
  <c r="C283" i="17"/>
  <c r="C284" i="17"/>
  <c r="C285" i="17"/>
  <c r="C286" i="17"/>
  <c r="C287" i="17"/>
  <c r="C288" i="17"/>
  <c r="C289" i="17"/>
  <c r="C290" i="17"/>
  <c r="C291" i="17"/>
  <c r="C292" i="17"/>
  <c r="C293" i="17"/>
  <c r="C294" i="17"/>
  <c r="C295" i="17"/>
  <c r="C296" i="17"/>
  <c r="C297" i="17"/>
  <c r="C298" i="17"/>
  <c r="C299" i="17"/>
  <c r="C300" i="17"/>
  <c r="C3" i="17"/>
  <c r="B4" i="17"/>
  <c r="C4" i="17" s="1"/>
  <c r="B5" i="17"/>
  <c r="C5" i="17" s="1"/>
  <c r="B6" i="17"/>
  <c r="B7" i="17"/>
  <c r="B8" i="17"/>
  <c r="D8" i="17" s="1"/>
  <c r="B9" i="17"/>
  <c r="C9" i="17" s="1"/>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104" i="17"/>
  <c r="B105" i="17"/>
  <c r="B106" i="17"/>
  <c r="B107" i="17"/>
  <c r="B108" i="17"/>
  <c r="B109" i="17"/>
  <c r="B110" i="17"/>
  <c r="B111" i="17"/>
  <c r="B112" i="17"/>
  <c r="B113" i="17"/>
  <c r="B114" i="17"/>
  <c r="B115" i="17"/>
  <c r="B116" i="17"/>
  <c r="B117" i="17"/>
  <c r="B118" i="17"/>
  <c r="B119" i="17"/>
  <c r="B120" i="17"/>
  <c r="B121" i="17"/>
  <c r="B122" i="17"/>
  <c r="B123" i="17"/>
  <c r="B124" i="17"/>
  <c r="B125" i="17"/>
  <c r="B126" i="17"/>
  <c r="B127" i="17"/>
  <c r="B128" i="17"/>
  <c r="B129" i="17"/>
  <c r="B130" i="17"/>
  <c r="B131" i="17"/>
  <c r="B132" i="17"/>
  <c r="B133" i="17"/>
  <c r="B134" i="17"/>
  <c r="B135" i="17"/>
  <c r="B136" i="17"/>
  <c r="B137" i="17"/>
  <c r="B138" i="17"/>
  <c r="B139" i="17"/>
  <c r="B140" i="17"/>
  <c r="B141" i="17"/>
  <c r="B142" i="17"/>
  <c r="B143" i="17"/>
  <c r="B144" i="17"/>
  <c r="B145" i="17"/>
  <c r="B146" i="17"/>
  <c r="B147" i="17"/>
  <c r="B148" i="17"/>
  <c r="B149" i="17"/>
  <c r="B150" i="17"/>
  <c r="B151" i="17"/>
  <c r="B152" i="17"/>
  <c r="B153" i="17"/>
  <c r="B154" i="17"/>
  <c r="B155" i="17"/>
  <c r="B156" i="17"/>
  <c r="B157" i="17"/>
  <c r="B158" i="17"/>
  <c r="B159" i="17"/>
  <c r="B160" i="17"/>
  <c r="B161" i="17"/>
  <c r="B162" i="17"/>
  <c r="B163" i="17"/>
  <c r="B164" i="17"/>
  <c r="B165" i="17"/>
  <c r="B166" i="17"/>
  <c r="B167" i="17"/>
  <c r="B168" i="17"/>
  <c r="B169" i="17"/>
  <c r="B170" i="17"/>
  <c r="B171" i="17"/>
  <c r="B172" i="17"/>
  <c r="B173" i="17"/>
  <c r="B174" i="17"/>
  <c r="B175" i="17"/>
  <c r="B176" i="17"/>
  <c r="B177" i="17"/>
  <c r="B178" i="17"/>
  <c r="B179" i="17"/>
  <c r="B180" i="17"/>
  <c r="B181" i="17"/>
  <c r="B182" i="17"/>
  <c r="B183" i="17"/>
  <c r="B184" i="17"/>
  <c r="B185" i="17"/>
  <c r="B186" i="17"/>
  <c r="B187" i="17"/>
  <c r="B188" i="17"/>
  <c r="B189" i="17"/>
  <c r="B190" i="17"/>
  <c r="B191" i="17"/>
  <c r="B192" i="17"/>
  <c r="B193" i="17"/>
  <c r="B194" i="17"/>
  <c r="B195" i="17"/>
  <c r="B196" i="17"/>
  <c r="B197" i="17"/>
  <c r="B198" i="17"/>
  <c r="B199" i="17"/>
  <c r="B200" i="17"/>
  <c r="B201" i="17"/>
  <c r="B202" i="17"/>
  <c r="B203" i="17"/>
  <c r="B204" i="17"/>
  <c r="B205" i="17"/>
  <c r="B206" i="17"/>
  <c r="B207" i="17"/>
  <c r="B208" i="17"/>
  <c r="B209" i="17"/>
  <c r="B210" i="17"/>
  <c r="B211" i="17"/>
  <c r="B212" i="17"/>
  <c r="B213" i="17"/>
  <c r="B214" i="17"/>
  <c r="B215" i="17"/>
  <c r="B216" i="17"/>
  <c r="B217" i="17"/>
  <c r="B218" i="17"/>
  <c r="B219" i="17"/>
  <c r="B220" i="17"/>
  <c r="B221" i="17"/>
  <c r="B222" i="17"/>
  <c r="B223" i="17"/>
  <c r="B224" i="17"/>
  <c r="B225" i="17"/>
  <c r="B226" i="17"/>
  <c r="B227" i="17"/>
  <c r="B228" i="17"/>
  <c r="B229" i="17"/>
  <c r="B230" i="17"/>
  <c r="B231" i="17"/>
  <c r="B232" i="17"/>
  <c r="B233" i="17"/>
  <c r="B234" i="17"/>
  <c r="B235" i="17"/>
  <c r="B236" i="17"/>
  <c r="B237" i="17"/>
  <c r="B238" i="17"/>
  <c r="B239" i="17"/>
  <c r="B240" i="17"/>
  <c r="B241" i="17"/>
  <c r="B242" i="17"/>
  <c r="B243" i="17"/>
  <c r="B244" i="17"/>
  <c r="B245" i="17"/>
  <c r="B246" i="17"/>
  <c r="B247" i="17"/>
  <c r="B248" i="17"/>
  <c r="B249" i="17"/>
  <c r="B250" i="17"/>
  <c r="B251" i="17"/>
  <c r="B252" i="17"/>
  <c r="B253" i="17"/>
  <c r="B254" i="17"/>
  <c r="B255" i="17"/>
  <c r="B256" i="17"/>
  <c r="B257" i="17"/>
  <c r="B258" i="17"/>
  <c r="B259" i="17"/>
  <c r="B260" i="17"/>
  <c r="B261" i="17"/>
  <c r="B262" i="17"/>
  <c r="B263" i="17"/>
  <c r="B264" i="17"/>
  <c r="B265" i="17"/>
  <c r="B266" i="17"/>
  <c r="B267" i="17"/>
  <c r="B268" i="17"/>
  <c r="B269" i="17"/>
  <c r="B270" i="17"/>
  <c r="B271" i="17"/>
  <c r="B272" i="17"/>
  <c r="B273" i="17"/>
  <c r="B274" i="17"/>
  <c r="B275" i="17"/>
  <c r="B276" i="17"/>
  <c r="B277" i="17"/>
  <c r="B278" i="17"/>
  <c r="B279" i="17"/>
  <c r="B280" i="17"/>
  <c r="B281" i="17"/>
  <c r="B282" i="17"/>
  <c r="B283" i="17"/>
  <c r="B284" i="17"/>
  <c r="B285" i="17"/>
  <c r="B286" i="17"/>
  <c r="B287" i="17"/>
  <c r="B288" i="17"/>
  <c r="B289" i="17"/>
  <c r="B290" i="17"/>
  <c r="B291" i="17"/>
  <c r="B292" i="17"/>
  <c r="B293" i="17"/>
  <c r="B294" i="17"/>
  <c r="B295" i="17"/>
  <c r="B296" i="17"/>
  <c r="B297" i="17"/>
  <c r="B298" i="17"/>
  <c r="B299" i="17"/>
  <c r="B300" i="17"/>
  <c r="B3" i="17"/>
  <c r="B2" i="17"/>
  <c r="C2" i="17" s="1"/>
  <c r="J2" i="17" s="1"/>
  <c r="A4" i="17"/>
  <c r="A5" i="17"/>
  <c r="A6" i="17"/>
  <c r="A7" i="17"/>
  <c r="A8" i="17"/>
  <c r="A9" i="17"/>
  <c r="A10" i="17"/>
  <c r="A11" i="17"/>
  <c r="A12" i="17"/>
  <c r="A13" i="17"/>
  <c r="A14" i="17"/>
  <c r="A15" i="17"/>
  <c r="A16" i="17"/>
  <c r="A17" i="17"/>
  <c r="A18" i="17"/>
  <c r="A19" i="17"/>
  <c r="A20" i="17"/>
  <c r="A21" i="17"/>
  <c r="A22" i="17"/>
  <c r="A23" i="17"/>
  <c r="H23" i="17" s="1"/>
  <c r="A24" i="17"/>
  <c r="A25" i="17"/>
  <c r="A26" i="17"/>
  <c r="A27" i="17"/>
  <c r="H27" i="17" s="1"/>
  <c r="A28" i="17"/>
  <c r="A29" i="17"/>
  <c r="A30" i="17"/>
  <c r="A31" i="17"/>
  <c r="H31" i="17" s="1"/>
  <c r="A32" i="17"/>
  <c r="A33" i="17"/>
  <c r="A34" i="17"/>
  <c r="A35" i="17"/>
  <c r="H35" i="17" s="1"/>
  <c r="A36" i="17"/>
  <c r="A37" i="17"/>
  <c r="A38" i="17"/>
  <c r="A39" i="17"/>
  <c r="H39" i="17" s="1"/>
  <c r="A40" i="17"/>
  <c r="A41" i="17"/>
  <c r="A42" i="17"/>
  <c r="A43" i="17"/>
  <c r="H43" i="17" s="1"/>
  <c r="A44" i="17"/>
  <c r="A45" i="17"/>
  <c r="A46" i="17"/>
  <c r="A47" i="17"/>
  <c r="H47" i="17" s="1"/>
  <c r="A48" i="17"/>
  <c r="A49" i="17"/>
  <c r="A50" i="17"/>
  <c r="A51" i="17"/>
  <c r="H51" i="17" s="1"/>
  <c r="A52" i="17"/>
  <c r="A53" i="17"/>
  <c r="A54" i="17"/>
  <c r="A55" i="17"/>
  <c r="H55" i="17" s="1"/>
  <c r="A56" i="17"/>
  <c r="A57" i="17"/>
  <c r="A58" i="17"/>
  <c r="A59" i="17"/>
  <c r="H59" i="17" s="1"/>
  <c r="A60" i="17"/>
  <c r="A61" i="17"/>
  <c r="A62" i="17"/>
  <c r="A63" i="17"/>
  <c r="H63" i="17" s="1"/>
  <c r="A64" i="17"/>
  <c r="A65" i="17"/>
  <c r="A66" i="17"/>
  <c r="A67" i="17"/>
  <c r="H67" i="17" s="1"/>
  <c r="A68" i="17"/>
  <c r="A69" i="17"/>
  <c r="A70" i="17"/>
  <c r="A71" i="17"/>
  <c r="H71" i="17" s="1"/>
  <c r="A72" i="17"/>
  <c r="A73" i="17"/>
  <c r="A74" i="17"/>
  <c r="A75" i="17"/>
  <c r="H75" i="17" s="1"/>
  <c r="A76" i="17"/>
  <c r="A77" i="17"/>
  <c r="A78" i="17"/>
  <c r="A79" i="17"/>
  <c r="H79" i="17" s="1"/>
  <c r="A80" i="17"/>
  <c r="A81" i="17"/>
  <c r="A82" i="17"/>
  <c r="A83" i="17"/>
  <c r="G83" i="17" s="1"/>
  <c r="A84" i="17"/>
  <c r="A85" i="17"/>
  <c r="A86" i="17"/>
  <c r="A87" i="17"/>
  <c r="A88" i="17"/>
  <c r="A89" i="17"/>
  <c r="A90" i="17"/>
  <c r="A91" i="17"/>
  <c r="H91" i="17" s="1"/>
  <c r="A92" i="17"/>
  <c r="A93" i="17"/>
  <c r="A94" i="17"/>
  <c r="A95" i="17"/>
  <c r="H95" i="17" s="1"/>
  <c r="A96" i="17"/>
  <c r="A97" i="17"/>
  <c r="A98" i="17"/>
  <c r="A99" i="17"/>
  <c r="G99" i="17" s="1"/>
  <c r="A100" i="17"/>
  <c r="A101" i="17"/>
  <c r="A102" i="17"/>
  <c r="A103" i="17"/>
  <c r="G103" i="17" s="1"/>
  <c r="A104" i="17"/>
  <c r="A105" i="17"/>
  <c r="A106" i="17"/>
  <c r="A107" i="17"/>
  <c r="H107" i="17" s="1"/>
  <c r="A108" i="17"/>
  <c r="A109" i="17"/>
  <c r="A110" i="17"/>
  <c r="A111" i="17"/>
  <c r="H111" i="17" s="1"/>
  <c r="A112" i="17"/>
  <c r="A113" i="17"/>
  <c r="A114" i="17"/>
  <c r="A115" i="17"/>
  <c r="H115" i="17" s="1"/>
  <c r="A116" i="17"/>
  <c r="A117" i="17"/>
  <c r="A118" i="17"/>
  <c r="A119" i="17"/>
  <c r="H119" i="17" s="1"/>
  <c r="A120" i="17"/>
  <c r="H120" i="17" s="1"/>
  <c r="A121" i="17"/>
  <c r="A122" i="17"/>
  <c r="A123" i="17"/>
  <c r="H123" i="17" s="1"/>
  <c r="A124" i="17"/>
  <c r="G124" i="17" s="1"/>
  <c r="A125" i="17"/>
  <c r="A126" i="17"/>
  <c r="A127" i="17"/>
  <c r="A128" i="17"/>
  <c r="A129" i="17"/>
  <c r="A130" i="17"/>
  <c r="A131" i="17"/>
  <c r="G131" i="17" s="1"/>
  <c r="A132" i="17"/>
  <c r="H132" i="17" s="1"/>
  <c r="A133" i="17"/>
  <c r="A134" i="17"/>
  <c r="A135" i="17"/>
  <c r="H135" i="17" s="1"/>
  <c r="A136" i="17"/>
  <c r="A137" i="17"/>
  <c r="A138" i="17"/>
  <c r="A139" i="17"/>
  <c r="H139" i="17" s="1"/>
  <c r="A140" i="17"/>
  <c r="A141" i="17"/>
  <c r="A142" i="17"/>
  <c r="A143" i="17"/>
  <c r="H143" i="17" s="1"/>
  <c r="A144" i="17"/>
  <c r="A145" i="17"/>
  <c r="A146" i="17"/>
  <c r="A147" i="17"/>
  <c r="H147" i="17" s="1"/>
  <c r="A148" i="17"/>
  <c r="A149" i="17"/>
  <c r="A150" i="17"/>
  <c r="A151" i="17"/>
  <c r="H151" i="17" s="1"/>
  <c r="A152" i="17"/>
  <c r="A153" i="17"/>
  <c r="A154" i="17"/>
  <c r="A155" i="17"/>
  <c r="H155" i="17" s="1"/>
  <c r="A156" i="17"/>
  <c r="A157" i="17"/>
  <c r="A158" i="17"/>
  <c r="A159" i="17"/>
  <c r="H159" i="17" s="1"/>
  <c r="A160" i="17"/>
  <c r="A161" i="17"/>
  <c r="A162" i="17"/>
  <c r="A163" i="17"/>
  <c r="H163" i="17" s="1"/>
  <c r="A164" i="17"/>
  <c r="A165" i="17"/>
  <c r="A166" i="17"/>
  <c r="A167" i="17"/>
  <c r="H167" i="17" s="1"/>
  <c r="A168" i="17"/>
  <c r="A169" i="17"/>
  <c r="A170" i="17"/>
  <c r="A171" i="17"/>
  <c r="H171" i="17" s="1"/>
  <c r="A172" i="17"/>
  <c r="A173" i="17"/>
  <c r="A174" i="17"/>
  <c r="A175" i="17"/>
  <c r="H175" i="17" s="1"/>
  <c r="A176" i="17"/>
  <c r="A177" i="17"/>
  <c r="A178" i="17"/>
  <c r="A179" i="17"/>
  <c r="H179" i="17" s="1"/>
  <c r="A180" i="17"/>
  <c r="A181" i="17"/>
  <c r="A182" i="17"/>
  <c r="A183" i="17"/>
  <c r="H183" i="17" s="1"/>
  <c r="A184" i="17"/>
  <c r="A185" i="17"/>
  <c r="A186" i="17"/>
  <c r="A187" i="17"/>
  <c r="H187" i="17" s="1"/>
  <c r="A188" i="17"/>
  <c r="A189" i="17"/>
  <c r="A190" i="17"/>
  <c r="A191" i="17"/>
  <c r="H191" i="17" s="1"/>
  <c r="A192" i="17"/>
  <c r="A193" i="17"/>
  <c r="A194" i="17"/>
  <c r="A195" i="17"/>
  <c r="H195" i="17" s="1"/>
  <c r="A196" i="17"/>
  <c r="A197" i="17"/>
  <c r="A198" i="17"/>
  <c r="A199" i="17"/>
  <c r="H199" i="17" s="1"/>
  <c r="A200" i="17"/>
  <c r="A201" i="17"/>
  <c r="A202" i="17"/>
  <c r="A203" i="17"/>
  <c r="H203" i="17" s="1"/>
  <c r="A204" i="17"/>
  <c r="A205" i="17"/>
  <c r="A206" i="17"/>
  <c r="A207" i="17"/>
  <c r="H207" i="17" s="1"/>
  <c r="A208" i="17"/>
  <c r="A209" i="17"/>
  <c r="A210" i="17"/>
  <c r="A211" i="17"/>
  <c r="A212" i="17"/>
  <c r="A213" i="17"/>
  <c r="A214" i="17"/>
  <c r="A215" i="17"/>
  <c r="A216" i="17"/>
  <c r="A217" i="17"/>
  <c r="A218" i="17"/>
  <c r="A219" i="17"/>
  <c r="A220" i="17"/>
  <c r="A221" i="17"/>
  <c r="A222" i="17"/>
  <c r="A223" i="17"/>
  <c r="A224" i="17"/>
  <c r="A225" i="17"/>
  <c r="A226" i="17"/>
  <c r="A227" i="17"/>
  <c r="H227" i="17" s="1"/>
  <c r="A228" i="17"/>
  <c r="A229" i="17"/>
  <c r="A230" i="17"/>
  <c r="A231" i="17"/>
  <c r="A232" i="17"/>
  <c r="A233" i="17"/>
  <c r="A234" i="17"/>
  <c r="A235" i="17"/>
  <c r="G235" i="17" s="1"/>
  <c r="L235" i="17" s="1"/>
  <c r="A236" i="17"/>
  <c r="G236" i="17" s="1"/>
  <c r="A237" i="17"/>
  <c r="A238" i="17"/>
  <c r="A239" i="17"/>
  <c r="G239" i="17" s="1"/>
  <c r="L239" i="17" s="1"/>
  <c r="A240" i="17"/>
  <c r="A241" i="17"/>
  <c r="A242" i="17"/>
  <c r="A243" i="17"/>
  <c r="A244" i="17"/>
  <c r="G244" i="17" s="1"/>
  <c r="A245" i="17"/>
  <c r="A246" i="17"/>
  <c r="A247" i="17"/>
  <c r="G247" i="17" s="1"/>
  <c r="L247" i="17" s="1"/>
  <c r="A248" i="17"/>
  <c r="G248" i="17" s="1"/>
  <c r="A249" i="17"/>
  <c r="A250" i="17"/>
  <c r="A251" i="17"/>
  <c r="A252" i="17"/>
  <c r="A253" i="17"/>
  <c r="A254" i="17"/>
  <c r="A255" i="17"/>
  <c r="A256" i="17"/>
  <c r="A257" i="17"/>
  <c r="A258" i="17"/>
  <c r="A259" i="17"/>
  <c r="H259" i="17" s="1"/>
  <c r="A260" i="17"/>
  <c r="G260" i="17" s="1"/>
  <c r="A261" i="17"/>
  <c r="A262" i="17"/>
  <c r="A263" i="17"/>
  <c r="G263" i="17" s="1"/>
  <c r="A264" i="17"/>
  <c r="A265" i="17"/>
  <c r="A266" i="17"/>
  <c r="A267" i="17"/>
  <c r="G267" i="17" s="1"/>
  <c r="A268" i="17"/>
  <c r="H268" i="17" s="1"/>
  <c r="A269" i="17"/>
  <c r="A270" i="17"/>
  <c r="A271" i="17"/>
  <c r="A272" i="17"/>
  <c r="A273" i="17"/>
  <c r="A274" i="17"/>
  <c r="A275" i="17"/>
  <c r="H275" i="17" s="1"/>
  <c r="A276" i="17"/>
  <c r="G276" i="17" s="1"/>
  <c r="A277" i="17"/>
  <c r="A278" i="17"/>
  <c r="A279" i="17"/>
  <c r="G279" i="17" s="1"/>
  <c r="A280" i="17"/>
  <c r="H280" i="17" s="1"/>
  <c r="A281" i="17"/>
  <c r="A282" i="17"/>
  <c r="A283" i="17"/>
  <c r="A284" i="17"/>
  <c r="G284" i="17" s="1"/>
  <c r="A285" i="17"/>
  <c r="A286" i="17"/>
  <c r="A287" i="17"/>
  <c r="H287" i="17" s="1"/>
  <c r="A288" i="17"/>
  <c r="G288" i="17" s="1"/>
  <c r="A289" i="17"/>
  <c r="A290" i="17"/>
  <c r="A291" i="17"/>
  <c r="G291" i="17" s="1"/>
  <c r="A292" i="17"/>
  <c r="A293" i="17"/>
  <c r="A294" i="17"/>
  <c r="A295" i="17"/>
  <c r="G295" i="17" s="1"/>
  <c r="A296" i="17"/>
  <c r="H296" i="17" s="1"/>
  <c r="A297" i="17"/>
  <c r="G297" i="17" s="1"/>
  <c r="A298" i="17"/>
  <c r="A299" i="17"/>
  <c r="A300" i="17"/>
  <c r="A3" i="17"/>
  <c r="A2" i="17"/>
  <c r="M301" i="17"/>
  <c r="G300" i="17"/>
  <c r="G298" i="17"/>
  <c r="J298" i="17" s="1"/>
  <c r="H298" i="17"/>
  <c r="H297" i="17"/>
  <c r="J294" i="17"/>
  <c r="G294" i="17"/>
  <c r="H294" i="17"/>
  <c r="G293" i="17"/>
  <c r="H293" i="17"/>
  <c r="J290" i="17"/>
  <c r="G290" i="17"/>
  <c r="H290" i="17"/>
  <c r="G289" i="17"/>
  <c r="H289" i="17"/>
  <c r="H288" i="17"/>
  <c r="G286" i="17"/>
  <c r="J286" i="17" s="1"/>
  <c r="H286" i="17"/>
  <c r="G285" i="17"/>
  <c r="H285" i="17"/>
  <c r="J282" i="17"/>
  <c r="G282" i="17"/>
  <c r="H282" i="17"/>
  <c r="G281" i="17"/>
  <c r="H281" i="17"/>
  <c r="G280" i="17"/>
  <c r="J278" i="17"/>
  <c r="G278" i="17"/>
  <c r="H278" i="17"/>
  <c r="G277" i="17"/>
  <c r="J277" i="17" s="1"/>
  <c r="H277" i="17"/>
  <c r="H276" i="17"/>
  <c r="G274" i="17"/>
  <c r="J274" i="17" s="1"/>
  <c r="H274" i="17"/>
  <c r="G273" i="17"/>
  <c r="H273" i="17"/>
  <c r="G272" i="17"/>
  <c r="H272" i="17"/>
  <c r="J270" i="17"/>
  <c r="G270" i="17"/>
  <c r="H270" i="17"/>
  <c r="G269" i="17"/>
  <c r="J269" i="17" s="1"/>
  <c r="H269" i="17"/>
  <c r="J266" i="17"/>
  <c r="G266" i="17"/>
  <c r="H266" i="17"/>
  <c r="G265" i="17"/>
  <c r="H265" i="17"/>
  <c r="J262" i="17"/>
  <c r="G262" i="17"/>
  <c r="H262" i="17"/>
  <c r="G261" i="17"/>
  <c r="H261" i="17"/>
  <c r="H260" i="17"/>
  <c r="J246" i="17"/>
  <c r="G246" i="17"/>
  <c r="K246" i="17" s="1"/>
  <c r="H245" i="17"/>
  <c r="G245" i="17"/>
  <c r="G243" i="17"/>
  <c r="J242" i="17"/>
  <c r="G242" i="17"/>
  <c r="K242" i="17" s="1"/>
  <c r="G240" i="17"/>
  <c r="M239" i="17"/>
  <c r="J238" i="17"/>
  <c r="G238" i="17"/>
  <c r="K238" i="17" s="1"/>
  <c r="H237" i="17"/>
  <c r="G237" i="17"/>
  <c r="G233" i="17"/>
  <c r="L233" i="17" s="1"/>
  <c r="G229" i="17"/>
  <c r="L225" i="17"/>
  <c r="G225" i="17"/>
  <c r="G221" i="17"/>
  <c r="M221" i="17" s="1"/>
  <c r="G217" i="17"/>
  <c r="L217" i="17" s="1"/>
  <c r="H213" i="17"/>
  <c r="G213" i="17"/>
  <c r="M213" i="17" s="1"/>
  <c r="G209" i="17"/>
  <c r="L209" i="17" s="1"/>
  <c r="H205" i="17"/>
  <c r="G205" i="17"/>
  <c r="H201" i="17"/>
  <c r="G201" i="17"/>
  <c r="H197" i="17"/>
  <c r="G197" i="17"/>
  <c r="H194" i="17"/>
  <c r="G194" i="17"/>
  <c r="L193" i="17"/>
  <c r="H193" i="17"/>
  <c r="G193" i="17"/>
  <c r="K193" i="17" s="1"/>
  <c r="H190" i="17"/>
  <c r="G190" i="17"/>
  <c r="L189" i="17"/>
  <c r="H189" i="17"/>
  <c r="G189" i="17"/>
  <c r="K189" i="17" s="1"/>
  <c r="H186" i="17"/>
  <c r="G186" i="17"/>
  <c r="L185" i="17"/>
  <c r="H185" i="17"/>
  <c r="G185" i="17"/>
  <c r="K185" i="17" s="1"/>
  <c r="H182" i="17"/>
  <c r="G182" i="17"/>
  <c r="L181" i="17"/>
  <c r="H181" i="17"/>
  <c r="G181" i="17"/>
  <c r="K181" i="17" s="1"/>
  <c r="H178" i="17"/>
  <c r="G178" i="17"/>
  <c r="L177" i="17"/>
  <c r="H177" i="17"/>
  <c r="G177" i="17"/>
  <c r="K177" i="17" s="1"/>
  <c r="H174" i="17"/>
  <c r="G174" i="17"/>
  <c r="L173" i="17"/>
  <c r="H173" i="17"/>
  <c r="G173" i="17"/>
  <c r="K173" i="17" s="1"/>
  <c r="H170" i="17"/>
  <c r="G170" i="17"/>
  <c r="L169" i="17"/>
  <c r="H169" i="17"/>
  <c r="G169" i="17"/>
  <c r="K169" i="17" s="1"/>
  <c r="H166" i="17"/>
  <c r="G166" i="17"/>
  <c r="L165" i="17"/>
  <c r="H165" i="17"/>
  <c r="G165" i="17"/>
  <c r="K165" i="17" s="1"/>
  <c r="H162" i="17"/>
  <c r="G162" i="17"/>
  <c r="L161" i="17"/>
  <c r="H161" i="17"/>
  <c r="G161" i="17"/>
  <c r="K161" i="17" s="1"/>
  <c r="H158" i="17"/>
  <c r="G158" i="17"/>
  <c r="L157" i="17"/>
  <c r="H157" i="17"/>
  <c r="G157" i="17"/>
  <c r="K157" i="17" s="1"/>
  <c r="H154" i="17"/>
  <c r="G154" i="17"/>
  <c r="L153" i="17"/>
  <c r="H153" i="17"/>
  <c r="G153" i="17"/>
  <c r="K153" i="17" s="1"/>
  <c r="H150" i="17"/>
  <c r="G150" i="17"/>
  <c r="L149" i="17"/>
  <c r="H149" i="17"/>
  <c r="G149" i="17"/>
  <c r="K149" i="17" s="1"/>
  <c r="H146" i="17"/>
  <c r="G146" i="17"/>
  <c r="L145" i="17"/>
  <c r="H145" i="17"/>
  <c r="G145" i="17"/>
  <c r="K145" i="17" s="1"/>
  <c r="H142" i="17"/>
  <c r="G142" i="17"/>
  <c r="L141" i="17"/>
  <c r="H141" i="17"/>
  <c r="G141" i="17"/>
  <c r="K141" i="17" s="1"/>
  <c r="H138" i="17"/>
  <c r="G138" i="17"/>
  <c r="L137" i="17"/>
  <c r="H137" i="17"/>
  <c r="G137" i="17"/>
  <c r="K137" i="17" s="1"/>
  <c r="H134" i="17"/>
  <c r="G134" i="17"/>
  <c r="H133" i="17"/>
  <c r="G133" i="17"/>
  <c r="G132" i="17"/>
  <c r="L132" i="17" s="1"/>
  <c r="H131" i="17"/>
  <c r="L130" i="17"/>
  <c r="K130" i="17"/>
  <c r="H130" i="17"/>
  <c r="G130" i="17"/>
  <c r="L129" i="17"/>
  <c r="K129" i="17"/>
  <c r="H129" i="17"/>
  <c r="G129" i="17"/>
  <c r="H128" i="17"/>
  <c r="G128" i="17"/>
  <c r="L128" i="17" s="1"/>
  <c r="L126" i="17"/>
  <c r="K126" i="17"/>
  <c r="H126" i="17"/>
  <c r="G126" i="17"/>
  <c r="L125" i="17"/>
  <c r="K125" i="17"/>
  <c r="H125" i="17"/>
  <c r="G125" i="17"/>
  <c r="L124" i="17"/>
  <c r="H124" i="17"/>
  <c r="H122" i="17"/>
  <c r="G122" i="17"/>
  <c r="K122" i="17" s="1"/>
  <c r="L121" i="17"/>
  <c r="H121" i="17"/>
  <c r="G121" i="17"/>
  <c r="K121" i="17" s="1"/>
  <c r="L120" i="17"/>
  <c r="G120" i="17"/>
  <c r="K118" i="17"/>
  <c r="H118" i="17"/>
  <c r="G118" i="17"/>
  <c r="L118" i="17" s="1"/>
  <c r="H117" i="17"/>
  <c r="G117" i="17"/>
  <c r="L117" i="17" s="1"/>
  <c r="H116" i="17"/>
  <c r="G116" i="17"/>
  <c r="L116" i="17" s="1"/>
  <c r="L114" i="17"/>
  <c r="K114" i="17"/>
  <c r="H114" i="17"/>
  <c r="G114" i="17"/>
  <c r="L113" i="17"/>
  <c r="K113" i="17"/>
  <c r="H113" i="17"/>
  <c r="G113" i="17"/>
  <c r="H112" i="17"/>
  <c r="G112" i="17"/>
  <c r="L112" i="17" s="1"/>
  <c r="L110" i="17"/>
  <c r="K110" i="17"/>
  <c r="H110" i="17"/>
  <c r="G110" i="17"/>
  <c r="L109" i="17"/>
  <c r="K109" i="17"/>
  <c r="H109" i="17"/>
  <c r="G109" i="17"/>
  <c r="L108" i="17"/>
  <c r="H108" i="17"/>
  <c r="G108" i="17"/>
  <c r="G107" i="17"/>
  <c r="K107" i="17" s="1"/>
  <c r="H106" i="17"/>
  <c r="G106" i="17"/>
  <c r="L106" i="17" s="1"/>
  <c r="H105" i="17"/>
  <c r="G105" i="17"/>
  <c r="L105" i="17" s="1"/>
  <c r="L104" i="17"/>
  <c r="H104" i="17"/>
  <c r="G104" i="17"/>
  <c r="H103" i="17"/>
  <c r="H102" i="17"/>
  <c r="G102" i="17"/>
  <c r="L102" i="17" s="1"/>
  <c r="H101" i="17"/>
  <c r="G101" i="17"/>
  <c r="L101" i="17" s="1"/>
  <c r="H100" i="17"/>
  <c r="G100" i="17"/>
  <c r="L100" i="17" s="1"/>
  <c r="H99" i="17"/>
  <c r="L98" i="17"/>
  <c r="K98" i="17"/>
  <c r="H98" i="17"/>
  <c r="G98" i="17"/>
  <c r="L97" i="17"/>
  <c r="K97" i="17"/>
  <c r="H97" i="17"/>
  <c r="G97" i="17"/>
  <c r="H96" i="17"/>
  <c r="G96" i="17"/>
  <c r="L96" i="17" s="1"/>
  <c r="L94" i="17"/>
  <c r="K94" i="17"/>
  <c r="H94" i="17"/>
  <c r="G94" i="17"/>
  <c r="L93" i="17"/>
  <c r="K93" i="17"/>
  <c r="H93" i="17"/>
  <c r="G93" i="17"/>
  <c r="L92" i="17"/>
  <c r="H92" i="17"/>
  <c r="G92" i="17"/>
  <c r="G91" i="17"/>
  <c r="H90" i="17"/>
  <c r="G90" i="17"/>
  <c r="L90" i="17" s="1"/>
  <c r="H89" i="17"/>
  <c r="G89" i="17"/>
  <c r="L89" i="17" s="1"/>
  <c r="L88" i="17"/>
  <c r="H88" i="17"/>
  <c r="G88" i="17"/>
  <c r="H87" i="17"/>
  <c r="G87" i="17"/>
  <c r="K87" i="17" s="1"/>
  <c r="H86" i="17"/>
  <c r="G86" i="17"/>
  <c r="L86" i="17" s="1"/>
  <c r="H85" i="17"/>
  <c r="G85" i="17"/>
  <c r="L85" i="17" s="1"/>
  <c r="H84" i="17"/>
  <c r="G84" i="17"/>
  <c r="L84" i="17" s="1"/>
  <c r="H83" i="17"/>
  <c r="L82" i="17"/>
  <c r="K82" i="17"/>
  <c r="H82" i="17"/>
  <c r="G82" i="17"/>
  <c r="H81" i="17"/>
  <c r="H80" i="17"/>
  <c r="G80" i="17"/>
  <c r="G79" i="17"/>
  <c r="K79" i="17" s="1"/>
  <c r="K78" i="17"/>
  <c r="H78" i="17"/>
  <c r="G78" i="17"/>
  <c r="K77" i="17"/>
  <c r="H77" i="17"/>
  <c r="G77" i="17"/>
  <c r="H76" i="17"/>
  <c r="G76" i="17"/>
  <c r="K76" i="17" s="1"/>
  <c r="G75" i="17"/>
  <c r="K75" i="17" s="1"/>
  <c r="K74" i="17"/>
  <c r="H74" i="17"/>
  <c r="G74" i="17"/>
  <c r="K73" i="17"/>
  <c r="H73" i="17"/>
  <c r="G73" i="17"/>
  <c r="H72" i="17"/>
  <c r="G72" i="17"/>
  <c r="K72" i="17" s="1"/>
  <c r="G71" i="17"/>
  <c r="K71" i="17" s="1"/>
  <c r="K70" i="17"/>
  <c r="H70" i="17"/>
  <c r="G70" i="17"/>
  <c r="K69" i="17"/>
  <c r="H69" i="17"/>
  <c r="G69" i="17"/>
  <c r="H68" i="17"/>
  <c r="G68" i="17"/>
  <c r="K68" i="17" s="1"/>
  <c r="G67" i="17"/>
  <c r="K67" i="17" s="1"/>
  <c r="K66" i="17"/>
  <c r="H66" i="17"/>
  <c r="G66" i="17"/>
  <c r="K65" i="17"/>
  <c r="H65" i="17"/>
  <c r="G65" i="17"/>
  <c r="H64" i="17"/>
  <c r="G64" i="17"/>
  <c r="K64" i="17" s="1"/>
  <c r="G63" i="17"/>
  <c r="K63" i="17" s="1"/>
  <c r="K62" i="17"/>
  <c r="H62" i="17"/>
  <c r="G62" i="17"/>
  <c r="K61" i="17"/>
  <c r="H61" i="17"/>
  <c r="G61" i="17"/>
  <c r="H60" i="17"/>
  <c r="G60" i="17"/>
  <c r="K60" i="17" s="1"/>
  <c r="G59" i="17"/>
  <c r="K59" i="17" s="1"/>
  <c r="K58" i="17"/>
  <c r="H58" i="17"/>
  <c r="G58" i="17"/>
  <c r="K57" i="17"/>
  <c r="H57" i="17"/>
  <c r="G57" i="17"/>
  <c r="H56" i="17"/>
  <c r="G56" i="17"/>
  <c r="K56" i="17" s="1"/>
  <c r="G55" i="17"/>
  <c r="K55" i="17" s="1"/>
  <c r="K54" i="17"/>
  <c r="H54" i="17"/>
  <c r="G54" i="17"/>
  <c r="K53" i="17"/>
  <c r="H53" i="17"/>
  <c r="G53" i="17"/>
  <c r="H52" i="17"/>
  <c r="G52" i="17"/>
  <c r="K52" i="17" s="1"/>
  <c r="S51" i="17"/>
  <c r="R51" i="17"/>
  <c r="Q51" i="17"/>
  <c r="P51" i="17"/>
  <c r="G51" i="17"/>
  <c r="K51" i="17" s="1"/>
  <c r="S50" i="17"/>
  <c r="R50" i="17"/>
  <c r="Q50" i="17"/>
  <c r="P50" i="17"/>
  <c r="K50" i="17"/>
  <c r="H50" i="17"/>
  <c r="G50" i="17"/>
  <c r="S49" i="17"/>
  <c r="R49" i="17"/>
  <c r="Q49" i="17"/>
  <c r="P49" i="17"/>
  <c r="K49" i="17"/>
  <c r="H49" i="17"/>
  <c r="G49" i="17"/>
  <c r="S48" i="17"/>
  <c r="R48" i="17"/>
  <c r="Q48" i="17"/>
  <c r="P48" i="17"/>
  <c r="H48" i="17"/>
  <c r="G48" i="17"/>
  <c r="K48" i="17" s="1"/>
  <c r="S47" i="17"/>
  <c r="R47" i="17"/>
  <c r="Q47" i="17"/>
  <c r="P47" i="17"/>
  <c r="G47" i="17"/>
  <c r="K47" i="17" s="1"/>
  <c r="S46" i="17"/>
  <c r="R46" i="17"/>
  <c r="Q46" i="17"/>
  <c r="P46" i="17"/>
  <c r="K46" i="17"/>
  <c r="H46" i="17"/>
  <c r="G46" i="17"/>
  <c r="S45" i="17"/>
  <c r="R45" i="17"/>
  <c r="Q45" i="17"/>
  <c r="P45" i="17"/>
  <c r="K45" i="17"/>
  <c r="H45" i="17"/>
  <c r="G45" i="17"/>
  <c r="S44" i="17"/>
  <c r="R44" i="17"/>
  <c r="Q44" i="17"/>
  <c r="P44" i="17"/>
  <c r="H44" i="17"/>
  <c r="G44" i="17"/>
  <c r="K44" i="17" s="1"/>
  <c r="S43" i="17"/>
  <c r="R43" i="17"/>
  <c r="Q43" i="17"/>
  <c r="P43" i="17"/>
  <c r="G43" i="17"/>
  <c r="K43" i="17" s="1"/>
  <c r="S42" i="17"/>
  <c r="R42" i="17"/>
  <c r="Q42" i="17"/>
  <c r="P42" i="17"/>
  <c r="K42" i="17"/>
  <c r="H42" i="17"/>
  <c r="G42" i="17"/>
  <c r="S41" i="17"/>
  <c r="R41" i="17"/>
  <c r="Q41" i="17"/>
  <c r="P41" i="17"/>
  <c r="K41" i="17"/>
  <c r="H41" i="17"/>
  <c r="G41" i="17"/>
  <c r="S40" i="17"/>
  <c r="R40" i="17"/>
  <c r="Q40" i="17"/>
  <c r="P40" i="17"/>
  <c r="H40" i="17"/>
  <c r="G40" i="17"/>
  <c r="K40" i="17" s="1"/>
  <c r="S39" i="17"/>
  <c r="R39" i="17"/>
  <c r="Q39" i="17"/>
  <c r="P39" i="17"/>
  <c r="G39" i="17"/>
  <c r="K39" i="17" s="1"/>
  <c r="S38" i="17"/>
  <c r="R38" i="17"/>
  <c r="Q38" i="17"/>
  <c r="P38" i="17"/>
  <c r="K38" i="17"/>
  <c r="H38" i="17"/>
  <c r="G38" i="17"/>
  <c r="S37" i="17"/>
  <c r="R37" i="17"/>
  <c r="Q37" i="17"/>
  <c r="P37" i="17"/>
  <c r="K37" i="17"/>
  <c r="H37" i="17"/>
  <c r="G37" i="17"/>
  <c r="S36" i="17"/>
  <c r="R36" i="17"/>
  <c r="Q36" i="17"/>
  <c r="P36" i="17"/>
  <c r="H36" i="17"/>
  <c r="G36" i="17"/>
  <c r="K36" i="17" s="1"/>
  <c r="S35" i="17"/>
  <c r="R35" i="17"/>
  <c r="Q35" i="17"/>
  <c r="P35" i="17"/>
  <c r="G35" i="17"/>
  <c r="K35" i="17" s="1"/>
  <c r="S34" i="17"/>
  <c r="R34" i="17"/>
  <c r="Q34" i="17"/>
  <c r="P34" i="17"/>
  <c r="K34" i="17"/>
  <c r="H34" i="17"/>
  <c r="G34" i="17"/>
  <c r="S33" i="17"/>
  <c r="R33" i="17"/>
  <c r="Q33" i="17"/>
  <c r="P33" i="17"/>
  <c r="K33" i="17"/>
  <c r="H33" i="17"/>
  <c r="G33" i="17"/>
  <c r="S32" i="17"/>
  <c r="R32" i="17"/>
  <c r="Q32" i="17"/>
  <c r="P32" i="17"/>
  <c r="H32" i="17"/>
  <c r="G32" i="17"/>
  <c r="K32" i="17" s="1"/>
  <c r="S31" i="17"/>
  <c r="R31" i="17"/>
  <c r="Q31" i="17"/>
  <c r="P31" i="17"/>
  <c r="G31" i="17"/>
  <c r="K31" i="17" s="1"/>
  <c r="S30" i="17"/>
  <c r="R30" i="17"/>
  <c r="Q30" i="17"/>
  <c r="P30" i="17"/>
  <c r="K30" i="17"/>
  <c r="H30" i="17"/>
  <c r="G30" i="17"/>
  <c r="S29" i="17"/>
  <c r="R29" i="17"/>
  <c r="Q29" i="17"/>
  <c r="P29" i="17"/>
  <c r="K29" i="17"/>
  <c r="H29" i="17"/>
  <c r="G29" i="17"/>
  <c r="S28" i="17"/>
  <c r="R28" i="17"/>
  <c r="Q28" i="17"/>
  <c r="P28" i="17"/>
  <c r="H28" i="17"/>
  <c r="G28" i="17"/>
  <c r="K28" i="17" s="1"/>
  <c r="S27" i="17"/>
  <c r="R27" i="17"/>
  <c r="Q27" i="17"/>
  <c r="P27" i="17"/>
  <c r="G27" i="17"/>
  <c r="K27" i="17" s="1"/>
  <c r="S26" i="17"/>
  <c r="R26" i="17"/>
  <c r="Q26" i="17"/>
  <c r="P26" i="17"/>
  <c r="K26" i="17"/>
  <c r="H26" i="17"/>
  <c r="G26" i="17"/>
  <c r="S25" i="17"/>
  <c r="R25" i="17"/>
  <c r="Q25" i="17"/>
  <c r="P25" i="17"/>
  <c r="K25" i="17"/>
  <c r="H25" i="17"/>
  <c r="G25" i="17"/>
  <c r="S24" i="17"/>
  <c r="R24" i="17"/>
  <c r="Q24" i="17"/>
  <c r="P24" i="17"/>
  <c r="H24" i="17"/>
  <c r="G24" i="17"/>
  <c r="K24" i="17" s="1"/>
  <c r="S23" i="17"/>
  <c r="R23" i="17"/>
  <c r="Q23" i="17"/>
  <c r="P23" i="17"/>
  <c r="G23" i="17"/>
  <c r="K23" i="17" s="1"/>
  <c r="S22" i="17"/>
  <c r="R22" i="17"/>
  <c r="Q22" i="17"/>
  <c r="P22" i="17"/>
  <c r="K22" i="17"/>
  <c r="H22" i="17"/>
  <c r="G22" i="17"/>
  <c r="S21" i="17"/>
  <c r="R21" i="17"/>
  <c r="Q21" i="17"/>
  <c r="V21" i="17" s="1"/>
  <c r="P21" i="17"/>
  <c r="M21" i="17"/>
  <c r="L21" i="17"/>
  <c r="H21" i="17"/>
  <c r="G21" i="17"/>
  <c r="K21" i="17" s="1"/>
  <c r="S20" i="17"/>
  <c r="R20" i="17"/>
  <c r="Q20" i="17"/>
  <c r="V20" i="17" s="1"/>
  <c r="P20" i="17"/>
  <c r="H20" i="17"/>
  <c r="S19" i="17"/>
  <c r="R19" i="17"/>
  <c r="Q19" i="17"/>
  <c r="X19" i="17" s="1"/>
  <c r="P19" i="17"/>
  <c r="S18" i="17"/>
  <c r="R18" i="17"/>
  <c r="Q18" i="17"/>
  <c r="V18" i="17" s="1"/>
  <c r="P18" i="17"/>
  <c r="K18" i="17"/>
  <c r="H18" i="17"/>
  <c r="G18" i="17"/>
  <c r="S17" i="17"/>
  <c r="R17" i="17"/>
  <c r="Q17" i="17"/>
  <c r="V17" i="17" s="1"/>
  <c r="P17" i="17"/>
  <c r="M17" i="17"/>
  <c r="L17" i="17"/>
  <c r="H17" i="17"/>
  <c r="G17" i="17"/>
  <c r="K17" i="17" s="1"/>
  <c r="S16" i="17"/>
  <c r="R16" i="17"/>
  <c r="Q16" i="17"/>
  <c r="V16" i="17" s="1"/>
  <c r="P16" i="17"/>
  <c r="H16" i="17"/>
  <c r="S15" i="17"/>
  <c r="R15" i="17"/>
  <c r="Q15" i="17"/>
  <c r="X15" i="17" s="1"/>
  <c r="P15" i="17"/>
  <c r="S14" i="17"/>
  <c r="R14" i="17"/>
  <c r="Q14" i="17"/>
  <c r="P14" i="17"/>
  <c r="H14" i="17"/>
  <c r="G14" i="17"/>
  <c r="S13" i="17"/>
  <c r="R13" i="17"/>
  <c r="Q13" i="17"/>
  <c r="V13" i="17" s="1"/>
  <c r="P13" i="17"/>
  <c r="M13" i="17"/>
  <c r="L13" i="17"/>
  <c r="H13" i="17"/>
  <c r="G13" i="17"/>
  <c r="K13" i="17" s="1"/>
  <c r="S12" i="17"/>
  <c r="R12" i="17"/>
  <c r="Q12" i="17"/>
  <c r="V12" i="17" s="1"/>
  <c r="P12" i="17"/>
  <c r="H12" i="17"/>
  <c r="S11" i="17"/>
  <c r="R11" i="17"/>
  <c r="Q11" i="17"/>
  <c r="X11" i="17" s="1"/>
  <c r="P11" i="17"/>
  <c r="S10" i="17"/>
  <c r="R10" i="17"/>
  <c r="Q10" i="17"/>
  <c r="V10" i="17" s="1"/>
  <c r="P10" i="17"/>
  <c r="G10" i="17"/>
  <c r="S9" i="17"/>
  <c r="R9" i="17"/>
  <c r="Q9" i="17"/>
  <c r="V9" i="17" s="1"/>
  <c r="P9" i="17"/>
  <c r="G9" i="17"/>
  <c r="G6" i="17"/>
  <c r="G5" i="17"/>
  <c r="E2" i="17"/>
  <c r="E7" i="16"/>
  <c r="E7" i="17" s="1"/>
  <c r="E8" i="16"/>
  <c r="E8" i="17" s="1"/>
  <c r="E9" i="16"/>
  <c r="E9" i="17" s="1"/>
  <c r="E10" i="16"/>
  <c r="E11" i="16"/>
  <c r="E12" i="16"/>
  <c r="E13" i="16"/>
  <c r="E14" i="16"/>
  <c r="E15" i="16"/>
  <c r="E16" i="16"/>
  <c r="E300" i="16"/>
  <c r="E299" i="16"/>
  <c r="E298" i="16"/>
  <c r="E297" i="16"/>
  <c r="E296" i="16"/>
  <c r="E295" i="16"/>
  <c r="E294" i="16"/>
  <c r="E293" i="16"/>
  <c r="E292" i="16"/>
  <c r="E291" i="16"/>
  <c r="E290" i="16"/>
  <c r="E289" i="16"/>
  <c r="E288" i="16"/>
  <c r="E287" i="16"/>
  <c r="E286" i="16"/>
  <c r="E285" i="16"/>
  <c r="E284" i="16"/>
  <c r="E283" i="16"/>
  <c r="E282" i="16"/>
  <c r="E281" i="16"/>
  <c r="E280" i="16"/>
  <c r="E279" i="16"/>
  <c r="E278" i="16"/>
  <c r="E277" i="16"/>
  <c r="E276" i="16"/>
  <c r="E275" i="16"/>
  <c r="E274" i="16"/>
  <c r="E273" i="16"/>
  <c r="E272" i="16"/>
  <c r="E271" i="16"/>
  <c r="E270" i="16"/>
  <c r="E269" i="16"/>
  <c r="E268" i="16"/>
  <c r="E267" i="16"/>
  <c r="E266" i="16"/>
  <c r="E265" i="16"/>
  <c r="E264" i="16"/>
  <c r="E263" i="16"/>
  <c r="E262" i="16"/>
  <c r="E261" i="16"/>
  <c r="E260" i="16"/>
  <c r="E259" i="16"/>
  <c r="E258" i="16"/>
  <c r="E257" i="16"/>
  <c r="E256" i="16"/>
  <c r="E255" i="16"/>
  <c r="E254" i="16"/>
  <c r="E253" i="16"/>
  <c r="E252" i="16"/>
  <c r="E251" i="16"/>
  <c r="E250" i="16"/>
  <c r="E249" i="16"/>
  <c r="E248" i="16"/>
  <c r="E247" i="16"/>
  <c r="E246" i="16"/>
  <c r="E245" i="16"/>
  <c r="E244" i="16"/>
  <c r="E243" i="16"/>
  <c r="E242" i="16"/>
  <c r="E241" i="16"/>
  <c r="E240" i="16"/>
  <c r="E239" i="16"/>
  <c r="E238" i="16"/>
  <c r="E237" i="16"/>
  <c r="E236" i="16"/>
  <c r="E235" i="16"/>
  <c r="E234" i="16"/>
  <c r="E233" i="16"/>
  <c r="E232" i="16"/>
  <c r="E231" i="16"/>
  <c r="E230" i="16"/>
  <c r="E229" i="16"/>
  <c r="E228" i="16"/>
  <c r="E227" i="16"/>
  <c r="E226" i="16"/>
  <c r="E225" i="16"/>
  <c r="E224" i="16"/>
  <c r="E223" i="16"/>
  <c r="E222" i="16"/>
  <c r="E221" i="16"/>
  <c r="E220" i="16"/>
  <c r="E219" i="16"/>
  <c r="E218" i="16"/>
  <c r="E217" i="16"/>
  <c r="E216" i="16"/>
  <c r="E215" i="16"/>
  <c r="E214" i="16"/>
  <c r="E213" i="16"/>
  <c r="E212" i="16"/>
  <c r="E211" i="16"/>
  <c r="E210" i="16"/>
  <c r="E209" i="16"/>
  <c r="E208" i="16"/>
  <c r="E207" i="16"/>
  <c r="E206" i="16"/>
  <c r="E205" i="16"/>
  <c r="E204" i="16"/>
  <c r="E203" i="16"/>
  <c r="E202" i="16"/>
  <c r="E201" i="16"/>
  <c r="E200" i="16"/>
  <c r="E199" i="16"/>
  <c r="E198" i="16"/>
  <c r="E197" i="16"/>
  <c r="E196" i="16"/>
  <c r="E195" i="16"/>
  <c r="E194" i="16"/>
  <c r="E193" i="16"/>
  <c r="E192" i="16"/>
  <c r="E191" i="16"/>
  <c r="E190" i="16"/>
  <c r="E189" i="16"/>
  <c r="E188" i="16"/>
  <c r="E187" i="16"/>
  <c r="E186" i="16"/>
  <c r="E185" i="16"/>
  <c r="E184" i="16"/>
  <c r="E183" i="16"/>
  <c r="E182" i="16"/>
  <c r="E181" i="16"/>
  <c r="E180" i="16"/>
  <c r="E179" i="16"/>
  <c r="E178" i="16"/>
  <c r="E177" i="16"/>
  <c r="E176" i="16"/>
  <c r="E175" i="16"/>
  <c r="E174" i="16"/>
  <c r="E173" i="16"/>
  <c r="E172" i="16"/>
  <c r="E171" i="16"/>
  <c r="E170" i="16"/>
  <c r="E169" i="16"/>
  <c r="E168" i="16"/>
  <c r="E167" i="16"/>
  <c r="E166" i="16"/>
  <c r="E165" i="16"/>
  <c r="E164" i="16"/>
  <c r="E163" i="16"/>
  <c r="E162" i="16"/>
  <c r="E161" i="16"/>
  <c r="E160" i="16"/>
  <c r="E159" i="16"/>
  <c r="E158" i="16"/>
  <c r="E157" i="16"/>
  <c r="E156" i="16"/>
  <c r="E155" i="16"/>
  <c r="E154" i="16"/>
  <c r="E153" i="16"/>
  <c r="E152" i="16"/>
  <c r="E151" i="16"/>
  <c r="E150" i="16"/>
  <c r="E149" i="16"/>
  <c r="E148" i="16"/>
  <c r="E147" i="16"/>
  <c r="E146" i="16"/>
  <c r="E145" i="16"/>
  <c r="E144" i="16"/>
  <c r="E143" i="16"/>
  <c r="E142" i="16"/>
  <c r="E141" i="16"/>
  <c r="E140" i="16"/>
  <c r="E139" i="16"/>
  <c r="E138" i="16"/>
  <c r="E137" i="16"/>
  <c r="E136" i="16"/>
  <c r="E135" i="16"/>
  <c r="E134" i="16"/>
  <c r="E133" i="16"/>
  <c r="E132" i="16"/>
  <c r="E131" i="16"/>
  <c r="E130" i="16"/>
  <c r="E129" i="16"/>
  <c r="E128" i="16"/>
  <c r="E127" i="16"/>
  <c r="E126" i="16"/>
  <c r="E125" i="16"/>
  <c r="E124" i="16"/>
  <c r="E123" i="16"/>
  <c r="E122" i="16"/>
  <c r="E121" i="16"/>
  <c r="E120" i="16"/>
  <c r="E119" i="16"/>
  <c r="E118" i="16"/>
  <c r="E117" i="16"/>
  <c r="E116" i="16"/>
  <c r="E115" i="16"/>
  <c r="E114" i="16"/>
  <c r="E113" i="16"/>
  <c r="E112" i="16"/>
  <c r="E111" i="16"/>
  <c r="E110" i="16"/>
  <c r="E109" i="16"/>
  <c r="E108" i="16"/>
  <c r="E107" i="16"/>
  <c r="E106" i="16"/>
  <c r="E105" i="16"/>
  <c r="E104" i="16"/>
  <c r="E103" i="16"/>
  <c r="E102" i="16"/>
  <c r="E101" i="16"/>
  <c r="E100" i="16"/>
  <c r="E99" i="16"/>
  <c r="E98" i="16"/>
  <c r="E97" i="16"/>
  <c r="E96" i="16"/>
  <c r="E95" i="16"/>
  <c r="E94" i="16"/>
  <c r="E93" i="16"/>
  <c r="E92" i="16"/>
  <c r="E91" i="16"/>
  <c r="E90" i="16"/>
  <c r="E89" i="16"/>
  <c r="E88" i="16"/>
  <c r="E87" i="16"/>
  <c r="E86" i="16"/>
  <c r="E85" i="16"/>
  <c r="E84" i="16"/>
  <c r="E83" i="16"/>
  <c r="E82" i="16"/>
  <c r="E81" i="16"/>
  <c r="E80" i="16"/>
  <c r="E79" i="16"/>
  <c r="E78" i="16"/>
  <c r="E77" i="16"/>
  <c r="E76" i="16"/>
  <c r="E75" i="16"/>
  <c r="E74" i="16"/>
  <c r="E73" i="16"/>
  <c r="E72" i="16"/>
  <c r="E71" i="16"/>
  <c r="E70" i="16"/>
  <c r="E69" i="16"/>
  <c r="E68" i="16"/>
  <c r="E67" i="16"/>
  <c r="E66" i="16"/>
  <c r="E65" i="16"/>
  <c r="E64" i="16"/>
  <c r="E63" i="16"/>
  <c r="E62" i="16"/>
  <c r="E61" i="16"/>
  <c r="E60" i="16"/>
  <c r="E59" i="16"/>
  <c r="E58" i="16"/>
  <c r="E57" i="16"/>
  <c r="E56" i="16"/>
  <c r="E55" i="16"/>
  <c r="E54" i="16"/>
  <c r="E53" i="16"/>
  <c r="E52" i="16"/>
  <c r="E51" i="16"/>
  <c r="E50" i="16"/>
  <c r="E49" i="16"/>
  <c r="E48" i="16"/>
  <c r="E47" i="16"/>
  <c r="E46" i="16"/>
  <c r="E45" i="16"/>
  <c r="E44" i="16"/>
  <c r="E43" i="16"/>
  <c r="E42" i="16"/>
  <c r="E41" i="16"/>
  <c r="E40" i="16"/>
  <c r="E39" i="16"/>
  <c r="E38" i="16"/>
  <c r="E37" i="16"/>
  <c r="E36" i="16"/>
  <c r="E35" i="16"/>
  <c r="E34" i="16"/>
  <c r="E33" i="16"/>
  <c r="E32" i="16"/>
  <c r="E31" i="16"/>
  <c r="E30" i="16"/>
  <c r="E29" i="16"/>
  <c r="E28" i="16"/>
  <c r="E27" i="16"/>
  <c r="E26" i="16"/>
  <c r="E25" i="16"/>
  <c r="E24" i="16"/>
  <c r="E23" i="16"/>
  <c r="E22" i="16"/>
  <c r="E21" i="16"/>
  <c r="E20" i="16"/>
  <c r="E19" i="16"/>
  <c r="E18" i="16"/>
  <c r="E17" i="16"/>
  <c r="D9" i="17" l="1"/>
  <c r="C8" i="17"/>
  <c r="D5" i="17"/>
  <c r="D4" i="17"/>
  <c r="K44" i="11"/>
  <c r="D2" i="17"/>
  <c r="G9" i="15"/>
  <c r="G8" i="15"/>
  <c r="I9" i="15"/>
  <c r="I8" i="15"/>
  <c r="X16" i="17"/>
  <c r="I207" i="17"/>
  <c r="K248" i="17"/>
  <c r="J248" i="17"/>
  <c r="L138" i="17"/>
  <c r="K138" i="17"/>
  <c r="L154" i="17"/>
  <c r="K154" i="17"/>
  <c r="K201" i="17"/>
  <c r="M201" i="17"/>
  <c r="J201" i="17"/>
  <c r="G299" i="17"/>
  <c r="H299" i="17"/>
  <c r="I299" i="17" s="1"/>
  <c r="H211" i="17"/>
  <c r="G211" i="17"/>
  <c r="L211" i="17" s="1"/>
  <c r="L134" i="17"/>
  <c r="K134" i="17"/>
  <c r="L150" i="17"/>
  <c r="K150" i="17"/>
  <c r="L158" i="17"/>
  <c r="K158" i="17"/>
  <c r="L166" i="17"/>
  <c r="K166" i="17"/>
  <c r="L186" i="17"/>
  <c r="K186" i="17"/>
  <c r="L190" i="17"/>
  <c r="K190" i="17"/>
  <c r="L194" i="17"/>
  <c r="K194" i="17"/>
  <c r="M237" i="17"/>
  <c r="L237" i="17"/>
  <c r="G283" i="17"/>
  <c r="H283" i="17"/>
  <c r="I283" i="17" s="1"/>
  <c r="G271" i="17"/>
  <c r="H271" i="17"/>
  <c r="I271" i="17" s="1"/>
  <c r="H127" i="17"/>
  <c r="I127" i="17" s="1"/>
  <c r="G127" i="17"/>
  <c r="K127" i="17" s="1"/>
  <c r="K85" i="17"/>
  <c r="K86" i="17"/>
  <c r="G95" i="17"/>
  <c r="K95" i="17" s="1"/>
  <c r="K101" i="17"/>
  <c r="K102" i="17"/>
  <c r="G111" i="17"/>
  <c r="K117" i="17"/>
  <c r="G119" i="17"/>
  <c r="K119" i="17" s="1"/>
  <c r="I197" i="17"/>
  <c r="I201" i="17"/>
  <c r="I205" i="17"/>
  <c r="K240" i="17"/>
  <c r="J240" i="17"/>
  <c r="M245" i="17"/>
  <c r="L245" i="17"/>
  <c r="M247" i="17"/>
  <c r="H267" i="17"/>
  <c r="H284" i="17"/>
  <c r="I284" i="17" s="1"/>
  <c r="H295" i="17"/>
  <c r="I295" i="17" s="1"/>
  <c r="L142" i="17"/>
  <c r="K142" i="17"/>
  <c r="L146" i="17"/>
  <c r="K146" i="17"/>
  <c r="L162" i="17"/>
  <c r="K162" i="17"/>
  <c r="L170" i="17"/>
  <c r="K170" i="17"/>
  <c r="L174" i="17"/>
  <c r="K174" i="17"/>
  <c r="L178" i="17"/>
  <c r="K178" i="17"/>
  <c r="L182" i="17"/>
  <c r="K182" i="17"/>
  <c r="K197" i="17"/>
  <c r="M197" i="17"/>
  <c r="J197" i="17"/>
  <c r="K205" i="17"/>
  <c r="M205" i="17"/>
  <c r="J205" i="17"/>
  <c r="H219" i="17"/>
  <c r="G219" i="17"/>
  <c r="L219" i="17" s="1"/>
  <c r="I13" i="17"/>
  <c r="I17" i="17"/>
  <c r="I21" i="17"/>
  <c r="K89" i="17"/>
  <c r="K90" i="17"/>
  <c r="K105" i="17"/>
  <c r="K106" i="17"/>
  <c r="G115" i="17"/>
  <c r="K115" i="17" s="1"/>
  <c r="L122" i="17"/>
  <c r="L133" i="17"/>
  <c r="K133" i="17"/>
  <c r="G135" i="17"/>
  <c r="K135" i="17" s="1"/>
  <c r="G139" i="17"/>
  <c r="G143" i="17"/>
  <c r="G147" i="17"/>
  <c r="G151" i="17"/>
  <c r="G155" i="17"/>
  <c r="G159" i="17"/>
  <c r="G163" i="17"/>
  <c r="K163" i="17" s="1"/>
  <c r="G167" i="17"/>
  <c r="G171" i="17"/>
  <c r="G175" i="17"/>
  <c r="K175" i="17" s="1"/>
  <c r="G179" i="17"/>
  <c r="G183" i="17"/>
  <c r="G187" i="17"/>
  <c r="G191" i="17"/>
  <c r="G195" i="17"/>
  <c r="G199" i="17"/>
  <c r="I199" i="17" s="1"/>
  <c r="G203" i="17"/>
  <c r="G207" i="17"/>
  <c r="H235" i="17"/>
  <c r="I235" i="17" s="1"/>
  <c r="H263" i="17"/>
  <c r="G268" i="17"/>
  <c r="G275" i="17"/>
  <c r="H279" i="17"/>
  <c r="I279" i="17" s="1"/>
  <c r="H291" i="17"/>
  <c r="G296" i="17"/>
  <c r="G123" i="17"/>
  <c r="G227" i="17"/>
  <c r="L227" i="17" s="1"/>
  <c r="G259" i="17"/>
  <c r="G287" i="17"/>
  <c r="G292" i="17"/>
  <c r="H292" i="17"/>
  <c r="I292" i="17" s="1"/>
  <c r="G264" i="17"/>
  <c r="H264" i="17"/>
  <c r="I264" i="17" s="1"/>
  <c r="K244" i="17"/>
  <c r="J244" i="17"/>
  <c r="H192" i="17"/>
  <c r="I192" i="17" s="1"/>
  <c r="G192" i="17"/>
  <c r="L192" i="17" s="1"/>
  <c r="H188" i="17"/>
  <c r="I188" i="17" s="1"/>
  <c r="G188" i="17"/>
  <c r="L188" i="17" s="1"/>
  <c r="H184" i="17"/>
  <c r="G184" i="17"/>
  <c r="L184" i="17" s="1"/>
  <c r="H180" i="17"/>
  <c r="I180" i="17" s="1"/>
  <c r="G180" i="17"/>
  <c r="L180" i="17" s="1"/>
  <c r="H176" i="17"/>
  <c r="I176" i="17" s="1"/>
  <c r="G176" i="17"/>
  <c r="L176" i="17" s="1"/>
  <c r="H172" i="17"/>
  <c r="I172" i="17" s="1"/>
  <c r="G172" i="17"/>
  <c r="L172" i="17" s="1"/>
  <c r="H168" i="17"/>
  <c r="I168" i="17" s="1"/>
  <c r="G168" i="17"/>
  <c r="L168" i="17" s="1"/>
  <c r="H164" i="17"/>
  <c r="I164" i="17" s="1"/>
  <c r="G164" i="17"/>
  <c r="L164" i="17" s="1"/>
  <c r="H160" i="17"/>
  <c r="I160" i="17" s="1"/>
  <c r="G160" i="17"/>
  <c r="L160" i="17" s="1"/>
  <c r="H156" i="17"/>
  <c r="I156" i="17" s="1"/>
  <c r="G156" i="17"/>
  <c r="L156" i="17" s="1"/>
  <c r="H152" i="17"/>
  <c r="I152" i="17" s="1"/>
  <c r="G152" i="17"/>
  <c r="L152" i="17" s="1"/>
  <c r="H148" i="17"/>
  <c r="I148" i="17" s="1"/>
  <c r="G148" i="17"/>
  <c r="L148" i="17" s="1"/>
  <c r="H144" i="17"/>
  <c r="I144" i="17" s="1"/>
  <c r="G144" i="17"/>
  <c r="L144" i="17" s="1"/>
  <c r="H140" i="17"/>
  <c r="I140" i="17" s="1"/>
  <c r="G140" i="17"/>
  <c r="L140" i="17" s="1"/>
  <c r="H136" i="17"/>
  <c r="G136" i="17"/>
  <c r="L136" i="17" s="1"/>
  <c r="Y16" i="17"/>
  <c r="W13" i="17"/>
  <c r="X20" i="17"/>
  <c r="U11" i="17"/>
  <c r="Y20" i="17"/>
  <c r="W12" i="17"/>
  <c r="Y11" i="17"/>
  <c r="X12" i="17"/>
  <c r="X13" i="17"/>
  <c r="U16" i="17"/>
  <c r="U20" i="17"/>
  <c r="W9" i="17"/>
  <c r="Y12" i="17"/>
  <c r="U15" i="17"/>
  <c r="W16" i="17"/>
  <c r="W17" i="17"/>
  <c r="U19" i="17"/>
  <c r="W20" i="17"/>
  <c r="W21" i="17"/>
  <c r="X9" i="17"/>
  <c r="U12" i="17"/>
  <c r="Y15" i="17"/>
  <c r="X17" i="17"/>
  <c r="Y19" i="17"/>
  <c r="X21" i="17"/>
  <c r="G7" i="17"/>
  <c r="J23" i="17"/>
  <c r="M23" i="17"/>
  <c r="I23" i="17"/>
  <c r="L23" i="17"/>
  <c r="J25" i="17"/>
  <c r="M25" i="17"/>
  <c r="I25" i="17"/>
  <c r="L25" i="17"/>
  <c r="J27" i="17"/>
  <c r="M27" i="17"/>
  <c r="I27" i="17"/>
  <c r="L27" i="17"/>
  <c r="J28" i="17"/>
  <c r="L28" i="17"/>
  <c r="M28" i="17"/>
  <c r="I28" i="17"/>
  <c r="J29" i="17"/>
  <c r="L29" i="17"/>
  <c r="M29" i="17"/>
  <c r="I29" i="17"/>
  <c r="J30" i="17"/>
  <c r="L30" i="17"/>
  <c r="M30" i="17"/>
  <c r="I30" i="17"/>
  <c r="J31" i="17"/>
  <c r="L31" i="17"/>
  <c r="M31" i="17"/>
  <c r="I31" i="17"/>
  <c r="J32" i="17"/>
  <c r="L32" i="17"/>
  <c r="M32" i="17"/>
  <c r="I32" i="17"/>
  <c r="J34" i="17"/>
  <c r="L34" i="17"/>
  <c r="M34" i="17"/>
  <c r="I34" i="17"/>
  <c r="J35" i="17"/>
  <c r="L35" i="17"/>
  <c r="M35" i="17"/>
  <c r="I35" i="17"/>
  <c r="J36" i="17"/>
  <c r="L36" i="17"/>
  <c r="M36" i="17"/>
  <c r="I36" i="17"/>
  <c r="J37" i="17"/>
  <c r="L37" i="17"/>
  <c r="M37" i="17"/>
  <c r="I37" i="17"/>
  <c r="J38" i="17"/>
  <c r="L38" i="17"/>
  <c r="M38" i="17"/>
  <c r="I38" i="17"/>
  <c r="J39" i="17"/>
  <c r="M39" i="17"/>
  <c r="I39" i="17"/>
  <c r="L39" i="17"/>
  <c r="J40" i="17"/>
  <c r="L40" i="17"/>
  <c r="M40" i="17"/>
  <c r="I40" i="17"/>
  <c r="J41" i="17"/>
  <c r="M41" i="17"/>
  <c r="I41" i="17"/>
  <c r="L41" i="17"/>
  <c r="J42" i="17"/>
  <c r="L42" i="17"/>
  <c r="M42" i="17"/>
  <c r="I42" i="17"/>
  <c r="J43" i="17"/>
  <c r="M43" i="17"/>
  <c r="I43" i="17"/>
  <c r="L43" i="17"/>
  <c r="J44" i="17"/>
  <c r="M44" i="17"/>
  <c r="I44" i="17"/>
  <c r="L44" i="17"/>
  <c r="J45" i="17"/>
  <c r="L45" i="17"/>
  <c r="M45" i="17"/>
  <c r="I45" i="17"/>
  <c r="J46" i="17"/>
  <c r="M46" i="17"/>
  <c r="I46" i="17"/>
  <c r="L46" i="17"/>
  <c r="J47" i="17"/>
  <c r="L47" i="17"/>
  <c r="M47" i="17"/>
  <c r="I47" i="17"/>
  <c r="J48" i="17"/>
  <c r="M48" i="17"/>
  <c r="I48" i="17"/>
  <c r="L48" i="17"/>
  <c r="J49" i="17"/>
  <c r="L49" i="17"/>
  <c r="M49" i="17"/>
  <c r="I49" i="17"/>
  <c r="J50" i="17"/>
  <c r="M50" i="17"/>
  <c r="I50" i="17"/>
  <c r="L50" i="17"/>
  <c r="J51" i="17"/>
  <c r="L51" i="17"/>
  <c r="M51" i="17"/>
  <c r="I51" i="17"/>
  <c r="J52" i="17"/>
  <c r="L52" i="17"/>
  <c r="M52" i="17"/>
  <c r="I52" i="17"/>
  <c r="J53" i="17"/>
  <c r="L53" i="17"/>
  <c r="M53" i="17"/>
  <c r="I53" i="17"/>
  <c r="J54" i="17"/>
  <c r="M54" i="17"/>
  <c r="I54" i="17"/>
  <c r="L54" i="17"/>
  <c r="J55" i="17"/>
  <c r="L55" i="17"/>
  <c r="M55" i="17"/>
  <c r="I55" i="17"/>
  <c r="J56" i="17"/>
  <c r="L56" i="17"/>
  <c r="M56" i="17"/>
  <c r="I56" i="17"/>
  <c r="J57" i="17"/>
  <c r="M57" i="17"/>
  <c r="I57" i="17"/>
  <c r="L57" i="17"/>
  <c r="J58" i="17"/>
  <c r="L58" i="17"/>
  <c r="M58" i="17"/>
  <c r="I58" i="17"/>
  <c r="J59" i="17"/>
  <c r="M59" i="17"/>
  <c r="I59" i="17"/>
  <c r="L59" i="17"/>
  <c r="J60" i="17"/>
  <c r="L60" i="17"/>
  <c r="M60" i="17"/>
  <c r="I60" i="17"/>
  <c r="J61" i="17"/>
  <c r="L61" i="17"/>
  <c r="M61" i="17"/>
  <c r="I61" i="17"/>
  <c r="J62" i="17"/>
  <c r="M62" i="17"/>
  <c r="I62" i="17"/>
  <c r="L62" i="17"/>
  <c r="J63" i="17"/>
  <c r="M63" i="17"/>
  <c r="I63" i="17"/>
  <c r="L63" i="17"/>
  <c r="J64" i="17"/>
  <c r="L64" i="17"/>
  <c r="M64" i="17"/>
  <c r="I64" i="17"/>
  <c r="J65" i="17"/>
  <c r="L65" i="17"/>
  <c r="M65" i="17"/>
  <c r="I65" i="17"/>
  <c r="J66" i="17"/>
  <c r="L66" i="17"/>
  <c r="M66" i="17"/>
  <c r="I66" i="17"/>
  <c r="J67" i="17"/>
  <c r="M67" i="17"/>
  <c r="I67" i="17"/>
  <c r="L67" i="17"/>
  <c r="J68" i="17"/>
  <c r="M68" i="17"/>
  <c r="I68" i="17"/>
  <c r="L68" i="17"/>
  <c r="J69" i="17"/>
  <c r="L69" i="17"/>
  <c r="M69" i="17"/>
  <c r="I69" i="17"/>
  <c r="J70" i="17"/>
  <c r="M70" i="17"/>
  <c r="I70" i="17"/>
  <c r="L70" i="17"/>
  <c r="J71" i="17"/>
  <c r="L71" i="17"/>
  <c r="M71" i="17"/>
  <c r="I71" i="17"/>
  <c r="J72" i="17"/>
  <c r="M72" i="17"/>
  <c r="I72" i="17"/>
  <c r="L72" i="17"/>
  <c r="J73" i="17"/>
  <c r="L73" i="17"/>
  <c r="M73" i="17"/>
  <c r="I73" i="17"/>
  <c r="J74" i="17"/>
  <c r="M74" i="17"/>
  <c r="I74" i="17"/>
  <c r="L74" i="17"/>
  <c r="J75" i="17"/>
  <c r="L75" i="17"/>
  <c r="M75" i="17"/>
  <c r="I75" i="17"/>
  <c r="J76" i="17"/>
  <c r="M76" i="17"/>
  <c r="I76" i="17"/>
  <c r="L76" i="17"/>
  <c r="J77" i="17"/>
  <c r="L77" i="17"/>
  <c r="M77" i="17"/>
  <c r="I77" i="17"/>
  <c r="J78" i="17"/>
  <c r="L78" i="17"/>
  <c r="M78" i="17"/>
  <c r="I78" i="17"/>
  <c r="J79" i="17"/>
  <c r="M79" i="17"/>
  <c r="I79" i="17"/>
  <c r="L79" i="17"/>
  <c r="J14" i="17"/>
  <c r="M14" i="17"/>
  <c r="I14" i="17"/>
  <c r="L14" i="17"/>
  <c r="Y14" i="17"/>
  <c r="U14" i="17"/>
  <c r="W14" i="17"/>
  <c r="X14" i="17"/>
  <c r="G15" i="17"/>
  <c r="H15" i="17"/>
  <c r="K14" i="17"/>
  <c r="J22" i="17"/>
  <c r="L22" i="17"/>
  <c r="M22" i="17"/>
  <c r="I22" i="17"/>
  <c r="J24" i="17"/>
  <c r="L24" i="17"/>
  <c r="M24" i="17"/>
  <c r="I24" i="17"/>
  <c r="J26" i="17"/>
  <c r="M26" i="17"/>
  <c r="I26" i="17"/>
  <c r="L26" i="17"/>
  <c r="J33" i="17"/>
  <c r="L33" i="17"/>
  <c r="M33" i="17"/>
  <c r="I33" i="17"/>
  <c r="G3" i="17"/>
  <c r="Y10" i="17"/>
  <c r="U10" i="17"/>
  <c r="X10" i="17"/>
  <c r="W10" i="17"/>
  <c r="G11" i="17"/>
  <c r="V14" i="17"/>
  <c r="J18" i="17"/>
  <c r="M18" i="17"/>
  <c r="I18" i="17"/>
  <c r="L18" i="17"/>
  <c r="Y18" i="17"/>
  <c r="U18" i="17"/>
  <c r="W18" i="17"/>
  <c r="X18" i="17"/>
  <c r="G19" i="17"/>
  <c r="H19" i="17"/>
  <c r="M80" i="17"/>
  <c r="I80" i="17"/>
  <c r="J83" i="17"/>
  <c r="M83" i="17"/>
  <c r="I83" i="17"/>
  <c r="J91" i="17"/>
  <c r="M91" i="17"/>
  <c r="I91" i="17"/>
  <c r="J99" i="17"/>
  <c r="M99" i="17"/>
  <c r="I99" i="17"/>
  <c r="J103" i="17"/>
  <c r="M103" i="17"/>
  <c r="I103" i="17"/>
  <c r="J111" i="17"/>
  <c r="M111" i="17"/>
  <c r="I111" i="17"/>
  <c r="J123" i="17"/>
  <c r="M123" i="17"/>
  <c r="I123" i="17"/>
  <c r="J131" i="17"/>
  <c r="M131" i="17"/>
  <c r="I131" i="17"/>
  <c r="J139" i="17"/>
  <c r="M139" i="17"/>
  <c r="I139" i="17"/>
  <c r="J143" i="17"/>
  <c r="M143" i="17"/>
  <c r="I143" i="17"/>
  <c r="J147" i="17"/>
  <c r="M147" i="17"/>
  <c r="I147" i="17"/>
  <c r="J151" i="17"/>
  <c r="M151" i="17"/>
  <c r="I151" i="17"/>
  <c r="J155" i="17"/>
  <c r="M155" i="17"/>
  <c r="I155" i="17"/>
  <c r="J159" i="17"/>
  <c r="M159" i="17"/>
  <c r="I159" i="17"/>
  <c r="J167" i="17"/>
  <c r="M167" i="17"/>
  <c r="I167" i="17"/>
  <c r="J171" i="17"/>
  <c r="M171" i="17"/>
  <c r="I171" i="17"/>
  <c r="J179" i="17"/>
  <c r="M179" i="17"/>
  <c r="I179" i="17"/>
  <c r="J183" i="17"/>
  <c r="M183" i="17"/>
  <c r="I183" i="17"/>
  <c r="J187" i="17"/>
  <c r="M187" i="17"/>
  <c r="I187" i="17"/>
  <c r="J191" i="17"/>
  <c r="M191" i="17"/>
  <c r="I191" i="17"/>
  <c r="G202" i="17"/>
  <c r="H202" i="17"/>
  <c r="J84" i="17"/>
  <c r="M84" i="17"/>
  <c r="I84" i="17"/>
  <c r="J88" i="17"/>
  <c r="M88" i="17"/>
  <c r="I88" i="17"/>
  <c r="J96" i="17"/>
  <c r="M96" i="17"/>
  <c r="I96" i="17"/>
  <c r="J112" i="17"/>
  <c r="M112" i="17"/>
  <c r="I112" i="17"/>
  <c r="J120" i="17"/>
  <c r="M120" i="17"/>
  <c r="I120" i="17"/>
  <c r="J128" i="17"/>
  <c r="M128" i="17"/>
  <c r="I128" i="17"/>
  <c r="J144" i="17"/>
  <c r="M144" i="17"/>
  <c r="J152" i="17"/>
  <c r="M152" i="17"/>
  <c r="J156" i="17"/>
  <c r="M156" i="17"/>
  <c r="J160" i="17"/>
  <c r="M160" i="17"/>
  <c r="J172" i="17"/>
  <c r="M172" i="17"/>
  <c r="J176" i="17"/>
  <c r="M176" i="17"/>
  <c r="J180" i="17"/>
  <c r="M180" i="17"/>
  <c r="G212" i="17"/>
  <c r="H212" i="17"/>
  <c r="G222" i="17"/>
  <c r="H222" i="17"/>
  <c r="K229" i="17"/>
  <c r="J229" i="17"/>
  <c r="L229" i="17"/>
  <c r="H243" i="17"/>
  <c r="I243" i="17" s="1"/>
  <c r="G249" i="17"/>
  <c r="H249" i="17"/>
  <c r="M261" i="17"/>
  <c r="I261" i="17"/>
  <c r="L261" i="17"/>
  <c r="K261" i="17"/>
  <c r="M293" i="17"/>
  <c r="I293" i="17"/>
  <c r="L293" i="17"/>
  <c r="K293" i="17"/>
  <c r="G2" i="17"/>
  <c r="H2" i="17" s="1"/>
  <c r="G4" i="17"/>
  <c r="J5" i="17"/>
  <c r="G8" i="17"/>
  <c r="J9" i="17"/>
  <c r="U9" i="17"/>
  <c r="Y9" i="17"/>
  <c r="W11" i="17"/>
  <c r="G12" i="17"/>
  <c r="J13" i="17"/>
  <c r="U13" i="17"/>
  <c r="Y13" i="17"/>
  <c r="W15" i="17"/>
  <c r="G16" i="17"/>
  <c r="J17" i="17"/>
  <c r="U17" i="17"/>
  <c r="Y17" i="17"/>
  <c r="W19" i="17"/>
  <c r="G20" i="17"/>
  <c r="J21" i="17"/>
  <c r="U21" i="17"/>
  <c r="Y21" i="17"/>
  <c r="J80" i="17"/>
  <c r="G81" i="17"/>
  <c r="K83" i="17"/>
  <c r="J85" i="17"/>
  <c r="M85" i="17"/>
  <c r="I85" i="17"/>
  <c r="J89" i="17"/>
  <c r="M89" i="17"/>
  <c r="I89" i="17"/>
  <c r="K91" i="17"/>
  <c r="J93" i="17"/>
  <c r="M93" i="17"/>
  <c r="I93" i="17"/>
  <c r="J97" i="17"/>
  <c r="M97" i="17"/>
  <c r="I97" i="17"/>
  <c r="K99" i="17"/>
  <c r="J101" i="17"/>
  <c r="M101" i="17"/>
  <c r="I101" i="17"/>
  <c r="K103" i="17"/>
  <c r="J105" i="17"/>
  <c r="M105" i="17"/>
  <c r="I105" i="17"/>
  <c r="J109" i="17"/>
  <c r="M109" i="17"/>
  <c r="I109" i="17"/>
  <c r="K111" i="17"/>
  <c r="J113" i="17"/>
  <c r="M113" i="17"/>
  <c r="I113" i="17"/>
  <c r="J117" i="17"/>
  <c r="M117" i="17"/>
  <c r="I117" i="17"/>
  <c r="J121" i="17"/>
  <c r="M121" i="17"/>
  <c r="I121" i="17"/>
  <c r="K123" i="17"/>
  <c r="J125" i="17"/>
  <c r="M125" i="17"/>
  <c r="I125" i="17"/>
  <c r="J129" i="17"/>
  <c r="M129" i="17"/>
  <c r="I129" i="17"/>
  <c r="K131" i="17"/>
  <c r="J133" i="17"/>
  <c r="M133" i="17"/>
  <c r="I133" i="17"/>
  <c r="J137" i="17"/>
  <c r="M137" i="17"/>
  <c r="I137" i="17"/>
  <c r="K139" i="17"/>
  <c r="J141" i="17"/>
  <c r="M141" i="17"/>
  <c r="I141" i="17"/>
  <c r="K143" i="17"/>
  <c r="J145" i="17"/>
  <c r="M145" i="17"/>
  <c r="I145" i="17"/>
  <c r="K147" i="17"/>
  <c r="J149" i="17"/>
  <c r="M149" i="17"/>
  <c r="I149" i="17"/>
  <c r="K151" i="17"/>
  <c r="J153" i="17"/>
  <c r="M153" i="17"/>
  <c r="I153" i="17"/>
  <c r="K155" i="17"/>
  <c r="J157" i="17"/>
  <c r="M157" i="17"/>
  <c r="I157" i="17"/>
  <c r="K159" i="17"/>
  <c r="J161" i="17"/>
  <c r="M161" i="17"/>
  <c r="I161" i="17"/>
  <c r="J165" i="17"/>
  <c r="M165" i="17"/>
  <c r="I165" i="17"/>
  <c r="K167" i="17"/>
  <c r="J169" i="17"/>
  <c r="M169" i="17"/>
  <c r="I169" i="17"/>
  <c r="K171" i="17"/>
  <c r="J173" i="17"/>
  <c r="M173" i="17"/>
  <c r="I173" i="17"/>
  <c r="J177" i="17"/>
  <c r="M177" i="17"/>
  <c r="I177" i="17"/>
  <c r="K179" i="17"/>
  <c r="J181" i="17"/>
  <c r="M181" i="17"/>
  <c r="I181" i="17"/>
  <c r="K183" i="17"/>
  <c r="J185" i="17"/>
  <c r="M185" i="17"/>
  <c r="I185" i="17"/>
  <c r="K187" i="17"/>
  <c r="J189" i="17"/>
  <c r="M189" i="17"/>
  <c r="I189" i="17"/>
  <c r="K191" i="17"/>
  <c r="J193" i="17"/>
  <c r="M193" i="17"/>
  <c r="I193" i="17"/>
  <c r="G214" i="17"/>
  <c r="H214" i="17"/>
  <c r="K221" i="17"/>
  <c r="J221" i="17"/>
  <c r="L221" i="17"/>
  <c r="H229" i="17"/>
  <c r="I229" i="17" s="1"/>
  <c r="G231" i="17"/>
  <c r="H231" i="17"/>
  <c r="K236" i="17"/>
  <c r="M236" i="17"/>
  <c r="L236" i="17"/>
  <c r="J236" i="17"/>
  <c r="J261" i="17"/>
  <c r="M285" i="17"/>
  <c r="I285" i="17"/>
  <c r="L285" i="17"/>
  <c r="K285" i="17"/>
  <c r="M288" i="17"/>
  <c r="I288" i="17"/>
  <c r="L288" i="17"/>
  <c r="K288" i="17"/>
  <c r="J288" i="17"/>
  <c r="J293" i="17"/>
  <c r="L80" i="17"/>
  <c r="J87" i="17"/>
  <c r="M87" i="17"/>
  <c r="I87" i="17"/>
  <c r="J95" i="17"/>
  <c r="M95" i="17"/>
  <c r="I95" i="17"/>
  <c r="J107" i="17"/>
  <c r="M107" i="17"/>
  <c r="I107" i="17"/>
  <c r="J115" i="17"/>
  <c r="M115" i="17"/>
  <c r="I115" i="17"/>
  <c r="J119" i="17"/>
  <c r="M119" i="17"/>
  <c r="I119" i="17"/>
  <c r="J127" i="17"/>
  <c r="M127" i="17"/>
  <c r="J135" i="17"/>
  <c r="M135" i="17"/>
  <c r="I135" i="17"/>
  <c r="J163" i="17"/>
  <c r="M163" i="17"/>
  <c r="I163" i="17"/>
  <c r="J175" i="17"/>
  <c r="M175" i="17"/>
  <c r="I175" i="17"/>
  <c r="G196" i="17"/>
  <c r="H196" i="17"/>
  <c r="G198" i="17"/>
  <c r="H198" i="17"/>
  <c r="G200" i="17"/>
  <c r="H200" i="17"/>
  <c r="G204" i="17"/>
  <c r="H204" i="17"/>
  <c r="G206" i="17"/>
  <c r="H206" i="17"/>
  <c r="G208" i="17"/>
  <c r="H208" i="17"/>
  <c r="G215" i="17"/>
  <c r="H215" i="17"/>
  <c r="G220" i="17"/>
  <c r="H220" i="17"/>
  <c r="G230" i="17"/>
  <c r="H230" i="17"/>
  <c r="G241" i="17"/>
  <c r="H241" i="17"/>
  <c r="K243" i="17"/>
  <c r="J243" i="17"/>
  <c r="M243" i="17"/>
  <c r="L243" i="17"/>
  <c r="M269" i="17"/>
  <c r="I269" i="17"/>
  <c r="L269" i="17"/>
  <c r="K269" i="17"/>
  <c r="M272" i="17"/>
  <c r="I272" i="17"/>
  <c r="L272" i="17"/>
  <c r="K272" i="17"/>
  <c r="J272" i="17"/>
  <c r="V11" i="17"/>
  <c r="V15" i="17"/>
  <c r="V19" i="17"/>
  <c r="J92" i="17"/>
  <c r="M92" i="17"/>
  <c r="I92" i="17"/>
  <c r="J100" i="17"/>
  <c r="M100" i="17"/>
  <c r="I100" i="17"/>
  <c r="J104" i="17"/>
  <c r="M104" i="17"/>
  <c r="I104" i="17"/>
  <c r="J108" i="17"/>
  <c r="M108" i="17"/>
  <c r="I108" i="17"/>
  <c r="J116" i="17"/>
  <c r="M116" i="17"/>
  <c r="I116" i="17"/>
  <c r="J124" i="17"/>
  <c r="M124" i="17"/>
  <c r="I124" i="17"/>
  <c r="J132" i="17"/>
  <c r="M132" i="17"/>
  <c r="I132" i="17"/>
  <c r="J136" i="17"/>
  <c r="M136" i="17"/>
  <c r="I136" i="17"/>
  <c r="J140" i="17"/>
  <c r="M140" i="17"/>
  <c r="J148" i="17"/>
  <c r="M148" i="17"/>
  <c r="J164" i="17"/>
  <c r="M164" i="17"/>
  <c r="J168" i="17"/>
  <c r="M168" i="17"/>
  <c r="J184" i="17"/>
  <c r="M184" i="17"/>
  <c r="I184" i="17"/>
  <c r="J188" i="17"/>
  <c r="M188" i="17"/>
  <c r="J192" i="17"/>
  <c r="M192" i="17"/>
  <c r="M264" i="17"/>
  <c r="L264" i="17"/>
  <c r="K264" i="17"/>
  <c r="J264" i="17"/>
  <c r="M296" i="17"/>
  <c r="I296" i="17"/>
  <c r="L296" i="17"/>
  <c r="K296" i="17"/>
  <c r="J296" i="17"/>
  <c r="K80" i="17"/>
  <c r="J82" i="17"/>
  <c r="M82" i="17"/>
  <c r="I82" i="17"/>
  <c r="L83" i="17"/>
  <c r="K84" i="17"/>
  <c r="J86" i="17"/>
  <c r="M86" i="17"/>
  <c r="I86" i="17"/>
  <c r="L87" i="17"/>
  <c r="K88" i="17"/>
  <c r="J90" i="17"/>
  <c r="M90" i="17"/>
  <c r="I90" i="17"/>
  <c r="L91" i="17"/>
  <c r="K92" i="17"/>
  <c r="J94" i="17"/>
  <c r="M94" i="17"/>
  <c r="I94" i="17"/>
  <c r="L95" i="17"/>
  <c r="K96" i="17"/>
  <c r="J98" i="17"/>
  <c r="M98" i="17"/>
  <c r="I98" i="17"/>
  <c r="L99" i="17"/>
  <c r="K100" i="17"/>
  <c r="J102" i="17"/>
  <c r="M102" i="17"/>
  <c r="I102" i="17"/>
  <c r="L103" i="17"/>
  <c r="K104" i="17"/>
  <c r="J106" i="17"/>
  <c r="M106" i="17"/>
  <c r="I106" i="17"/>
  <c r="L107" i="17"/>
  <c r="K108" i="17"/>
  <c r="J110" i="17"/>
  <c r="M110" i="17"/>
  <c r="I110" i="17"/>
  <c r="L111" i="17"/>
  <c r="K112" i="17"/>
  <c r="J114" i="17"/>
  <c r="M114" i="17"/>
  <c r="I114" i="17"/>
  <c r="L115" i="17"/>
  <c r="K116" i="17"/>
  <c r="J118" i="17"/>
  <c r="M118" i="17"/>
  <c r="I118" i="17"/>
  <c r="L119" i="17"/>
  <c r="K120" i="17"/>
  <c r="J122" i="17"/>
  <c r="M122" i="17"/>
  <c r="I122" i="17"/>
  <c r="L123" i="17"/>
  <c r="K124" i="17"/>
  <c r="J126" i="17"/>
  <c r="M126" i="17"/>
  <c r="I126" i="17"/>
  <c r="L127" i="17"/>
  <c r="K128" i="17"/>
  <c r="J130" i="17"/>
  <c r="M130" i="17"/>
  <c r="I130" i="17"/>
  <c r="L131" i="17"/>
  <c r="K132" i="17"/>
  <c r="J134" i="17"/>
  <c r="M134" i="17"/>
  <c r="I134" i="17"/>
  <c r="L135" i="17"/>
  <c r="K136" i="17"/>
  <c r="J138" i="17"/>
  <c r="M138" i="17"/>
  <c r="I138" i="17"/>
  <c r="L139" i="17"/>
  <c r="K140" i="17"/>
  <c r="J142" i="17"/>
  <c r="M142" i="17"/>
  <c r="I142" i="17"/>
  <c r="L143" i="17"/>
  <c r="K144" i="17"/>
  <c r="J146" i="17"/>
  <c r="M146" i="17"/>
  <c r="I146" i="17"/>
  <c r="L147" i="17"/>
  <c r="K148" i="17"/>
  <c r="J150" i="17"/>
  <c r="M150" i="17"/>
  <c r="I150" i="17"/>
  <c r="L151" i="17"/>
  <c r="K152" i="17"/>
  <c r="J154" i="17"/>
  <c r="M154" i="17"/>
  <c r="I154" i="17"/>
  <c r="L155" i="17"/>
  <c r="K156" i="17"/>
  <c r="J158" i="17"/>
  <c r="M158" i="17"/>
  <c r="I158" i="17"/>
  <c r="L159" i="17"/>
  <c r="K160" i="17"/>
  <c r="J162" i="17"/>
  <c r="M162" i="17"/>
  <c r="I162" i="17"/>
  <c r="L163" i="17"/>
  <c r="K164" i="17"/>
  <c r="J166" i="17"/>
  <c r="M166" i="17"/>
  <c r="I166" i="17"/>
  <c r="L167" i="17"/>
  <c r="K168" i="17"/>
  <c r="J170" i="17"/>
  <c r="M170" i="17"/>
  <c r="I170" i="17"/>
  <c r="L171" i="17"/>
  <c r="K172" i="17"/>
  <c r="J174" i="17"/>
  <c r="M174" i="17"/>
  <c r="I174" i="17"/>
  <c r="L175" i="17"/>
  <c r="K176" i="17"/>
  <c r="J178" i="17"/>
  <c r="M178" i="17"/>
  <c r="I178" i="17"/>
  <c r="L179" i="17"/>
  <c r="K180" i="17"/>
  <c r="J182" i="17"/>
  <c r="M182" i="17"/>
  <c r="I182" i="17"/>
  <c r="L183" i="17"/>
  <c r="K184" i="17"/>
  <c r="J186" i="17"/>
  <c r="M186" i="17"/>
  <c r="I186" i="17"/>
  <c r="L187" i="17"/>
  <c r="K188" i="17"/>
  <c r="J190" i="17"/>
  <c r="M190" i="17"/>
  <c r="I190" i="17"/>
  <c r="L191" i="17"/>
  <c r="K192" i="17"/>
  <c r="J194" i="17"/>
  <c r="M194" i="17"/>
  <c r="I194" i="17"/>
  <c r="K213" i="17"/>
  <c r="J213" i="17"/>
  <c r="L213" i="17"/>
  <c r="I213" i="17"/>
  <c r="H221" i="17"/>
  <c r="I221" i="17" s="1"/>
  <c r="G223" i="17"/>
  <c r="H223" i="17"/>
  <c r="G228" i="17"/>
  <c r="H228" i="17"/>
  <c r="M229" i="17"/>
  <c r="M277" i="17"/>
  <c r="I277" i="17"/>
  <c r="L277" i="17"/>
  <c r="K277" i="17"/>
  <c r="M280" i="17"/>
  <c r="I280" i="17"/>
  <c r="L280" i="17"/>
  <c r="K280" i="17"/>
  <c r="J280" i="17"/>
  <c r="J285" i="17"/>
  <c r="K209" i="17"/>
  <c r="J209" i="17"/>
  <c r="M209" i="17"/>
  <c r="G216" i="17"/>
  <c r="H216" i="17"/>
  <c r="K217" i="17"/>
  <c r="J217" i="17"/>
  <c r="M217" i="17"/>
  <c r="G224" i="17"/>
  <c r="H224" i="17"/>
  <c r="K225" i="17"/>
  <c r="J225" i="17"/>
  <c r="M225" i="17"/>
  <c r="G232" i="17"/>
  <c r="H232" i="17"/>
  <c r="K233" i="17"/>
  <c r="J233" i="17"/>
  <c r="M233" i="17"/>
  <c r="K239" i="17"/>
  <c r="J239" i="17"/>
  <c r="K247" i="17"/>
  <c r="J247" i="17"/>
  <c r="M260" i="17"/>
  <c r="I260" i="17"/>
  <c r="L260" i="17"/>
  <c r="K260" i="17"/>
  <c r="J260" i="17"/>
  <c r="M265" i="17"/>
  <c r="I265" i="17"/>
  <c r="L265" i="17"/>
  <c r="K265" i="17"/>
  <c r="M268" i="17"/>
  <c r="I268" i="17"/>
  <c r="L268" i="17"/>
  <c r="K268" i="17"/>
  <c r="J268" i="17"/>
  <c r="M273" i="17"/>
  <c r="I273" i="17"/>
  <c r="L273" i="17"/>
  <c r="K273" i="17"/>
  <c r="M276" i="17"/>
  <c r="I276" i="17"/>
  <c r="L276" i="17"/>
  <c r="K276" i="17"/>
  <c r="J276" i="17"/>
  <c r="M281" i="17"/>
  <c r="I281" i="17"/>
  <c r="L281" i="17"/>
  <c r="K281" i="17"/>
  <c r="M284" i="17"/>
  <c r="L284" i="17"/>
  <c r="K284" i="17"/>
  <c r="J284" i="17"/>
  <c r="M289" i="17"/>
  <c r="I289" i="17"/>
  <c r="L289" i="17"/>
  <c r="K289" i="17"/>
  <c r="M292" i="17"/>
  <c r="L292" i="17"/>
  <c r="K292" i="17"/>
  <c r="J292" i="17"/>
  <c r="M297" i="17"/>
  <c r="I297" i="17"/>
  <c r="L297" i="17"/>
  <c r="K297" i="17"/>
  <c r="J300" i="17"/>
  <c r="M300" i="17"/>
  <c r="I300" i="17"/>
  <c r="L300" i="17"/>
  <c r="K300" i="17"/>
  <c r="L195" i="17"/>
  <c r="L197" i="17"/>
  <c r="L199" i="17"/>
  <c r="L201" i="17"/>
  <c r="L203" i="17"/>
  <c r="L205" i="17"/>
  <c r="L207" i="17"/>
  <c r="H209" i="17"/>
  <c r="I209" i="17" s="1"/>
  <c r="G210" i="17"/>
  <c r="H210" i="17"/>
  <c r="K211" i="17"/>
  <c r="J211" i="17"/>
  <c r="M211" i="17"/>
  <c r="H217" i="17"/>
  <c r="I217" i="17" s="1"/>
  <c r="G218" i="17"/>
  <c r="H218" i="17"/>
  <c r="K219" i="17"/>
  <c r="J219" i="17"/>
  <c r="M219" i="17"/>
  <c r="H225" i="17"/>
  <c r="I225" i="17" s="1"/>
  <c r="G226" i="17"/>
  <c r="H226" i="17"/>
  <c r="K227" i="17"/>
  <c r="J227" i="17"/>
  <c r="M227" i="17"/>
  <c r="H233" i="17"/>
  <c r="I233" i="17" s="1"/>
  <c r="G234" i="17"/>
  <c r="H234" i="17"/>
  <c r="K235" i="17"/>
  <c r="J235" i="17"/>
  <c r="M235" i="17"/>
  <c r="K237" i="17"/>
  <c r="J237" i="17"/>
  <c r="I237" i="17"/>
  <c r="H239" i="17"/>
  <c r="I239" i="17" s="1"/>
  <c r="K245" i="17"/>
  <c r="J245" i="17"/>
  <c r="I245" i="17"/>
  <c r="H247" i="17"/>
  <c r="I247" i="17" s="1"/>
  <c r="J265" i="17"/>
  <c r="J273" i="17"/>
  <c r="J281" i="17"/>
  <c r="J289" i="17"/>
  <c r="J297" i="17"/>
  <c r="L238" i="17"/>
  <c r="L240" i="17"/>
  <c r="L242" i="17"/>
  <c r="L244" i="17"/>
  <c r="L246" i="17"/>
  <c r="L248" i="17"/>
  <c r="H250" i="17"/>
  <c r="G250" i="17"/>
  <c r="H251" i="17"/>
  <c r="G251" i="17"/>
  <c r="H252" i="17"/>
  <c r="G252" i="17"/>
  <c r="H253" i="17"/>
  <c r="G253" i="17"/>
  <c r="H254" i="17"/>
  <c r="G254" i="17"/>
  <c r="H255" i="17"/>
  <c r="G255" i="17"/>
  <c r="H256" i="17"/>
  <c r="G256" i="17"/>
  <c r="H257" i="17"/>
  <c r="G257" i="17"/>
  <c r="H258" i="17"/>
  <c r="G258" i="17"/>
  <c r="M259" i="17"/>
  <c r="I259" i="17"/>
  <c r="L259" i="17"/>
  <c r="K259" i="17"/>
  <c r="M263" i="17"/>
  <c r="I263" i="17"/>
  <c r="L263" i="17"/>
  <c r="K263" i="17"/>
  <c r="M267" i="17"/>
  <c r="I267" i="17"/>
  <c r="L267" i="17"/>
  <c r="K267" i="17"/>
  <c r="M271" i="17"/>
  <c r="L271" i="17"/>
  <c r="K271" i="17"/>
  <c r="M275" i="17"/>
  <c r="I275" i="17"/>
  <c r="L275" i="17"/>
  <c r="K275" i="17"/>
  <c r="M279" i="17"/>
  <c r="L279" i="17"/>
  <c r="K279" i="17"/>
  <c r="M283" i="17"/>
  <c r="L283" i="17"/>
  <c r="K283" i="17"/>
  <c r="M287" i="17"/>
  <c r="I287" i="17"/>
  <c r="L287" i="17"/>
  <c r="K287" i="17"/>
  <c r="M291" i="17"/>
  <c r="I291" i="17"/>
  <c r="L291" i="17"/>
  <c r="K291" i="17"/>
  <c r="M295" i="17"/>
  <c r="L295" i="17"/>
  <c r="K295" i="17"/>
  <c r="M299" i="17"/>
  <c r="L299" i="17"/>
  <c r="K299" i="17"/>
  <c r="H236" i="17"/>
  <c r="I236" i="17" s="1"/>
  <c r="H238" i="17"/>
  <c r="I238" i="17" s="1"/>
  <c r="M238" i="17"/>
  <c r="H240" i="17"/>
  <c r="I240" i="17" s="1"/>
  <c r="M240" i="17"/>
  <c r="H242" i="17"/>
  <c r="I242" i="17" s="1"/>
  <c r="M242" i="17"/>
  <c r="H244" i="17"/>
  <c r="I244" i="17" s="1"/>
  <c r="M244" i="17"/>
  <c r="H246" i="17"/>
  <c r="I246" i="17" s="1"/>
  <c r="M246" i="17"/>
  <c r="H248" i="17"/>
  <c r="I248" i="17" s="1"/>
  <c r="M248" i="17"/>
  <c r="J259" i="17"/>
  <c r="M262" i="17"/>
  <c r="I262" i="17"/>
  <c r="L262" i="17"/>
  <c r="K262" i="17"/>
  <c r="J263" i="17"/>
  <c r="M266" i="17"/>
  <c r="I266" i="17"/>
  <c r="L266" i="17"/>
  <c r="K266" i="17"/>
  <c r="J267" i="17"/>
  <c r="M270" i="17"/>
  <c r="I270" i="17"/>
  <c r="L270" i="17"/>
  <c r="K270" i="17"/>
  <c r="J271" i="17"/>
  <c r="M274" i="17"/>
  <c r="I274" i="17"/>
  <c r="L274" i="17"/>
  <c r="K274" i="17"/>
  <c r="J275" i="17"/>
  <c r="M278" i="17"/>
  <c r="I278" i="17"/>
  <c r="L278" i="17"/>
  <c r="K278" i="17"/>
  <c r="J279" i="17"/>
  <c r="M282" i="17"/>
  <c r="I282" i="17"/>
  <c r="L282" i="17"/>
  <c r="K282" i="17"/>
  <c r="J283" i="17"/>
  <c r="M286" i="17"/>
  <c r="I286" i="17"/>
  <c r="L286" i="17"/>
  <c r="K286" i="17"/>
  <c r="J287" i="17"/>
  <c r="M290" i="17"/>
  <c r="I290" i="17"/>
  <c r="L290" i="17"/>
  <c r="K290" i="17"/>
  <c r="J291" i="17"/>
  <c r="M294" i="17"/>
  <c r="I294" i="17"/>
  <c r="L294" i="17"/>
  <c r="K294" i="17"/>
  <c r="J295" i="17"/>
  <c r="M298" i="17"/>
  <c r="I298" i="17"/>
  <c r="L298" i="17"/>
  <c r="K298" i="17"/>
  <c r="J299" i="17"/>
  <c r="K9" i="15" l="1"/>
  <c r="L9" i="15"/>
  <c r="K8" i="15"/>
  <c r="L8" i="15"/>
  <c r="K195" i="17"/>
  <c r="M195" i="17"/>
  <c r="J195" i="17"/>
  <c r="I219" i="17"/>
  <c r="I211" i="17"/>
  <c r="I195" i="17"/>
  <c r="K207" i="17"/>
  <c r="M207" i="17"/>
  <c r="J207" i="17"/>
  <c r="I227" i="17"/>
  <c r="K203" i="17"/>
  <c r="M203" i="17"/>
  <c r="J203" i="17"/>
  <c r="I203" i="17"/>
  <c r="K199" i="17"/>
  <c r="M199" i="17"/>
  <c r="J199" i="17"/>
  <c r="H8" i="17"/>
  <c r="I8" i="17" s="1"/>
  <c r="K226" i="17"/>
  <c r="M226" i="17"/>
  <c r="L226" i="17"/>
  <c r="I226" i="17"/>
  <c r="J226" i="17"/>
  <c r="K230" i="17"/>
  <c r="M230" i="17"/>
  <c r="J230" i="17"/>
  <c r="I230" i="17"/>
  <c r="L230" i="17"/>
  <c r="K206" i="17"/>
  <c r="I206" i="17"/>
  <c r="M206" i="17"/>
  <c r="L206" i="17"/>
  <c r="J206" i="17"/>
  <c r="K196" i="17"/>
  <c r="I196" i="17"/>
  <c r="M196" i="17"/>
  <c r="L196" i="17"/>
  <c r="J196" i="17"/>
  <c r="K214" i="17"/>
  <c r="M214" i="17"/>
  <c r="J214" i="17"/>
  <c r="I214" i="17"/>
  <c r="L214" i="17"/>
  <c r="K222" i="17"/>
  <c r="M222" i="17"/>
  <c r="J222" i="17"/>
  <c r="I222" i="17"/>
  <c r="L222" i="17"/>
  <c r="J7" i="17"/>
  <c r="L256" i="17"/>
  <c r="K256" i="17"/>
  <c r="I256" i="17"/>
  <c r="J256" i="17"/>
  <c r="M256" i="17"/>
  <c r="L252" i="17"/>
  <c r="K252" i="17"/>
  <c r="I252" i="17"/>
  <c r="J252" i="17"/>
  <c r="M252" i="17"/>
  <c r="L250" i="17"/>
  <c r="K250" i="17"/>
  <c r="I250" i="17"/>
  <c r="M250" i="17"/>
  <c r="J250" i="17"/>
  <c r="K231" i="17"/>
  <c r="J231" i="17"/>
  <c r="I231" i="17"/>
  <c r="L231" i="17"/>
  <c r="M231" i="17"/>
  <c r="L20" i="17"/>
  <c r="K20" i="17"/>
  <c r="J20" i="17"/>
  <c r="M20" i="17"/>
  <c r="I20" i="17"/>
  <c r="J4" i="17"/>
  <c r="M15" i="17"/>
  <c r="I15" i="17"/>
  <c r="K15" i="17"/>
  <c r="L15" i="17"/>
  <c r="J15" i="17"/>
  <c r="K234" i="17"/>
  <c r="M234" i="17"/>
  <c r="L234" i="17"/>
  <c r="J234" i="17"/>
  <c r="I234" i="17"/>
  <c r="K218" i="17"/>
  <c r="M218" i="17"/>
  <c r="L218" i="17"/>
  <c r="J218" i="17"/>
  <c r="I218" i="17"/>
  <c r="K224" i="17"/>
  <c r="M224" i="17"/>
  <c r="I224" i="17"/>
  <c r="J224" i="17"/>
  <c r="L224" i="17"/>
  <c r="K223" i="17"/>
  <c r="J223" i="17"/>
  <c r="I223" i="17"/>
  <c r="M223" i="17"/>
  <c r="L223" i="17"/>
  <c r="K241" i="17"/>
  <c r="J241" i="17"/>
  <c r="I241" i="17"/>
  <c r="L241" i="17"/>
  <c r="M241" i="17"/>
  <c r="K220" i="17"/>
  <c r="M220" i="17"/>
  <c r="L220" i="17"/>
  <c r="J220" i="17"/>
  <c r="I220" i="17"/>
  <c r="K208" i="17"/>
  <c r="M208" i="17"/>
  <c r="I208" i="17"/>
  <c r="J208" i="17"/>
  <c r="L208" i="17"/>
  <c r="K204" i="17"/>
  <c r="I204" i="17"/>
  <c r="M204" i="17"/>
  <c r="J204" i="17"/>
  <c r="L204" i="17"/>
  <c r="K198" i="17"/>
  <c r="I198" i="17"/>
  <c r="M198" i="17"/>
  <c r="J198" i="17"/>
  <c r="L198" i="17"/>
  <c r="L16" i="17"/>
  <c r="J16" i="17"/>
  <c r="K16" i="17"/>
  <c r="M16" i="17"/>
  <c r="I16" i="17"/>
  <c r="K212" i="17"/>
  <c r="M212" i="17"/>
  <c r="L212" i="17"/>
  <c r="J212" i="17"/>
  <c r="I212" i="17"/>
  <c r="J11" i="17"/>
  <c r="H10" i="17"/>
  <c r="J10" i="17"/>
  <c r="H4" i="17"/>
  <c r="I4" i="17" s="1"/>
  <c r="K210" i="17"/>
  <c r="M210" i="17"/>
  <c r="L210" i="17"/>
  <c r="I210" i="17"/>
  <c r="J210" i="17"/>
  <c r="K228" i="17"/>
  <c r="M228" i="17"/>
  <c r="L228" i="17"/>
  <c r="J228" i="17"/>
  <c r="I228" i="17"/>
  <c r="K215" i="17"/>
  <c r="J215" i="17"/>
  <c r="I215" i="17"/>
  <c r="L215" i="17"/>
  <c r="M215" i="17"/>
  <c r="K200" i="17"/>
  <c r="I200" i="17"/>
  <c r="M200" i="17"/>
  <c r="L200" i="17"/>
  <c r="J200" i="17"/>
  <c r="J81" i="17"/>
  <c r="M81" i="17"/>
  <c r="I81" i="17"/>
  <c r="L81" i="17"/>
  <c r="K81" i="17"/>
  <c r="M19" i="17"/>
  <c r="I19" i="17"/>
  <c r="K19" i="17"/>
  <c r="L19" i="17"/>
  <c r="J19" i="17"/>
  <c r="J3" i="17"/>
  <c r="M258" i="17"/>
  <c r="L258" i="17"/>
  <c r="K258" i="17"/>
  <c r="I258" i="17"/>
  <c r="J258" i="17"/>
  <c r="L254" i="17"/>
  <c r="K254" i="17"/>
  <c r="I254" i="17"/>
  <c r="M254" i="17"/>
  <c r="J254" i="17"/>
  <c r="K232" i="17"/>
  <c r="M232" i="17"/>
  <c r="I232" i="17"/>
  <c r="L232" i="17"/>
  <c r="J232" i="17"/>
  <c r="J8" i="17"/>
  <c r="M8" i="17"/>
  <c r="K249" i="17"/>
  <c r="J249" i="17"/>
  <c r="I249" i="17"/>
  <c r="L249" i="17"/>
  <c r="M249" i="17"/>
  <c r="H3" i="17"/>
  <c r="I3" i="17" s="1"/>
  <c r="L257" i="17"/>
  <c r="K257" i="17"/>
  <c r="I257" i="17"/>
  <c r="J257" i="17"/>
  <c r="M257" i="17"/>
  <c r="L255" i="17"/>
  <c r="K255" i="17"/>
  <c r="I255" i="17"/>
  <c r="M255" i="17"/>
  <c r="J255" i="17"/>
  <c r="L253" i="17"/>
  <c r="K253" i="17"/>
  <c r="I253" i="17"/>
  <c r="J253" i="17"/>
  <c r="M253" i="17"/>
  <c r="L251" i="17"/>
  <c r="K251" i="17"/>
  <c r="I251" i="17"/>
  <c r="M251" i="17"/>
  <c r="J251" i="17"/>
  <c r="K216" i="17"/>
  <c r="M216" i="17"/>
  <c r="I216" i="17"/>
  <c r="L216" i="17"/>
  <c r="J216" i="17"/>
  <c r="L12" i="17"/>
  <c r="K12" i="17"/>
  <c r="J12" i="17"/>
  <c r="M12" i="17"/>
  <c r="I12" i="17"/>
  <c r="O2" i="17" a="1"/>
  <c r="H5" i="17"/>
  <c r="I2" i="17"/>
  <c r="M2" i="17" s="1"/>
  <c r="K2" i="17" s="1"/>
  <c r="L2" i="17" s="1"/>
  <c r="H9" i="17"/>
  <c r="K202" i="17"/>
  <c r="I202" i="17"/>
  <c r="M202" i="17"/>
  <c r="L202" i="17"/>
  <c r="J202" i="17"/>
  <c r="H11" i="17"/>
  <c r="I11" i="17" s="1"/>
  <c r="H6" i="17"/>
  <c r="J6" i="17"/>
  <c r="H7" i="17"/>
  <c r="I7" i="17" s="1"/>
  <c r="I9" i="17" l="1"/>
  <c r="M9" i="17"/>
  <c r="K9" i="17" s="1"/>
  <c r="L9" i="17" s="1"/>
  <c r="R8" i="17"/>
  <c r="P8" i="17"/>
  <c r="S8" i="17"/>
  <c r="Q8" i="17"/>
  <c r="M7" i="17"/>
  <c r="K7" i="17" s="1"/>
  <c r="L7" i="17" s="1"/>
  <c r="I6" i="17"/>
  <c r="M6" i="17"/>
  <c r="K6" i="17" s="1"/>
  <c r="L6" i="17" s="1"/>
  <c r="I5" i="17"/>
  <c r="M5" i="17"/>
  <c r="K5" i="17" s="1"/>
  <c r="L5" i="17" s="1"/>
  <c r="J44" i="11"/>
  <c r="M3" i="17"/>
  <c r="K3" i="17" s="1"/>
  <c r="L3" i="17" s="1"/>
  <c r="M4" i="17" s="1"/>
  <c r="K4" i="17" s="1"/>
  <c r="L4" i="17" s="1"/>
  <c r="Q7" i="17"/>
  <c r="P7" i="17"/>
  <c r="M11" i="17"/>
  <c r="K11" i="17" s="1"/>
  <c r="L11" i="17" s="1"/>
  <c r="K8" i="17"/>
  <c r="L8" i="17" s="1"/>
  <c r="S7" i="17" s="1"/>
  <c r="O2" i="17"/>
  <c r="Q6" i="17"/>
  <c r="M10" i="17"/>
  <c r="I10" i="17"/>
  <c r="Q4" i="17" s="1"/>
  <c r="V8" i="17" l="1"/>
  <c r="U8" i="17"/>
  <c r="X8" i="17"/>
  <c r="W8" i="17"/>
  <c r="Y8" i="17"/>
  <c r="R7" i="17"/>
  <c r="X7" i="17" s="1"/>
  <c r="S6" i="17"/>
  <c r="P5" i="17"/>
  <c r="S3" i="17"/>
  <c r="P3" i="17"/>
  <c r="P6" i="17"/>
  <c r="V6" i="17" s="1"/>
  <c r="P4" i="17"/>
  <c r="V4" i="17" s="1"/>
  <c r="R6" i="17"/>
  <c r="X6" i="17" s="1"/>
  <c r="K10" i="17"/>
  <c r="Y7" i="17"/>
  <c r="V7" i="17"/>
  <c r="U7" i="17"/>
  <c r="W7" i="17"/>
  <c r="Q5" i="17"/>
  <c r="Q3" i="17"/>
  <c r="Y3" i="17" s="1"/>
  <c r="R3" i="17"/>
  <c r="R4" i="17"/>
  <c r="X4" i="17" s="1"/>
  <c r="Y6" i="17"/>
  <c r="U6" i="17"/>
  <c r="W6" i="17"/>
  <c r="P2" i="17"/>
  <c r="S2" i="17"/>
  <c r="R2" i="17"/>
  <c r="Q2" i="17"/>
  <c r="W4" i="17"/>
  <c r="U4" i="17"/>
  <c r="V5" i="17" l="1"/>
  <c r="B8" i="2"/>
  <c r="X3" i="17"/>
  <c r="U3" i="17"/>
  <c r="W3" i="17"/>
  <c r="V3" i="17"/>
  <c r="U5" i="17"/>
  <c r="L10" i="17"/>
  <c r="R5" i="17"/>
  <c r="X5" i="17" s="1"/>
  <c r="W5" i="17"/>
  <c r="Y2" i="17"/>
  <c r="U2" i="17"/>
  <c r="X2" i="17"/>
  <c r="W2" i="17"/>
  <c r="V2" i="17"/>
  <c r="A2" i="15" l="1" a="1"/>
  <c r="S5" i="17"/>
  <c r="Y5" i="17" s="1"/>
  <c r="S4" i="17"/>
  <c r="Y4" i="17" s="1"/>
  <c r="A43" i="11" l="1"/>
  <c r="M7" i="15"/>
  <c r="E7" i="15" a="1"/>
  <c r="E7" i="15" s="1"/>
  <c r="J7" i="15"/>
  <c r="F7" i="15" a="1"/>
  <c r="F7" i="15" s="1"/>
  <c r="D7" i="15"/>
  <c r="D43" i="11" s="1"/>
  <c r="H7" i="15"/>
  <c r="H43" i="11" s="1"/>
  <c r="C7" i="15"/>
  <c r="C43" i="11" s="1"/>
  <c r="H6" i="15"/>
  <c r="H5" i="15"/>
  <c r="H41" i="11" s="1"/>
  <c r="H4" i="15"/>
  <c r="H3" i="15"/>
  <c r="A42" i="11"/>
  <c r="M6" i="15"/>
  <c r="J6" i="15"/>
  <c r="H42" i="11"/>
  <c r="F6" i="15" a="1"/>
  <c r="F6" i="15" s="1"/>
  <c r="E6" i="15" a="1"/>
  <c r="E6" i="15" s="1"/>
  <c r="D6" i="15"/>
  <c r="D42" i="11" s="1"/>
  <c r="C6" i="15"/>
  <c r="C42" i="11" s="1"/>
  <c r="A2" i="15"/>
  <c r="M2" i="15"/>
  <c r="C2" i="15"/>
  <c r="C38" i="11" s="1"/>
  <c r="B28" i="15"/>
  <c r="M10" i="15"/>
  <c r="L10" i="15"/>
  <c r="F10" i="15" a="1"/>
  <c r="F10" i="15" s="1"/>
  <c r="E10" i="15" a="1"/>
  <c r="E10" i="15" s="1"/>
  <c r="D10" i="15"/>
  <c r="C10" i="15"/>
  <c r="E14" i="4"/>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 i="9"/>
  <c r="D4" i="9"/>
  <c r="D5" i="9"/>
  <c r="D6" i="9"/>
  <c r="D7" i="9"/>
  <c r="D8" i="9"/>
  <c r="D9" i="9"/>
  <c r="D10" i="9"/>
  <c r="D2" i="9"/>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113" i="6"/>
  <c r="D114" i="6"/>
  <c r="D115" i="6"/>
  <c r="D116" i="6"/>
  <c r="D117" i="6"/>
  <c r="D118" i="6"/>
  <c r="D119" i="6"/>
  <c r="D120" i="6"/>
  <c r="D121" i="6"/>
  <c r="D122" i="6"/>
  <c r="D123" i="6"/>
  <c r="D124" i="6"/>
  <c r="D125" i="6"/>
  <c r="D126" i="6"/>
  <c r="D127" i="6"/>
  <c r="D128" i="6"/>
  <c r="D129" i="6"/>
  <c r="D130" i="6"/>
  <c r="D131" i="6"/>
  <c r="D132" i="6"/>
  <c r="D133" i="6"/>
  <c r="D134" i="6"/>
  <c r="D135" i="6"/>
  <c r="D136" i="6"/>
  <c r="D137" i="6"/>
  <c r="D138" i="6"/>
  <c r="D139" i="6"/>
  <c r="D140" i="6"/>
  <c r="D141" i="6"/>
  <c r="D142" i="6"/>
  <c r="D143" i="6"/>
  <c r="D144" i="6"/>
  <c r="D145" i="6"/>
  <c r="D146" i="6"/>
  <c r="D147" i="6"/>
  <c r="D148" i="6"/>
  <c r="D149" i="6"/>
  <c r="D150" i="6"/>
  <c r="D151" i="6"/>
  <c r="D152" i="6"/>
  <c r="D153" i="6"/>
  <c r="D154" i="6"/>
  <c r="D155" i="6"/>
  <c r="D156" i="6"/>
  <c r="D157" i="6"/>
  <c r="D158" i="6"/>
  <c r="D159" i="6"/>
  <c r="D160" i="6"/>
  <c r="D161" i="6"/>
  <c r="D162" i="6"/>
  <c r="D163" i="6"/>
  <c r="D164" i="6"/>
  <c r="D165" i="6"/>
  <c r="D166" i="6"/>
  <c r="D167" i="6"/>
  <c r="D168" i="6"/>
  <c r="D169" i="6"/>
  <c r="D170" i="6"/>
  <c r="D171" i="6"/>
  <c r="D172" i="6"/>
  <c r="D173" i="6"/>
  <c r="D174" i="6"/>
  <c r="D175" i="6"/>
  <c r="D176" i="6"/>
  <c r="D177" i="6"/>
  <c r="D178" i="6"/>
  <c r="D179" i="6"/>
  <c r="D180" i="6"/>
  <c r="D181" i="6"/>
  <c r="D182" i="6"/>
  <c r="D183" i="6"/>
  <c r="D184" i="6"/>
  <c r="D185" i="6"/>
  <c r="D186" i="6"/>
  <c r="D187" i="6"/>
  <c r="D188" i="6"/>
  <c r="D189" i="6"/>
  <c r="D190" i="6"/>
  <c r="D191" i="6"/>
  <c r="D192" i="6"/>
  <c r="D193" i="6"/>
  <c r="D194" i="6"/>
  <c r="D195" i="6"/>
  <c r="D196" i="6"/>
  <c r="D197" i="6"/>
  <c r="D198" i="6"/>
  <c r="D199" i="6"/>
  <c r="D200" i="6"/>
  <c r="D201" i="6"/>
  <c r="D202" i="6"/>
  <c r="D203" i="6"/>
  <c r="D204" i="6"/>
  <c r="D205" i="6"/>
  <c r="D206" i="6"/>
  <c r="D207" i="6"/>
  <c r="D208" i="6"/>
  <c r="D209" i="6"/>
  <c r="D210" i="6"/>
  <c r="D211" i="6"/>
  <c r="D212" i="6"/>
  <c r="D213" i="6"/>
  <c r="D214" i="6"/>
  <c r="D215" i="6"/>
  <c r="D216" i="6"/>
  <c r="D217" i="6"/>
  <c r="D218" i="6"/>
  <c r="D219" i="6"/>
  <c r="D220" i="6"/>
  <c r="D221" i="6"/>
  <c r="D222" i="6"/>
  <c r="D223" i="6"/>
  <c r="D224" i="6"/>
  <c r="D225" i="6"/>
  <c r="D226" i="6"/>
  <c r="D227" i="6"/>
  <c r="D228" i="6"/>
  <c r="D229" i="6"/>
  <c r="D230" i="6"/>
  <c r="D231" i="6"/>
  <c r="D232" i="6"/>
  <c r="D233" i="6"/>
  <c r="D234" i="6"/>
  <c r="D235" i="6"/>
  <c r="D236" i="6"/>
  <c r="D237" i="6"/>
  <c r="D238" i="6"/>
  <c r="D239" i="6"/>
  <c r="D240" i="6"/>
  <c r="D241" i="6"/>
  <c r="D242" i="6"/>
  <c r="D243" i="6"/>
  <c r="D244" i="6"/>
  <c r="D245" i="6"/>
  <c r="D246" i="6"/>
  <c r="D247" i="6"/>
  <c r="D248" i="6"/>
  <c r="D249" i="6"/>
  <c r="D250" i="6"/>
  <c r="D251" i="6"/>
  <c r="D252" i="6"/>
  <c r="D253" i="6"/>
  <c r="D254" i="6"/>
  <c r="D255" i="6"/>
  <c r="D256" i="6"/>
  <c r="D257" i="6"/>
  <c r="D258" i="6"/>
  <c r="D259" i="6"/>
  <c r="D260" i="6"/>
  <c r="D261" i="6"/>
  <c r="D262" i="6"/>
  <c r="D263" i="6"/>
  <c r="D264" i="6"/>
  <c r="D265" i="6"/>
  <c r="D266" i="6"/>
  <c r="D267" i="6"/>
  <c r="D268" i="6"/>
  <c r="D269" i="6"/>
  <c r="D270" i="6"/>
  <c r="D271" i="6"/>
  <c r="D272" i="6"/>
  <c r="D273" i="6"/>
  <c r="D274" i="6"/>
  <c r="D275" i="6"/>
  <c r="D276" i="6"/>
  <c r="D277" i="6"/>
  <c r="D278" i="6"/>
  <c r="D279" i="6"/>
  <c r="D280" i="6"/>
  <c r="D281" i="6"/>
  <c r="D282" i="6"/>
  <c r="D283" i="6"/>
  <c r="D284" i="6"/>
  <c r="D285" i="6"/>
  <c r="D286" i="6"/>
  <c r="D287" i="6"/>
  <c r="D288" i="6"/>
  <c r="D289" i="6"/>
  <c r="D290" i="6"/>
  <c r="D291" i="6"/>
  <c r="D292" i="6"/>
  <c r="D293" i="6"/>
  <c r="D294" i="6"/>
  <c r="D295" i="6"/>
  <c r="D296" i="6"/>
  <c r="D297" i="6"/>
  <c r="D298" i="6"/>
  <c r="D299" i="6"/>
  <c r="D3" i="6"/>
  <c r="D2" i="6"/>
  <c r="E43" i="11" l="1"/>
  <c r="I7" i="15"/>
  <c r="K43" i="11"/>
  <c r="M43" i="11"/>
  <c r="F43" i="11"/>
  <c r="G7" i="15"/>
  <c r="G43" i="11" s="1"/>
  <c r="H2" i="15"/>
  <c r="H38" i="11" s="1"/>
  <c r="E42" i="11"/>
  <c r="I6" i="15"/>
  <c r="K6" i="15" s="1"/>
  <c r="K42" i="11"/>
  <c r="F42" i="11"/>
  <c r="G6" i="15"/>
  <c r="G42" i="11" s="1"/>
  <c r="K38" i="11"/>
  <c r="D2" i="15"/>
  <c r="D38" i="11" s="1"/>
  <c r="A38" i="11"/>
  <c r="E2" i="15" a="1"/>
  <c r="E2" i="15" s="1"/>
  <c r="E38" i="11" s="1"/>
  <c r="E11" i="5"/>
  <c r="E12" i="5"/>
  <c r="E13" i="5"/>
  <c r="E11" i="8"/>
  <c r="E12" i="8"/>
  <c r="L7" i="15" l="1"/>
  <c r="I43" i="11"/>
  <c r="K7" i="15"/>
  <c r="L6" i="15"/>
  <c r="I42" i="11"/>
  <c r="J2" i="15"/>
  <c r="F2" i="15" a="1"/>
  <c r="F2" i="15" s="1"/>
  <c r="F38" i="11" s="1"/>
  <c r="E13" i="4"/>
  <c r="E12" i="4"/>
  <c r="E11" i="4"/>
  <c r="L43" i="11" l="1"/>
  <c r="J43" i="11"/>
  <c r="J42" i="11"/>
  <c r="G2" i="15"/>
  <c r="G38" i="11" s="1"/>
  <c r="I2" i="15"/>
  <c r="I38" i="11" s="1"/>
  <c r="E6" i="2"/>
  <c r="E5" i="2"/>
  <c r="B18" i="4"/>
  <c r="K6" i="4" s="1"/>
  <c r="B14" i="4"/>
  <c r="B15" i="4"/>
  <c r="B11" i="4"/>
  <c r="K4" i="4" s="1"/>
  <c r="E5" i="4"/>
  <c r="E6" i="4"/>
  <c r="E4" i="4"/>
  <c r="K5" i="4" l="1"/>
  <c r="B21" i="4"/>
  <c r="E8" i="2"/>
  <c r="F12" i="1"/>
  <c r="K2" i="15"/>
  <c r="L2" i="15"/>
  <c r="B23" i="11"/>
  <c r="L23" i="11"/>
  <c r="B24" i="11"/>
  <c r="L24" i="11"/>
  <c r="B25" i="11"/>
  <c r="L25" i="11"/>
  <c r="B26" i="11"/>
  <c r="L26" i="11"/>
  <c r="B27" i="11"/>
  <c r="L27" i="11"/>
  <c r="B28" i="11"/>
  <c r="L28" i="11"/>
  <c r="B29" i="11"/>
  <c r="L29" i="11"/>
  <c r="B30" i="11"/>
  <c r="L30" i="11"/>
  <c r="B31" i="11"/>
  <c r="L31" i="11"/>
  <c r="A32" i="11"/>
  <c r="B32" i="11"/>
  <c r="L32" i="11"/>
  <c r="A33" i="11"/>
  <c r="B33" i="11"/>
  <c r="L33" i="11"/>
  <c r="A34" i="11"/>
  <c r="B34" i="11"/>
  <c r="E34" i="11"/>
  <c r="F34" i="11"/>
  <c r="L34" i="11"/>
  <c r="A35" i="11"/>
  <c r="B35" i="11"/>
  <c r="E35" i="11"/>
  <c r="F35" i="11"/>
  <c r="L35" i="11"/>
  <c r="A36" i="11"/>
  <c r="B36" i="11"/>
  <c r="E36" i="11"/>
  <c r="F36" i="11"/>
  <c r="L36" i="11"/>
  <c r="A37" i="11"/>
  <c r="B37" i="11"/>
  <c r="E37" i="11"/>
  <c r="F37" i="11"/>
  <c r="L37" i="11"/>
  <c r="B22" i="11"/>
  <c r="L22" i="11"/>
  <c r="B3" i="11"/>
  <c r="L3" i="11"/>
  <c r="B4" i="11"/>
  <c r="L4" i="11"/>
  <c r="A5" i="11"/>
  <c r="B5" i="11"/>
  <c r="L5" i="11"/>
  <c r="A6" i="11"/>
  <c r="B6" i="11"/>
  <c r="L6" i="11"/>
  <c r="A7" i="11"/>
  <c r="B7" i="11"/>
  <c r="L7" i="11"/>
  <c r="A8" i="11"/>
  <c r="B8" i="11"/>
  <c r="L8" i="11"/>
  <c r="A9" i="11"/>
  <c r="B9" i="11"/>
  <c r="L9" i="11"/>
  <c r="A10" i="11"/>
  <c r="B10" i="11"/>
  <c r="L10" i="11"/>
  <c r="A11" i="11"/>
  <c r="B11" i="11"/>
  <c r="L11" i="11"/>
  <c r="A12" i="11"/>
  <c r="B12" i="11"/>
  <c r="L12" i="11"/>
  <c r="A13" i="11"/>
  <c r="B13" i="11"/>
  <c r="L13" i="11"/>
  <c r="A14" i="11"/>
  <c r="B14" i="11"/>
  <c r="E14" i="11"/>
  <c r="F14" i="11"/>
  <c r="L14" i="11"/>
  <c r="A15" i="11"/>
  <c r="B15" i="11"/>
  <c r="E15" i="11"/>
  <c r="F15" i="11"/>
  <c r="L15" i="11"/>
  <c r="A16" i="11"/>
  <c r="B16" i="11"/>
  <c r="E16" i="11"/>
  <c r="F16" i="11"/>
  <c r="L16" i="11"/>
  <c r="A17" i="11"/>
  <c r="B17" i="11"/>
  <c r="E17" i="11"/>
  <c r="F17" i="11"/>
  <c r="L17" i="11"/>
  <c r="A18" i="11"/>
  <c r="B18" i="11"/>
  <c r="E18" i="11"/>
  <c r="F18" i="11"/>
  <c r="L18" i="11"/>
  <c r="A19" i="11"/>
  <c r="B19" i="11"/>
  <c r="E19" i="11"/>
  <c r="F19" i="11"/>
  <c r="L19" i="11"/>
  <c r="A20" i="11"/>
  <c r="B20" i="11"/>
  <c r="E20" i="11"/>
  <c r="F20" i="11"/>
  <c r="L20" i="11"/>
  <c r="B2" i="11"/>
  <c r="L2" i="11"/>
  <c r="K7" i="4" l="1"/>
  <c r="J38" i="11"/>
  <c r="E2" i="8"/>
  <c r="E2" i="9" s="1"/>
  <c r="E3" i="8"/>
  <c r="E3" i="9" s="1"/>
  <c r="E4" i="8"/>
  <c r="E4" i="9" s="1"/>
  <c r="E5" i="8"/>
  <c r="E5" i="9" s="1"/>
  <c r="E6" i="8"/>
  <c r="E6" i="9" s="1"/>
  <c r="E7" i="8"/>
  <c r="E7" i="9" s="1"/>
  <c r="E8" i="8"/>
  <c r="E8" i="9" s="1"/>
  <c r="E9" i="8"/>
  <c r="E10" i="8"/>
  <c r="E10" i="9" s="1"/>
  <c r="E13" i="8"/>
  <c r="E13" i="9" s="1"/>
  <c r="E14" i="8"/>
  <c r="E14" i="9" s="1"/>
  <c r="K12" i="10"/>
  <c r="K32" i="11" s="1"/>
  <c r="K13" i="10"/>
  <c r="K33" i="11" s="1"/>
  <c r="K14" i="10"/>
  <c r="K34" i="11" s="1"/>
  <c r="K15" i="10"/>
  <c r="K35" i="11" s="1"/>
  <c r="K16" i="10"/>
  <c r="K36" i="11" s="1"/>
  <c r="K17" i="10"/>
  <c r="K37" i="11" s="1"/>
  <c r="K18" i="10"/>
  <c r="K19" i="10"/>
  <c r="K20" i="10"/>
  <c r="K21" i="10"/>
  <c r="H12" i="10"/>
  <c r="H32" i="11" s="1"/>
  <c r="H13" i="10"/>
  <c r="H33" i="11" s="1"/>
  <c r="H14" i="10"/>
  <c r="H34" i="11" s="1"/>
  <c r="H15" i="10"/>
  <c r="H35" i="11" s="1"/>
  <c r="H16" i="10"/>
  <c r="H36" i="11" s="1"/>
  <c r="H17" i="10"/>
  <c r="H37" i="11" s="1"/>
  <c r="H18" i="10"/>
  <c r="H19" i="10"/>
  <c r="H20" i="10"/>
  <c r="D12" i="10"/>
  <c r="D32" i="11" s="1"/>
  <c r="D13" i="10"/>
  <c r="D33" i="11" s="1"/>
  <c r="D14" i="10"/>
  <c r="D34" i="11" s="1"/>
  <c r="D15" i="10"/>
  <c r="D35" i="11" s="1"/>
  <c r="D16" i="10"/>
  <c r="D36" i="11" s="1"/>
  <c r="D17" i="10"/>
  <c r="D37" i="11" s="1"/>
  <c r="D18" i="10"/>
  <c r="D19" i="10"/>
  <c r="D20" i="10"/>
  <c r="D21" i="10"/>
  <c r="C12" i="10"/>
  <c r="C32" i="11" s="1"/>
  <c r="C13" i="10"/>
  <c r="C33" i="11" s="1"/>
  <c r="C14" i="10"/>
  <c r="C34" i="11" s="1"/>
  <c r="C15" i="10"/>
  <c r="C35" i="11" s="1"/>
  <c r="C16" i="10"/>
  <c r="C36" i="11" s="1"/>
  <c r="C17" i="10"/>
  <c r="C37" i="11" s="1"/>
  <c r="C18" i="10"/>
  <c r="C19" i="10"/>
  <c r="C20" i="10"/>
  <c r="C21" i="10"/>
  <c r="E9" i="9"/>
  <c r="E11" i="9"/>
  <c r="E12"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8" i="9"/>
  <c r="E79" i="9"/>
  <c r="E80" i="9"/>
  <c r="E81" i="9"/>
  <c r="E82" i="9"/>
  <c r="E83" i="9"/>
  <c r="E84" i="9"/>
  <c r="E85" i="9"/>
  <c r="E86" i="9"/>
  <c r="E87" i="9"/>
  <c r="E88" i="9"/>
  <c r="E89" i="9"/>
  <c r="E90" i="9"/>
  <c r="E91" i="9"/>
  <c r="E92" i="9"/>
  <c r="E93" i="9"/>
  <c r="E94" i="9"/>
  <c r="E95" i="9"/>
  <c r="E96" i="9"/>
  <c r="E97" i="9"/>
  <c r="E98" i="9"/>
  <c r="E99" i="9"/>
  <c r="E100" i="9"/>
  <c r="E101" i="9"/>
  <c r="E102" i="9"/>
  <c r="E103" i="9"/>
  <c r="E104" i="9"/>
  <c r="E105" i="9"/>
  <c r="E106" i="9"/>
  <c r="E107" i="9"/>
  <c r="E108" i="9"/>
  <c r="E109" i="9"/>
  <c r="E110" i="9"/>
  <c r="E111" i="9"/>
  <c r="E112" i="9"/>
  <c r="E113" i="9"/>
  <c r="E114" i="9"/>
  <c r="E115" i="9"/>
  <c r="E116" i="9"/>
  <c r="E117" i="9"/>
  <c r="E118" i="9"/>
  <c r="E119" i="9"/>
  <c r="E120" i="9"/>
  <c r="E121" i="9"/>
  <c r="E122" i="9"/>
  <c r="E123" i="9"/>
  <c r="E124" i="9"/>
  <c r="E125" i="9"/>
  <c r="E126" i="9"/>
  <c r="E127" i="9"/>
  <c r="E128" i="9"/>
  <c r="E129" i="9"/>
  <c r="E130" i="9"/>
  <c r="E131" i="9"/>
  <c r="E132" i="9"/>
  <c r="E133" i="9"/>
  <c r="E134" i="9"/>
  <c r="E135" i="9"/>
  <c r="E136" i="9"/>
  <c r="E137" i="9"/>
  <c r="E138" i="9"/>
  <c r="E139" i="9"/>
  <c r="E140" i="9"/>
  <c r="E141" i="9"/>
  <c r="E142" i="9"/>
  <c r="E143" i="9"/>
  <c r="E144" i="9"/>
  <c r="E145" i="9"/>
  <c r="E146" i="9"/>
  <c r="E147" i="9"/>
  <c r="E148" i="9"/>
  <c r="E149" i="9"/>
  <c r="E150" i="9"/>
  <c r="E151" i="9"/>
  <c r="E152" i="9"/>
  <c r="E153" i="9"/>
  <c r="E154" i="9"/>
  <c r="E155" i="9"/>
  <c r="E156" i="9"/>
  <c r="E157" i="9"/>
  <c r="E158" i="9"/>
  <c r="E159" i="9"/>
  <c r="E160" i="9"/>
  <c r="E161" i="9"/>
  <c r="E162" i="9"/>
  <c r="E163" i="9"/>
  <c r="E164" i="9"/>
  <c r="E165" i="9"/>
  <c r="E166" i="9"/>
  <c r="E167" i="9"/>
  <c r="E168" i="9"/>
  <c r="E169" i="9"/>
  <c r="E170" i="9"/>
  <c r="E171" i="9"/>
  <c r="E172" i="9"/>
  <c r="E173" i="9"/>
  <c r="E174" i="9"/>
  <c r="E175" i="9"/>
  <c r="E176" i="9"/>
  <c r="E177" i="9"/>
  <c r="E178" i="9"/>
  <c r="E179" i="9"/>
  <c r="E180" i="9"/>
  <c r="E181" i="9"/>
  <c r="E182" i="9"/>
  <c r="E183" i="9"/>
  <c r="E184" i="9"/>
  <c r="E185" i="9"/>
  <c r="E186" i="9"/>
  <c r="E187" i="9"/>
  <c r="E188" i="9"/>
  <c r="E189" i="9"/>
  <c r="E190" i="9"/>
  <c r="E191" i="9"/>
  <c r="E192" i="9"/>
  <c r="E193" i="9"/>
  <c r="E194" i="9"/>
  <c r="E195" i="9"/>
  <c r="E196" i="9"/>
  <c r="E197" i="9"/>
  <c r="E198" i="9"/>
  <c r="E199" i="9"/>
  <c r="E200" i="9"/>
  <c r="E201" i="9"/>
  <c r="E202" i="9"/>
  <c r="E203" i="9"/>
  <c r="E204" i="9"/>
  <c r="E205" i="9"/>
  <c r="E206" i="9"/>
  <c r="E207" i="9"/>
  <c r="E208" i="9"/>
  <c r="E209" i="9"/>
  <c r="E210" i="9"/>
  <c r="E211" i="9"/>
  <c r="E212" i="9"/>
  <c r="E213" i="9"/>
  <c r="E214" i="9"/>
  <c r="E215" i="9"/>
  <c r="E216" i="9"/>
  <c r="E217" i="9"/>
  <c r="E218" i="9"/>
  <c r="E219" i="9"/>
  <c r="E220" i="9"/>
  <c r="E221" i="9"/>
  <c r="E222" i="9"/>
  <c r="E223" i="9"/>
  <c r="E224" i="9"/>
  <c r="E225" i="9"/>
  <c r="E226" i="9"/>
  <c r="E227" i="9"/>
  <c r="E228" i="9"/>
  <c r="E229" i="9"/>
  <c r="E230" i="9"/>
  <c r="E231" i="9"/>
  <c r="E232" i="9"/>
  <c r="E233" i="9"/>
  <c r="E234" i="9"/>
  <c r="E235" i="9"/>
  <c r="E236" i="9"/>
  <c r="E237" i="9"/>
  <c r="E238" i="9"/>
  <c r="E239" i="9"/>
  <c r="E240" i="9"/>
  <c r="E241" i="9"/>
  <c r="E242" i="9"/>
  <c r="E243" i="9"/>
  <c r="E244" i="9"/>
  <c r="E245" i="9"/>
  <c r="E246" i="9"/>
  <c r="E247" i="9"/>
  <c r="E248" i="9"/>
  <c r="E249" i="9"/>
  <c r="E250" i="9"/>
  <c r="E251" i="9"/>
  <c r="E252" i="9"/>
  <c r="E253" i="9"/>
  <c r="E254" i="9"/>
  <c r="E255" i="9"/>
  <c r="E256" i="9"/>
  <c r="E257" i="9"/>
  <c r="E258" i="9"/>
  <c r="E259" i="9"/>
  <c r="E260" i="9"/>
  <c r="E261" i="9"/>
  <c r="E262" i="9"/>
  <c r="E263" i="9"/>
  <c r="E264" i="9"/>
  <c r="E265" i="9"/>
  <c r="E266" i="9"/>
  <c r="E267" i="9"/>
  <c r="E268" i="9"/>
  <c r="E269" i="9"/>
  <c r="E270" i="9"/>
  <c r="E271" i="9"/>
  <c r="E272" i="9"/>
  <c r="E273" i="9"/>
  <c r="E274" i="9"/>
  <c r="E275" i="9"/>
  <c r="E276" i="9"/>
  <c r="E277" i="9"/>
  <c r="E278" i="9"/>
  <c r="E279" i="9"/>
  <c r="E280" i="9"/>
  <c r="E281" i="9"/>
  <c r="E282" i="9"/>
  <c r="E283" i="9"/>
  <c r="E284" i="9"/>
  <c r="E285" i="9"/>
  <c r="E286" i="9"/>
  <c r="E287" i="9"/>
  <c r="E288" i="9"/>
  <c r="E289" i="9"/>
  <c r="E290" i="9"/>
  <c r="E291" i="9"/>
  <c r="E292" i="9"/>
  <c r="E293" i="9"/>
  <c r="E294" i="9"/>
  <c r="E295" i="9"/>
  <c r="E296" i="9"/>
  <c r="E297" i="9"/>
  <c r="E298" i="9"/>
  <c r="E299" i="9"/>
  <c r="E300" i="9"/>
  <c r="C5" i="9"/>
  <c r="C9" i="9"/>
  <c r="C12"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65" i="9"/>
  <c r="C66" i="9"/>
  <c r="C67" i="9"/>
  <c r="C68" i="9"/>
  <c r="C69" i="9"/>
  <c r="C70" i="9"/>
  <c r="C71" i="9"/>
  <c r="C72" i="9"/>
  <c r="C73" i="9"/>
  <c r="C74" i="9"/>
  <c r="C75" i="9"/>
  <c r="C76" i="9"/>
  <c r="C77" i="9"/>
  <c r="C78" i="9"/>
  <c r="C79" i="9"/>
  <c r="C80" i="9"/>
  <c r="C81" i="9"/>
  <c r="C82" i="9"/>
  <c r="C83" i="9"/>
  <c r="C84" i="9"/>
  <c r="C85" i="9"/>
  <c r="C86" i="9"/>
  <c r="C87" i="9"/>
  <c r="C88" i="9"/>
  <c r="C89" i="9"/>
  <c r="C90" i="9"/>
  <c r="C91" i="9"/>
  <c r="C92" i="9"/>
  <c r="C93" i="9"/>
  <c r="C94" i="9"/>
  <c r="C95" i="9"/>
  <c r="C96" i="9"/>
  <c r="C97" i="9"/>
  <c r="C98" i="9"/>
  <c r="C99" i="9"/>
  <c r="C100" i="9"/>
  <c r="C101" i="9"/>
  <c r="C102" i="9"/>
  <c r="C103" i="9"/>
  <c r="C104" i="9"/>
  <c r="C105" i="9"/>
  <c r="C106" i="9"/>
  <c r="C107" i="9"/>
  <c r="C108" i="9"/>
  <c r="C109" i="9"/>
  <c r="C110" i="9"/>
  <c r="C111" i="9"/>
  <c r="C112" i="9"/>
  <c r="C113" i="9"/>
  <c r="C114" i="9"/>
  <c r="C115" i="9"/>
  <c r="C116" i="9"/>
  <c r="C117" i="9"/>
  <c r="C118" i="9"/>
  <c r="C119" i="9"/>
  <c r="C120" i="9"/>
  <c r="C121" i="9"/>
  <c r="C122" i="9"/>
  <c r="C123" i="9"/>
  <c r="C124" i="9"/>
  <c r="C125" i="9"/>
  <c r="C126" i="9"/>
  <c r="C127" i="9"/>
  <c r="C128" i="9"/>
  <c r="C129" i="9"/>
  <c r="C130" i="9"/>
  <c r="C131" i="9"/>
  <c r="C132" i="9"/>
  <c r="C133" i="9"/>
  <c r="C134" i="9"/>
  <c r="C135" i="9"/>
  <c r="C136" i="9"/>
  <c r="C137" i="9"/>
  <c r="C138" i="9"/>
  <c r="C139" i="9"/>
  <c r="C140" i="9"/>
  <c r="C141" i="9"/>
  <c r="C142" i="9"/>
  <c r="C143" i="9"/>
  <c r="C144" i="9"/>
  <c r="C145" i="9"/>
  <c r="C146" i="9"/>
  <c r="C147" i="9"/>
  <c r="C148" i="9"/>
  <c r="C149" i="9"/>
  <c r="C150" i="9"/>
  <c r="C151" i="9"/>
  <c r="C152" i="9"/>
  <c r="C153" i="9"/>
  <c r="C154" i="9"/>
  <c r="C155" i="9"/>
  <c r="C156" i="9"/>
  <c r="C157" i="9"/>
  <c r="C158" i="9"/>
  <c r="C159" i="9"/>
  <c r="C160" i="9"/>
  <c r="C161" i="9"/>
  <c r="C162" i="9"/>
  <c r="C163" i="9"/>
  <c r="C164" i="9"/>
  <c r="C165" i="9"/>
  <c r="C166" i="9"/>
  <c r="C167" i="9"/>
  <c r="C168" i="9"/>
  <c r="C169" i="9"/>
  <c r="C170" i="9"/>
  <c r="C171" i="9"/>
  <c r="C172" i="9"/>
  <c r="C173" i="9"/>
  <c r="C174" i="9"/>
  <c r="C175" i="9"/>
  <c r="C176" i="9"/>
  <c r="C177" i="9"/>
  <c r="C178" i="9"/>
  <c r="C179" i="9"/>
  <c r="C180" i="9"/>
  <c r="C181" i="9"/>
  <c r="C182" i="9"/>
  <c r="C183" i="9"/>
  <c r="C184" i="9"/>
  <c r="C185" i="9"/>
  <c r="C186" i="9"/>
  <c r="C187" i="9"/>
  <c r="C188" i="9"/>
  <c r="C189" i="9"/>
  <c r="C190" i="9"/>
  <c r="C191" i="9"/>
  <c r="C192" i="9"/>
  <c r="C193" i="9"/>
  <c r="C194" i="9"/>
  <c r="C195" i="9"/>
  <c r="C196" i="9"/>
  <c r="C197" i="9"/>
  <c r="C198" i="9"/>
  <c r="C199" i="9"/>
  <c r="C200" i="9"/>
  <c r="C201" i="9"/>
  <c r="C202" i="9"/>
  <c r="C203" i="9"/>
  <c r="C204" i="9"/>
  <c r="C205" i="9"/>
  <c r="C206" i="9"/>
  <c r="C207" i="9"/>
  <c r="C208" i="9"/>
  <c r="C209" i="9"/>
  <c r="C210" i="9"/>
  <c r="C211" i="9"/>
  <c r="C212" i="9"/>
  <c r="C213" i="9"/>
  <c r="C214" i="9"/>
  <c r="C215" i="9"/>
  <c r="C216" i="9"/>
  <c r="C217" i="9"/>
  <c r="C218" i="9"/>
  <c r="C219" i="9"/>
  <c r="C220" i="9"/>
  <c r="C221" i="9"/>
  <c r="C222" i="9"/>
  <c r="C223" i="9"/>
  <c r="C224" i="9"/>
  <c r="C225" i="9"/>
  <c r="C226" i="9"/>
  <c r="C227" i="9"/>
  <c r="C228" i="9"/>
  <c r="C229" i="9"/>
  <c r="C230" i="9"/>
  <c r="C231" i="9"/>
  <c r="C232" i="9"/>
  <c r="C233" i="9"/>
  <c r="C234" i="9"/>
  <c r="C235" i="9"/>
  <c r="C236" i="9"/>
  <c r="C237" i="9"/>
  <c r="C238" i="9"/>
  <c r="C239" i="9"/>
  <c r="C240" i="9"/>
  <c r="C241" i="9"/>
  <c r="C242" i="9"/>
  <c r="C243" i="9"/>
  <c r="C244" i="9"/>
  <c r="C245" i="9"/>
  <c r="C246" i="9"/>
  <c r="C247" i="9"/>
  <c r="C248" i="9"/>
  <c r="C249" i="9"/>
  <c r="C250" i="9"/>
  <c r="C251" i="9"/>
  <c r="C252" i="9"/>
  <c r="C253" i="9"/>
  <c r="C254" i="9"/>
  <c r="C255" i="9"/>
  <c r="C256" i="9"/>
  <c r="C257" i="9"/>
  <c r="C258" i="9"/>
  <c r="C259" i="9"/>
  <c r="C260" i="9"/>
  <c r="C261" i="9"/>
  <c r="C262" i="9"/>
  <c r="C263" i="9"/>
  <c r="C264" i="9"/>
  <c r="C265" i="9"/>
  <c r="C266" i="9"/>
  <c r="C267" i="9"/>
  <c r="C268" i="9"/>
  <c r="C269" i="9"/>
  <c r="C270" i="9"/>
  <c r="C271" i="9"/>
  <c r="C272" i="9"/>
  <c r="C273" i="9"/>
  <c r="C274" i="9"/>
  <c r="C275" i="9"/>
  <c r="C276" i="9"/>
  <c r="C277" i="9"/>
  <c r="C278" i="9"/>
  <c r="C279" i="9"/>
  <c r="C280" i="9"/>
  <c r="C281" i="9"/>
  <c r="C282" i="9"/>
  <c r="C283" i="9"/>
  <c r="C284" i="9"/>
  <c r="C285" i="9"/>
  <c r="C286" i="9"/>
  <c r="C287" i="9"/>
  <c r="C288" i="9"/>
  <c r="C289" i="9"/>
  <c r="C290" i="9"/>
  <c r="C291" i="9"/>
  <c r="C292" i="9"/>
  <c r="C293" i="9"/>
  <c r="C294" i="9"/>
  <c r="C295" i="9"/>
  <c r="C296" i="9"/>
  <c r="C297" i="9"/>
  <c r="C298" i="9"/>
  <c r="C299" i="9"/>
  <c r="C300" i="9"/>
  <c r="C2" i="9"/>
  <c r="B3" i="9"/>
  <c r="C3" i="9" s="1"/>
  <c r="B4" i="9"/>
  <c r="C4" i="9" s="1"/>
  <c r="B5" i="9"/>
  <c r="B6" i="9"/>
  <c r="C6" i="9" s="1"/>
  <c r="B7" i="9"/>
  <c r="C7" i="9" s="1"/>
  <c r="B8" i="9"/>
  <c r="C8" i="9" s="1"/>
  <c r="B9" i="9"/>
  <c r="B10" i="9"/>
  <c r="C10" i="9" s="1"/>
  <c r="B11" i="9"/>
  <c r="B12" i="9"/>
  <c r="D12" i="9" s="1"/>
  <c r="B13" i="9"/>
  <c r="D13" i="9" s="1"/>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2" i="9"/>
  <c r="A13" i="9"/>
  <c r="A14" i="9"/>
  <c r="A15" i="9"/>
  <c r="A16" i="9"/>
  <c r="H16" i="9" s="1"/>
  <c r="A17" i="9"/>
  <c r="A18" i="9"/>
  <c r="A19" i="9"/>
  <c r="A20" i="9"/>
  <c r="G20" i="9" s="1"/>
  <c r="A21" i="9"/>
  <c r="A22" i="9"/>
  <c r="A23" i="9"/>
  <c r="A24" i="9"/>
  <c r="G24" i="9" s="1"/>
  <c r="A25" i="9"/>
  <c r="A26" i="9"/>
  <c r="A27" i="9"/>
  <c r="A28" i="9"/>
  <c r="G28" i="9" s="1"/>
  <c r="A29" i="9"/>
  <c r="A30" i="9"/>
  <c r="A31" i="9"/>
  <c r="A32" i="9"/>
  <c r="G32" i="9" s="1"/>
  <c r="A33" i="9"/>
  <c r="A34" i="9"/>
  <c r="A35" i="9"/>
  <c r="A36" i="9"/>
  <c r="G36" i="9" s="1"/>
  <c r="A37" i="9"/>
  <c r="A38" i="9"/>
  <c r="A39" i="9"/>
  <c r="A40" i="9"/>
  <c r="G40" i="9" s="1"/>
  <c r="A41" i="9"/>
  <c r="A42" i="9"/>
  <c r="A43" i="9"/>
  <c r="A44" i="9"/>
  <c r="G44" i="9" s="1"/>
  <c r="A45" i="9"/>
  <c r="A46" i="9"/>
  <c r="A47" i="9"/>
  <c r="A48" i="9"/>
  <c r="G48" i="9" s="1"/>
  <c r="A49" i="9"/>
  <c r="A50" i="9"/>
  <c r="A51" i="9"/>
  <c r="A52" i="9"/>
  <c r="G52" i="9" s="1"/>
  <c r="A53" i="9"/>
  <c r="A54" i="9"/>
  <c r="A55" i="9"/>
  <c r="A56" i="9"/>
  <c r="G56" i="9" s="1"/>
  <c r="A57" i="9"/>
  <c r="A58" i="9"/>
  <c r="A59" i="9"/>
  <c r="A60" i="9"/>
  <c r="G60" i="9" s="1"/>
  <c r="A61" i="9"/>
  <c r="A62" i="9"/>
  <c r="A63" i="9"/>
  <c r="A64" i="9"/>
  <c r="A65" i="9"/>
  <c r="A66" i="9"/>
  <c r="A67" i="9"/>
  <c r="A68" i="9"/>
  <c r="A69" i="9"/>
  <c r="A70" i="9"/>
  <c r="A71" i="9"/>
  <c r="A72" i="9"/>
  <c r="A73" i="9"/>
  <c r="A74" i="9"/>
  <c r="A75" i="9"/>
  <c r="A76" i="9"/>
  <c r="A77" i="9"/>
  <c r="A78" i="9"/>
  <c r="A79" i="9"/>
  <c r="A80" i="9"/>
  <c r="A81" i="9"/>
  <c r="A82" i="9"/>
  <c r="A83" i="9"/>
  <c r="H83" i="9" s="1"/>
  <c r="A84" i="9"/>
  <c r="A85" i="9"/>
  <c r="A86" i="9"/>
  <c r="A87" i="9"/>
  <c r="H87" i="9" s="1"/>
  <c r="A88" i="9"/>
  <c r="A89" i="9"/>
  <c r="A90" i="9"/>
  <c r="A91" i="9"/>
  <c r="H91" i="9" s="1"/>
  <c r="A92" i="9"/>
  <c r="A93" i="9"/>
  <c r="A94" i="9"/>
  <c r="A95" i="9"/>
  <c r="H95" i="9" s="1"/>
  <c r="A96" i="9"/>
  <c r="A97" i="9"/>
  <c r="A98" i="9"/>
  <c r="A99" i="9"/>
  <c r="H99" i="9" s="1"/>
  <c r="A100" i="9"/>
  <c r="A101" i="9"/>
  <c r="A102" i="9"/>
  <c r="A103" i="9"/>
  <c r="G103" i="9" s="1"/>
  <c r="A104" i="9"/>
  <c r="G104" i="9" s="1"/>
  <c r="A105" i="9"/>
  <c r="A106" i="9"/>
  <c r="A107" i="9"/>
  <c r="A108" i="9"/>
  <c r="H108" i="9" s="1"/>
  <c r="A109" i="9"/>
  <c r="A110" i="9"/>
  <c r="A111" i="9"/>
  <c r="G111" i="9" s="1"/>
  <c r="A112" i="9"/>
  <c r="G112" i="9" s="1"/>
  <c r="A113" i="9"/>
  <c r="A114" i="9"/>
  <c r="A115" i="9"/>
  <c r="A116" i="9"/>
  <c r="H116" i="9" s="1"/>
  <c r="A117" i="9"/>
  <c r="A118" i="9"/>
  <c r="A119" i="9"/>
  <c r="G119" i="9" s="1"/>
  <c r="A120" i="9"/>
  <c r="G120" i="9" s="1"/>
  <c r="A121" i="9"/>
  <c r="A122" i="9"/>
  <c r="A123" i="9"/>
  <c r="A124" i="9"/>
  <c r="H124" i="9" s="1"/>
  <c r="A125" i="9"/>
  <c r="A126" i="9"/>
  <c r="A127" i="9"/>
  <c r="H127" i="9" s="1"/>
  <c r="A128" i="9"/>
  <c r="H128" i="9" s="1"/>
  <c r="A129" i="9"/>
  <c r="A130" i="9"/>
  <c r="A131" i="9"/>
  <c r="H131" i="9" s="1"/>
  <c r="A132" i="9"/>
  <c r="H132" i="9" s="1"/>
  <c r="A133" i="9"/>
  <c r="A134" i="9"/>
  <c r="A135" i="9"/>
  <c r="H135" i="9" s="1"/>
  <c r="A136" i="9"/>
  <c r="H136" i="9" s="1"/>
  <c r="A137" i="9"/>
  <c r="A138" i="9"/>
  <c r="A139" i="9"/>
  <c r="H139" i="9" s="1"/>
  <c r="A140" i="9"/>
  <c r="H140" i="9" s="1"/>
  <c r="A141" i="9"/>
  <c r="A142" i="9"/>
  <c r="A143" i="9"/>
  <c r="H143" i="9" s="1"/>
  <c r="A144" i="9"/>
  <c r="H144" i="9" s="1"/>
  <c r="A145" i="9"/>
  <c r="A146" i="9"/>
  <c r="A147" i="9"/>
  <c r="H147" i="9" s="1"/>
  <c r="A148" i="9"/>
  <c r="H148" i="9" s="1"/>
  <c r="A149" i="9"/>
  <c r="A150" i="9"/>
  <c r="A151" i="9"/>
  <c r="H151" i="9" s="1"/>
  <c r="A152" i="9"/>
  <c r="H152" i="9" s="1"/>
  <c r="A153" i="9"/>
  <c r="A154" i="9"/>
  <c r="A155" i="9"/>
  <c r="H155" i="9" s="1"/>
  <c r="A156" i="9"/>
  <c r="A157" i="9"/>
  <c r="A158" i="9"/>
  <c r="A159" i="9"/>
  <c r="A160" i="9"/>
  <c r="H160" i="9" s="1"/>
  <c r="A161" i="9"/>
  <c r="A162" i="9"/>
  <c r="A163" i="9"/>
  <c r="H163" i="9" s="1"/>
  <c r="A164" i="9"/>
  <c r="H164" i="9" s="1"/>
  <c r="A165" i="9"/>
  <c r="A166" i="9"/>
  <c r="A167" i="9"/>
  <c r="A168" i="9"/>
  <c r="H168" i="9" s="1"/>
  <c r="A169" i="9"/>
  <c r="A170" i="9"/>
  <c r="A171" i="9"/>
  <c r="A172" i="9"/>
  <c r="A173" i="9"/>
  <c r="A174" i="9"/>
  <c r="A175" i="9"/>
  <c r="H175" i="9" s="1"/>
  <c r="A176" i="9"/>
  <c r="A177" i="9"/>
  <c r="A178" i="9"/>
  <c r="A179" i="9"/>
  <c r="A180" i="9"/>
  <c r="A181" i="9"/>
  <c r="A182" i="9"/>
  <c r="A183" i="9"/>
  <c r="H183" i="9" s="1"/>
  <c r="A184" i="9"/>
  <c r="A185" i="9"/>
  <c r="A186" i="9"/>
  <c r="A187" i="9"/>
  <c r="A188" i="9"/>
  <c r="A189" i="9"/>
  <c r="A190" i="9"/>
  <c r="A191" i="9"/>
  <c r="H191" i="9" s="1"/>
  <c r="A192" i="9"/>
  <c r="A193" i="9"/>
  <c r="A194" i="9"/>
  <c r="A195" i="9"/>
  <c r="A196" i="9"/>
  <c r="A197" i="9"/>
  <c r="A198" i="9"/>
  <c r="A199" i="9"/>
  <c r="H199" i="9" s="1"/>
  <c r="A200" i="9"/>
  <c r="A201" i="9"/>
  <c r="A202" i="9"/>
  <c r="A203" i="9"/>
  <c r="A204" i="9"/>
  <c r="A205" i="9"/>
  <c r="A206" i="9"/>
  <c r="A207" i="9"/>
  <c r="H207" i="9" s="1"/>
  <c r="A208" i="9"/>
  <c r="A209" i="9"/>
  <c r="A210" i="9"/>
  <c r="A211" i="9"/>
  <c r="H211" i="9" s="1"/>
  <c r="A212" i="9"/>
  <c r="A213" i="9"/>
  <c r="A214" i="9"/>
  <c r="A215" i="9"/>
  <c r="H215" i="9" s="1"/>
  <c r="A216" i="9"/>
  <c r="A217" i="9"/>
  <c r="A218" i="9"/>
  <c r="A219" i="9"/>
  <c r="G219" i="9" s="1"/>
  <c r="A220" i="9"/>
  <c r="A221" i="9"/>
  <c r="A222" i="9"/>
  <c r="A223" i="9"/>
  <c r="A224" i="9"/>
  <c r="G224" i="9" s="1"/>
  <c r="A225" i="9"/>
  <c r="A226" i="9"/>
  <c r="A227" i="9"/>
  <c r="H227" i="9" s="1"/>
  <c r="A228" i="9"/>
  <c r="A229" i="9"/>
  <c r="A230" i="9"/>
  <c r="A231" i="9"/>
  <c r="H231" i="9" s="1"/>
  <c r="A232" i="9"/>
  <c r="H232" i="9" s="1"/>
  <c r="A233" i="9"/>
  <c r="A234" i="9"/>
  <c r="A235" i="9"/>
  <c r="G235" i="9" s="1"/>
  <c r="A236" i="9"/>
  <c r="H236" i="9" s="1"/>
  <c r="A237" i="9"/>
  <c r="A238" i="9"/>
  <c r="A239" i="9"/>
  <c r="H239" i="9" s="1"/>
  <c r="A240" i="9"/>
  <c r="G240" i="9" s="1"/>
  <c r="L240" i="9" s="1"/>
  <c r="A241" i="9"/>
  <c r="A242" i="9"/>
  <c r="A243" i="9"/>
  <c r="H243" i="9" s="1"/>
  <c r="A244" i="9"/>
  <c r="G244" i="9" s="1"/>
  <c r="L244" i="9" s="1"/>
  <c r="A245" i="9"/>
  <c r="A246" i="9"/>
  <c r="A247" i="9"/>
  <c r="H247" i="9" s="1"/>
  <c r="A248" i="9"/>
  <c r="G248" i="9" s="1"/>
  <c r="L248" i="9" s="1"/>
  <c r="A249" i="9"/>
  <c r="A250" i="9"/>
  <c r="A251" i="9"/>
  <c r="H251" i="9" s="1"/>
  <c r="A252" i="9"/>
  <c r="G252" i="9" s="1"/>
  <c r="L252" i="9" s="1"/>
  <c r="A253" i="9"/>
  <c r="A254" i="9"/>
  <c r="A255" i="9"/>
  <c r="H255" i="9" s="1"/>
  <c r="A256" i="9"/>
  <c r="G256" i="9" s="1"/>
  <c r="L256" i="9" s="1"/>
  <c r="A257" i="9"/>
  <c r="A258" i="9"/>
  <c r="A259" i="9"/>
  <c r="H259" i="9" s="1"/>
  <c r="A260" i="9"/>
  <c r="A261" i="9"/>
  <c r="A262" i="9"/>
  <c r="A263" i="9"/>
  <c r="H263" i="9" s="1"/>
  <c r="A264" i="9"/>
  <c r="H264" i="9" s="1"/>
  <c r="A265" i="9"/>
  <c r="A266" i="9"/>
  <c r="A267" i="9"/>
  <c r="G267" i="9" s="1"/>
  <c r="A268" i="9"/>
  <c r="H268" i="9" s="1"/>
  <c r="A269" i="9"/>
  <c r="A270" i="9"/>
  <c r="A271" i="9"/>
  <c r="G271" i="9" s="1"/>
  <c r="A272" i="9"/>
  <c r="H272" i="9" s="1"/>
  <c r="A273" i="9"/>
  <c r="A274" i="9"/>
  <c r="A275" i="9"/>
  <c r="G275" i="9" s="1"/>
  <c r="A276" i="9"/>
  <c r="H276" i="9" s="1"/>
  <c r="A277" i="9"/>
  <c r="A278" i="9"/>
  <c r="A279" i="9"/>
  <c r="G279" i="9" s="1"/>
  <c r="A280" i="9"/>
  <c r="H280" i="9" s="1"/>
  <c r="A281" i="9"/>
  <c r="A282" i="9"/>
  <c r="A283" i="9"/>
  <c r="G283" i="9" s="1"/>
  <c r="A284" i="9"/>
  <c r="H284" i="9" s="1"/>
  <c r="A285" i="9"/>
  <c r="A286" i="9"/>
  <c r="A287" i="9"/>
  <c r="G287" i="9" s="1"/>
  <c r="A288" i="9"/>
  <c r="H288" i="9" s="1"/>
  <c r="A289" i="9"/>
  <c r="A290" i="9"/>
  <c r="A291" i="9"/>
  <c r="G291" i="9" s="1"/>
  <c r="A292" i="9"/>
  <c r="H292" i="9" s="1"/>
  <c r="A293" i="9"/>
  <c r="A294" i="9"/>
  <c r="A295" i="9"/>
  <c r="G295" i="9" s="1"/>
  <c r="A296" i="9"/>
  <c r="H296" i="9" s="1"/>
  <c r="A297" i="9"/>
  <c r="A298" i="9"/>
  <c r="A299" i="9"/>
  <c r="G299" i="9" s="1"/>
  <c r="A300" i="9"/>
  <c r="G300" i="9" s="1"/>
  <c r="A3" i="9"/>
  <c r="G3" i="9" s="1"/>
  <c r="A4" i="9"/>
  <c r="A5" i="9"/>
  <c r="A6" i="9"/>
  <c r="A7" i="9"/>
  <c r="G7" i="9" s="1"/>
  <c r="A8" i="9"/>
  <c r="A9" i="9"/>
  <c r="A10" i="9"/>
  <c r="A11" i="9"/>
  <c r="G11" i="9" s="1"/>
  <c r="A12" i="9"/>
  <c r="G14" i="9"/>
  <c r="L14" i="9" s="1"/>
  <c r="A2" i="9"/>
  <c r="G2" i="9" s="1"/>
  <c r="J21" i="10"/>
  <c r="F21" i="10"/>
  <c r="F21" i="10" a="1"/>
  <c r="E21" i="10" a="1"/>
  <c r="E21" i="10" s="1"/>
  <c r="F20" i="10" a="1"/>
  <c r="F20" i="10" s="1"/>
  <c r="E20" i="10" a="1"/>
  <c r="E20" i="10" s="1"/>
  <c r="F19" i="10" a="1"/>
  <c r="F19" i="10" s="1"/>
  <c r="E19" i="10" a="1"/>
  <c r="E19" i="10" s="1"/>
  <c r="F18" i="10" a="1"/>
  <c r="F18" i="10" s="1"/>
  <c r="E18" i="10" a="1"/>
  <c r="E18" i="10" s="1"/>
  <c r="F17" i="10" a="1"/>
  <c r="F17" i="10" s="1"/>
  <c r="E17" i="10" a="1"/>
  <c r="E17" i="10" s="1"/>
  <c r="F16" i="10" a="1"/>
  <c r="F16" i="10" s="1"/>
  <c r="G16" i="10" s="1"/>
  <c r="G36" i="11" s="1"/>
  <c r="E16" i="10" a="1"/>
  <c r="E16" i="10" s="1"/>
  <c r="M301" i="9"/>
  <c r="G298" i="9"/>
  <c r="H298" i="9"/>
  <c r="G297" i="9"/>
  <c r="H297" i="9"/>
  <c r="H295" i="9"/>
  <c r="G294" i="9"/>
  <c r="H294" i="9"/>
  <c r="G293" i="9"/>
  <c r="H293" i="9"/>
  <c r="G292" i="9"/>
  <c r="G290" i="9"/>
  <c r="H290" i="9"/>
  <c r="G289" i="9"/>
  <c r="H289" i="9"/>
  <c r="H287" i="9"/>
  <c r="G286" i="9"/>
  <c r="H286" i="9"/>
  <c r="G285" i="9"/>
  <c r="H285" i="9"/>
  <c r="G284" i="9"/>
  <c r="G282" i="9"/>
  <c r="H282" i="9"/>
  <c r="G281" i="9"/>
  <c r="H281" i="9"/>
  <c r="H279" i="9"/>
  <c r="G278" i="9"/>
  <c r="H278" i="9"/>
  <c r="G277" i="9"/>
  <c r="H277" i="9"/>
  <c r="G276" i="9"/>
  <c r="G274" i="9"/>
  <c r="H274" i="9"/>
  <c r="G273" i="9"/>
  <c r="H273" i="9"/>
  <c r="H271" i="9"/>
  <c r="G270" i="9"/>
  <c r="H270" i="9"/>
  <c r="G269" i="9"/>
  <c r="H269" i="9"/>
  <c r="G268" i="9"/>
  <c r="G266" i="9"/>
  <c r="H266" i="9"/>
  <c r="H265" i="9"/>
  <c r="G262" i="9"/>
  <c r="H262" i="9"/>
  <c r="H261" i="9"/>
  <c r="H258" i="9"/>
  <c r="G258" i="9"/>
  <c r="M258" i="9" s="1"/>
  <c r="H257" i="9"/>
  <c r="G257" i="9"/>
  <c r="H256" i="9"/>
  <c r="H254" i="9"/>
  <c r="G254" i="9"/>
  <c r="L254" i="9" s="1"/>
  <c r="H253" i="9"/>
  <c r="G253" i="9"/>
  <c r="H252" i="9"/>
  <c r="H250" i="9"/>
  <c r="G250" i="9"/>
  <c r="L250" i="9" s="1"/>
  <c r="H249" i="9"/>
  <c r="G249" i="9"/>
  <c r="H248" i="9"/>
  <c r="H246" i="9"/>
  <c r="G246" i="9"/>
  <c r="L246" i="9" s="1"/>
  <c r="H245" i="9"/>
  <c r="G245" i="9"/>
  <c r="H244" i="9"/>
  <c r="H242" i="9"/>
  <c r="G242" i="9"/>
  <c r="L242" i="9" s="1"/>
  <c r="H241" i="9"/>
  <c r="G241" i="9"/>
  <c r="H240" i="9"/>
  <c r="H238" i="9"/>
  <c r="G238" i="9"/>
  <c r="L238" i="9" s="1"/>
  <c r="H237" i="9"/>
  <c r="G237" i="9"/>
  <c r="H235" i="9"/>
  <c r="H234" i="9"/>
  <c r="G234" i="9"/>
  <c r="H233" i="9"/>
  <c r="G233" i="9"/>
  <c r="G230" i="9"/>
  <c r="K230" i="9" s="1"/>
  <c r="H230" i="9"/>
  <c r="G229" i="9"/>
  <c r="K229" i="9" s="1"/>
  <c r="H229" i="9"/>
  <c r="G227" i="9"/>
  <c r="G226" i="9"/>
  <c r="K226" i="9" s="1"/>
  <c r="H226" i="9"/>
  <c r="K225" i="9"/>
  <c r="G225" i="9"/>
  <c r="H225" i="9"/>
  <c r="H224" i="9"/>
  <c r="K222" i="9"/>
  <c r="G222" i="9"/>
  <c r="H222" i="9"/>
  <c r="G221" i="9"/>
  <c r="K221" i="9" s="1"/>
  <c r="H221" i="9"/>
  <c r="H219" i="9"/>
  <c r="H217" i="9"/>
  <c r="H213" i="9"/>
  <c r="H209" i="9"/>
  <c r="H205" i="9"/>
  <c r="H203" i="9"/>
  <c r="H201" i="9"/>
  <c r="H197" i="9"/>
  <c r="H195" i="9"/>
  <c r="H193" i="9"/>
  <c r="H189" i="9"/>
  <c r="H187" i="9"/>
  <c r="H185" i="9"/>
  <c r="H181" i="9"/>
  <c r="H179" i="9"/>
  <c r="H177" i="9"/>
  <c r="H173" i="9"/>
  <c r="H171" i="9"/>
  <c r="H170" i="9"/>
  <c r="G169" i="9"/>
  <c r="H169" i="9"/>
  <c r="H166" i="9"/>
  <c r="G165" i="9"/>
  <c r="M165" i="9" s="1"/>
  <c r="H165" i="9"/>
  <c r="H162" i="9"/>
  <c r="G161" i="9"/>
  <c r="H161" i="9"/>
  <c r="H158" i="9"/>
  <c r="M157" i="9"/>
  <c r="G157" i="9"/>
  <c r="H157" i="9"/>
  <c r="H156" i="9"/>
  <c r="L154" i="9"/>
  <c r="H154" i="9"/>
  <c r="G154" i="9"/>
  <c r="H153" i="9"/>
  <c r="G153" i="9"/>
  <c r="G152" i="9"/>
  <c r="K152" i="9" s="1"/>
  <c r="L150" i="9"/>
  <c r="H150" i="9"/>
  <c r="G150" i="9"/>
  <c r="H149" i="9"/>
  <c r="G149" i="9"/>
  <c r="G148" i="9"/>
  <c r="K148" i="9" s="1"/>
  <c r="L146" i="9"/>
  <c r="H146" i="9"/>
  <c r="G146" i="9"/>
  <c r="H145" i="9"/>
  <c r="G145" i="9"/>
  <c r="J145" i="9" s="1"/>
  <c r="G144" i="9"/>
  <c r="M144" i="9" s="1"/>
  <c r="K142" i="9"/>
  <c r="H142" i="9"/>
  <c r="G142" i="9"/>
  <c r="H141" i="9"/>
  <c r="G141" i="9"/>
  <c r="K141" i="9" s="1"/>
  <c r="K138" i="9"/>
  <c r="H138" i="9"/>
  <c r="G138" i="9"/>
  <c r="H137" i="9"/>
  <c r="G137" i="9"/>
  <c r="K137" i="9" s="1"/>
  <c r="K134" i="9"/>
  <c r="H134" i="9"/>
  <c r="G134" i="9"/>
  <c r="H133" i="9"/>
  <c r="G133" i="9"/>
  <c r="K133" i="9" s="1"/>
  <c r="K130" i="9"/>
  <c r="H130" i="9"/>
  <c r="G130" i="9"/>
  <c r="H129" i="9"/>
  <c r="G129" i="9"/>
  <c r="K129" i="9" s="1"/>
  <c r="G128" i="9"/>
  <c r="K128" i="9" s="1"/>
  <c r="G126" i="9"/>
  <c r="H126" i="9"/>
  <c r="G125" i="9"/>
  <c r="K125" i="9" s="1"/>
  <c r="H125" i="9"/>
  <c r="G123" i="9"/>
  <c r="K123" i="9" s="1"/>
  <c r="H123" i="9"/>
  <c r="G122" i="9"/>
  <c r="H122" i="9"/>
  <c r="G121" i="9"/>
  <c r="K121" i="9" s="1"/>
  <c r="H121" i="9"/>
  <c r="K119" i="9"/>
  <c r="G118" i="9"/>
  <c r="H118" i="9"/>
  <c r="G117" i="9"/>
  <c r="K117" i="9" s="1"/>
  <c r="H117" i="9"/>
  <c r="G116" i="9"/>
  <c r="G115" i="9"/>
  <c r="K115" i="9" s="1"/>
  <c r="H115" i="9"/>
  <c r="G114" i="9"/>
  <c r="H114" i="9"/>
  <c r="K113" i="9"/>
  <c r="G113" i="9"/>
  <c r="H113" i="9"/>
  <c r="H112" i="9"/>
  <c r="K111" i="9"/>
  <c r="G110" i="9"/>
  <c r="H110" i="9"/>
  <c r="G109" i="9"/>
  <c r="K109" i="9" s="1"/>
  <c r="H109" i="9"/>
  <c r="G107" i="9"/>
  <c r="K107" i="9" s="1"/>
  <c r="H107" i="9"/>
  <c r="G106" i="9"/>
  <c r="H106" i="9"/>
  <c r="G105" i="9"/>
  <c r="K105" i="9" s="1"/>
  <c r="H105" i="9"/>
  <c r="K103" i="9"/>
  <c r="G102" i="9"/>
  <c r="H102" i="9"/>
  <c r="G101" i="9"/>
  <c r="K101" i="9" s="1"/>
  <c r="H101" i="9"/>
  <c r="G99" i="9"/>
  <c r="M99" i="9" s="1"/>
  <c r="G98" i="9"/>
  <c r="M98" i="9" s="1"/>
  <c r="H98" i="9"/>
  <c r="G97" i="9"/>
  <c r="H97" i="9"/>
  <c r="G95" i="9"/>
  <c r="M95" i="9" s="1"/>
  <c r="G94" i="9"/>
  <c r="M94" i="9" s="1"/>
  <c r="H94" i="9"/>
  <c r="G93" i="9"/>
  <c r="H93" i="9"/>
  <c r="G91" i="9"/>
  <c r="M91" i="9" s="1"/>
  <c r="G90" i="9"/>
  <c r="M90" i="9" s="1"/>
  <c r="H90" i="9"/>
  <c r="G89" i="9"/>
  <c r="H89" i="9"/>
  <c r="G87" i="9"/>
  <c r="M87" i="9" s="1"/>
  <c r="G86" i="9"/>
  <c r="M86" i="9" s="1"/>
  <c r="H86" i="9"/>
  <c r="G85" i="9"/>
  <c r="H85" i="9"/>
  <c r="G83" i="9"/>
  <c r="M83" i="9" s="1"/>
  <c r="G82" i="9"/>
  <c r="M82" i="9" s="1"/>
  <c r="H82" i="9"/>
  <c r="G81" i="9"/>
  <c r="H81" i="9"/>
  <c r="G79" i="9"/>
  <c r="M79" i="9" s="1"/>
  <c r="H79" i="9"/>
  <c r="G78" i="9"/>
  <c r="M78" i="9" s="1"/>
  <c r="H78" i="9"/>
  <c r="G77" i="9"/>
  <c r="H77" i="9"/>
  <c r="G75" i="9"/>
  <c r="M75" i="9" s="1"/>
  <c r="H75" i="9"/>
  <c r="G74" i="9"/>
  <c r="M74" i="9" s="1"/>
  <c r="H74" i="9"/>
  <c r="I74" i="9" s="1"/>
  <c r="G73" i="9"/>
  <c r="H73" i="9"/>
  <c r="K71" i="9"/>
  <c r="G71" i="9"/>
  <c r="M71" i="9" s="1"/>
  <c r="H71" i="9"/>
  <c r="G70" i="9"/>
  <c r="M70" i="9" s="1"/>
  <c r="H70" i="9"/>
  <c r="I70" i="9" s="1"/>
  <c r="G69" i="9"/>
  <c r="K69" i="9" s="1"/>
  <c r="H69" i="9"/>
  <c r="K67" i="9"/>
  <c r="G67" i="9"/>
  <c r="M67" i="9" s="1"/>
  <c r="H67" i="9"/>
  <c r="G66" i="9"/>
  <c r="M66" i="9" s="1"/>
  <c r="H66" i="9"/>
  <c r="G65" i="9"/>
  <c r="H65" i="9"/>
  <c r="G63" i="9"/>
  <c r="M63" i="9" s="1"/>
  <c r="H63" i="9"/>
  <c r="G62" i="9"/>
  <c r="M62" i="9" s="1"/>
  <c r="H62" i="9"/>
  <c r="G61" i="9"/>
  <c r="H61" i="9"/>
  <c r="K59" i="9"/>
  <c r="G59" i="9"/>
  <c r="M59" i="9" s="1"/>
  <c r="H59" i="9"/>
  <c r="G58" i="9"/>
  <c r="M58" i="9" s="1"/>
  <c r="H58" i="9"/>
  <c r="G57" i="9"/>
  <c r="K57" i="9" s="1"/>
  <c r="H57" i="9"/>
  <c r="K55" i="9"/>
  <c r="G55" i="9"/>
  <c r="M55" i="9" s="1"/>
  <c r="H55" i="9"/>
  <c r="G54" i="9"/>
  <c r="M54" i="9" s="1"/>
  <c r="H54" i="9"/>
  <c r="G53" i="9"/>
  <c r="K53" i="9" s="1"/>
  <c r="H53" i="9"/>
  <c r="S51" i="9"/>
  <c r="R51" i="9"/>
  <c r="Q51" i="9"/>
  <c r="P51" i="9"/>
  <c r="K51" i="9"/>
  <c r="G51" i="9"/>
  <c r="M51" i="9" s="1"/>
  <c r="H51" i="9"/>
  <c r="S50" i="9"/>
  <c r="R50" i="9"/>
  <c r="Q50" i="9"/>
  <c r="P50" i="9"/>
  <c r="G50" i="9"/>
  <c r="M50" i="9" s="1"/>
  <c r="H50" i="9"/>
  <c r="S49" i="9"/>
  <c r="R49" i="9"/>
  <c r="Q49" i="9"/>
  <c r="P49" i="9"/>
  <c r="G49" i="9"/>
  <c r="H49" i="9"/>
  <c r="S48" i="9"/>
  <c r="R48" i="9"/>
  <c r="Q48" i="9"/>
  <c r="P48" i="9"/>
  <c r="S47" i="9"/>
  <c r="R47" i="9"/>
  <c r="Q47" i="9"/>
  <c r="P47" i="9"/>
  <c r="K47" i="9"/>
  <c r="G47" i="9"/>
  <c r="M47" i="9" s="1"/>
  <c r="H47" i="9"/>
  <c r="S46" i="9"/>
  <c r="R46" i="9"/>
  <c r="Q46" i="9"/>
  <c r="P46" i="9"/>
  <c r="G46" i="9"/>
  <c r="M46" i="9" s="1"/>
  <c r="H46" i="9"/>
  <c r="S45" i="9"/>
  <c r="R45" i="9"/>
  <c r="Q45" i="9"/>
  <c r="P45" i="9"/>
  <c r="G45" i="9"/>
  <c r="H45" i="9"/>
  <c r="S44" i="9"/>
  <c r="R44" i="9"/>
  <c r="Q44" i="9"/>
  <c r="P44" i="9"/>
  <c r="H44" i="9"/>
  <c r="S43" i="9"/>
  <c r="R43" i="9"/>
  <c r="Q43" i="9"/>
  <c r="P43" i="9"/>
  <c r="K43" i="9"/>
  <c r="G43" i="9"/>
  <c r="M43" i="9" s="1"/>
  <c r="H43" i="9"/>
  <c r="S42" i="9"/>
  <c r="R42" i="9"/>
  <c r="Q42" i="9"/>
  <c r="P42" i="9"/>
  <c r="M42" i="9"/>
  <c r="G42" i="9"/>
  <c r="H42" i="9"/>
  <c r="S41" i="9"/>
  <c r="R41" i="9"/>
  <c r="Q41" i="9"/>
  <c r="P41" i="9"/>
  <c r="G41" i="9"/>
  <c r="H41" i="9"/>
  <c r="S40" i="9"/>
  <c r="R40" i="9"/>
  <c r="Q40" i="9"/>
  <c r="P40" i="9"/>
  <c r="H40" i="9"/>
  <c r="S39" i="9"/>
  <c r="R39" i="9"/>
  <c r="Q39" i="9"/>
  <c r="P39" i="9"/>
  <c r="K39" i="9"/>
  <c r="G39" i="9"/>
  <c r="M39" i="9" s="1"/>
  <c r="H39" i="9"/>
  <c r="S38" i="9"/>
  <c r="R38" i="9"/>
  <c r="Q38" i="9"/>
  <c r="P38" i="9"/>
  <c r="M38" i="9"/>
  <c r="G38" i="9"/>
  <c r="H38" i="9"/>
  <c r="S37" i="9"/>
  <c r="R37" i="9"/>
  <c r="Q37" i="9"/>
  <c r="P37" i="9"/>
  <c r="G37" i="9"/>
  <c r="H37" i="9"/>
  <c r="S36" i="9"/>
  <c r="R36" i="9"/>
  <c r="Q36" i="9"/>
  <c r="P36" i="9"/>
  <c r="H36" i="9"/>
  <c r="S35" i="9"/>
  <c r="R35" i="9"/>
  <c r="Q35" i="9"/>
  <c r="P35" i="9"/>
  <c r="K35" i="9"/>
  <c r="G35" i="9"/>
  <c r="M35" i="9" s="1"/>
  <c r="H35" i="9"/>
  <c r="S34" i="9"/>
  <c r="R34" i="9"/>
  <c r="Q34" i="9"/>
  <c r="P34" i="9"/>
  <c r="M34" i="9"/>
  <c r="G34" i="9"/>
  <c r="H34" i="9"/>
  <c r="S33" i="9"/>
  <c r="R33" i="9"/>
  <c r="Q33" i="9"/>
  <c r="P33" i="9"/>
  <c r="G33" i="9"/>
  <c r="K33" i="9" s="1"/>
  <c r="H33" i="9"/>
  <c r="S32" i="9"/>
  <c r="R32" i="9"/>
  <c r="Q32" i="9"/>
  <c r="P32" i="9"/>
  <c r="H32" i="9"/>
  <c r="S31" i="9"/>
  <c r="R31" i="9"/>
  <c r="Q31" i="9"/>
  <c r="P31" i="9"/>
  <c r="K31" i="9"/>
  <c r="G31" i="9"/>
  <c r="M31" i="9" s="1"/>
  <c r="H31" i="9"/>
  <c r="S30" i="9"/>
  <c r="R30" i="9"/>
  <c r="Q30" i="9"/>
  <c r="P30" i="9"/>
  <c r="M30" i="9"/>
  <c r="G30" i="9"/>
  <c r="H30" i="9"/>
  <c r="S29" i="9"/>
  <c r="R29" i="9"/>
  <c r="Q29" i="9"/>
  <c r="P29" i="9"/>
  <c r="G29" i="9"/>
  <c r="K29" i="9" s="1"/>
  <c r="H29" i="9"/>
  <c r="S28" i="9"/>
  <c r="R28" i="9"/>
  <c r="Q28" i="9"/>
  <c r="P28" i="9"/>
  <c r="H28" i="9"/>
  <c r="S27" i="9"/>
  <c r="R27" i="9"/>
  <c r="Q27" i="9"/>
  <c r="P27" i="9"/>
  <c r="K27" i="9"/>
  <c r="G27" i="9"/>
  <c r="M27" i="9" s="1"/>
  <c r="H27" i="9"/>
  <c r="S26" i="9"/>
  <c r="R26" i="9"/>
  <c r="Q26" i="9"/>
  <c r="P26" i="9"/>
  <c r="M26" i="9"/>
  <c r="G26" i="9"/>
  <c r="H26" i="9"/>
  <c r="S25" i="9"/>
  <c r="R25" i="9"/>
  <c r="Q25" i="9"/>
  <c r="P25" i="9"/>
  <c r="G25" i="9"/>
  <c r="K25" i="9" s="1"/>
  <c r="H25" i="9"/>
  <c r="S24" i="9"/>
  <c r="R24" i="9"/>
  <c r="Q24" i="9"/>
  <c r="P24" i="9"/>
  <c r="H24" i="9"/>
  <c r="S23" i="9"/>
  <c r="R23" i="9"/>
  <c r="Q23" i="9"/>
  <c r="P23" i="9"/>
  <c r="K23" i="9"/>
  <c r="G23" i="9"/>
  <c r="M23" i="9" s="1"/>
  <c r="H23" i="9"/>
  <c r="S22" i="9"/>
  <c r="R22" i="9"/>
  <c r="Q22" i="9"/>
  <c r="P22" i="9"/>
  <c r="M22" i="9"/>
  <c r="G22" i="9"/>
  <c r="H22" i="9"/>
  <c r="S21" i="9"/>
  <c r="R21" i="9"/>
  <c r="Q21" i="9"/>
  <c r="V21" i="9" s="1"/>
  <c r="P21" i="9"/>
  <c r="L21" i="9"/>
  <c r="H21" i="9"/>
  <c r="G21" i="9"/>
  <c r="S20" i="9"/>
  <c r="R20" i="9"/>
  <c r="Q20" i="9"/>
  <c r="X20" i="9" s="1"/>
  <c r="P20" i="9"/>
  <c r="H20" i="9"/>
  <c r="S19" i="9"/>
  <c r="R19" i="9"/>
  <c r="Q19" i="9"/>
  <c r="V19" i="9" s="1"/>
  <c r="P19" i="9"/>
  <c r="L19" i="9"/>
  <c r="H19" i="9"/>
  <c r="G19" i="9"/>
  <c r="S18" i="9"/>
  <c r="R18" i="9"/>
  <c r="Q18" i="9"/>
  <c r="W18" i="9" s="1"/>
  <c r="P18" i="9"/>
  <c r="G18" i="9"/>
  <c r="L18" i="9" s="1"/>
  <c r="H18" i="9"/>
  <c r="S17" i="9"/>
  <c r="R17" i="9"/>
  <c r="Q17" i="9"/>
  <c r="X17" i="9" s="1"/>
  <c r="P17" i="9"/>
  <c r="J17" i="9"/>
  <c r="G17" i="9"/>
  <c r="K17" i="9" s="1"/>
  <c r="H17" i="9"/>
  <c r="S16" i="9"/>
  <c r="R16" i="9"/>
  <c r="Q16" i="9"/>
  <c r="X16" i="9" s="1"/>
  <c r="P16" i="9"/>
  <c r="G16" i="9"/>
  <c r="J16" i="9" s="1"/>
  <c r="S15" i="9"/>
  <c r="R15" i="9"/>
  <c r="Q15" i="9"/>
  <c r="V15" i="9" s="1"/>
  <c r="P15" i="9"/>
  <c r="H15" i="9"/>
  <c r="G15" i="9"/>
  <c r="K15" i="9" s="1"/>
  <c r="S14" i="9"/>
  <c r="R14" i="9"/>
  <c r="Q14" i="9"/>
  <c r="W14" i="9" s="1"/>
  <c r="P14" i="9"/>
  <c r="S13" i="9"/>
  <c r="R13" i="9"/>
  <c r="Q13" i="9"/>
  <c r="X13" i="9" s="1"/>
  <c r="P13" i="9"/>
  <c r="G13" i="9"/>
  <c r="H13" i="9"/>
  <c r="S12" i="9"/>
  <c r="R12" i="9"/>
  <c r="Q12" i="9"/>
  <c r="X12" i="9" s="1"/>
  <c r="P12" i="9"/>
  <c r="H12" i="9"/>
  <c r="G12" i="9"/>
  <c r="G9" i="9"/>
  <c r="G8" i="9"/>
  <c r="G5" i="9"/>
  <c r="G4" i="9"/>
  <c r="E300" i="8"/>
  <c r="E299" i="8"/>
  <c r="E298" i="8"/>
  <c r="E297" i="8"/>
  <c r="E296" i="8"/>
  <c r="E295" i="8"/>
  <c r="E294" i="8"/>
  <c r="E293" i="8"/>
  <c r="E292" i="8"/>
  <c r="E291" i="8"/>
  <c r="E290" i="8"/>
  <c r="E289" i="8"/>
  <c r="E288" i="8"/>
  <c r="E287" i="8"/>
  <c r="E286" i="8"/>
  <c r="E285" i="8"/>
  <c r="E284" i="8"/>
  <c r="E283" i="8"/>
  <c r="E282" i="8"/>
  <c r="E281" i="8"/>
  <c r="E280" i="8"/>
  <c r="E279" i="8"/>
  <c r="E278" i="8"/>
  <c r="E277" i="8"/>
  <c r="E276" i="8"/>
  <c r="E275" i="8"/>
  <c r="E274" i="8"/>
  <c r="E273" i="8"/>
  <c r="E272" i="8"/>
  <c r="E271" i="8"/>
  <c r="E270" i="8"/>
  <c r="E269" i="8"/>
  <c r="E268" i="8"/>
  <c r="E267" i="8"/>
  <c r="E266" i="8"/>
  <c r="E265" i="8"/>
  <c r="E264" i="8"/>
  <c r="E263" i="8"/>
  <c r="E262" i="8"/>
  <c r="E261" i="8"/>
  <c r="E260" i="8"/>
  <c r="E259" i="8"/>
  <c r="E258" i="8"/>
  <c r="E257" i="8"/>
  <c r="E256" i="8"/>
  <c r="E255" i="8"/>
  <c r="E254" i="8"/>
  <c r="E253" i="8"/>
  <c r="E252" i="8"/>
  <c r="E251" i="8"/>
  <c r="E250" i="8"/>
  <c r="E249" i="8"/>
  <c r="E248" i="8"/>
  <c r="E247" i="8"/>
  <c r="E246" i="8"/>
  <c r="E245" i="8"/>
  <c r="E244" i="8"/>
  <c r="E243" i="8"/>
  <c r="E242" i="8"/>
  <c r="E241" i="8"/>
  <c r="E240" i="8"/>
  <c r="E239" i="8"/>
  <c r="E238" i="8"/>
  <c r="E237" i="8"/>
  <c r="E236" i="8"/>
  <c r="E235" i="8"/>
  <c r="E234" i="8"/>
  <c r="E233" i="8"/>
  <c r="E232" i="8"/>
  <c r="E231" i="8"/>
  <c r="E230" i="8"/>
  <c r="E229" i="8"/>
  <c r="E228" i="8"/>
  <c r="E227" i="8"/>
  <c r="E226" i="8"/>
  <c r="E225" i="8"/>
  <c r="E224" i="8"/>
  <c r="E223" i="8"/>
  <c r="E222" i="8"/>
  <c r="E221" i="8"/>
  <c r="E220" i="8"/>
  <c r="E219" i="8"/>
  <c r="E218" i="8"/>
  <c r="E217" i="8"/>
  <c r="E216" i="8"/>
  <c r="E215" i="8"/>
  <c r="E214" i="8"/>
  <c r="E213" i="8"/>
  <c r="E212" i="8"/>
  <c r="E211" i="8"/>
  <c r="E210" i="8"/>
  <c r="E209" i="8"/>
  <c r="E208" i="8"/>
  <c r="E207" i="8"/>
  <c r="E206" i="8"/>
  <c r="E205" i="8"/>
  <c r="E204" i="8"/>
  <c r="E203" i="8"/>
  <c r="E202" i="8"/>
  <c r="E201" i="8"/>
  <c r="E200" i="8"/>
  <c r="E199" i="8"/>
  <c r="E198" i="8"/>
  <c r="E197" i="8"/>
  <c r="E196" i="8"/>
  <c r="E195" i="8"/>
  <c r="E194" i="8"/>
  <c r="E193" i="8"/>
  <c r="E192" i="8"/>
  <c r="E191" i="8"/>
  <c r="E190" i="8"/>
  <c r="E189" i="8"/>
  <c r="E188" i="8"/>
  <c r="E187" i="8"/>
  <c r="E186" i="8"/>
  <c r="E185" i="8"/>
  <c r="E184" i="8"/>
  <c r="E183" i="8"/>
  <c r="E182" i="8"/>
  <c r="E181" i="8"/>
  <c r="E180" i="8"/>
  <c r="E179" i="8"/>
  <c r="E178" i="8"/>
  <c r="E177" i="8"/>
  <c r="E176" i="8"/>
  <c r="E175" i="8"/>
  <c r="E174" i="8"/>
  <c r="E173" i="8"/>
  <c r="E172" i="8"/>
  <c r="E171" i="8"/>
  <c r="E170" i="8"/>
  <c r="E169" i="8"/>
  <c r="E168" i="8"/>
  <c r="E167" i="8"/>
  <c r="E166" i="8"/>
  <c r="E165" i="8"/>
  <c r="E164" i="8"/>
  <c r="E163" i="8"/>
  <c r="E162" i="8"/>
  <c r="E161" i="8"/>
  <c r="E160" i="8"/>
  <c r="E159" i="8"/>
  <c r="E158" i="8"/>
  <c r="E157" i="8"/>
  <c r="E156" i="8"/>
  <c r="E155" i="8"/>
  <c r="E154" i="8"/>
  <c r="E153" i="8"/>
  <c r="E152" i="8"/>
  <c r="E151" i="8"/>
  <c r="E150" i="8"/>
  <c r="E149" i="8"/>
  <c r="E148" i="8"/>
  <c r="E147" i="8"/>
  <c r="E146" i="8"/>
  <c r="E145" i="8"/>
  <c r="E144" i="8"/>
  <c r="E143" i="8"/>
  <c r="E142" i="8"/>
  <c r="E141" i="8"/>
  <c r="E140" i="8"/>
  <c r="E139" i="8"/>
  <c r="E138" i="8"/>
  <c r="E137" i="8"/>
  <c r="E136" i="8"/>
  <c r="E135" i="8"/>
  <c r="E134" i="8"/>
  <c r="E133" i="8"/>
  <c r="E132" i="8"/>
  <c r="E131" i="8"/>
  <c r="E130" i="8"/>
  <c r="E129" i="8"/>
  <c r="E128" i="8"/>
  <c r="E127" i="8"/>
  <c r="E126" i="8"/>
  <c r="E125" i="8"/>
  <c r="E124" i="8"/>
  <c r="E123" i="8"/>
  <c r="E122" i="8"/>
  <c r="E121" i="8"/>
  <c r="E120" i="8"/>
  <c r="E119" i="8"/>
  <c r="E118" i="8"/>
  <c r="E117" i="8"/>
  <c r="E116" i="8"/>
  <c r="E115" i="8"/>
  <c r="E114" i="8"/>
  <c r="E113" i="8"/>
  <c r="E112" i="8"/>
  <c r="E111" i="8"/>
  <c r="E110" i="8"/>
  <c r="E109" i="8"/>
  <c r="E108" i="8"/>
  <c r="E107" i="8"/>
  <c r="E106" i="8"/>
  <c r="E105" i="8"/>
  <c r="E104" i="8"/>
  <c r="E103" i="8"/>
  <c r="E102" i="8"/>
  <c r="E101" i="8"/>
  <c r="E100" i="8"/>
  <c r="E99" i="8"/>
  <c r="E98" i="8"/>
  <c r="E97" i="8"/>
  <c r="E96" i="8"/>
  <c r="E95" i="8"/>
  <c r="E94" i="8"/>
  <c r="E93" i="8"/>
  <c r="E92" i="8"/>
  <c r="E91" i="8"/>
  <c r="E90" i="8"/>
  <c r="E89" i="8"/>
  <c r="E88" i="8"/>
  <c r="E87" i="8"/>
  <c r="E86" i="8"/>
  <c r="E85" i="8"/>
  <c r="E84" i="8"/>
  <c r="E83" i="8"/>
  <c r="E82" i="8"/>
  <c r="E81" i="8"/>
  <c r="E80" i="8"/>
  <c r="E79" i="8"/>
  <c r="E78" i="8"/>
  <c r="E77" i="8"/>
  <c r="E76" i="8"/>
  <c r="E75" i="8"/>
  <c r="E74" i="8"/>
  <c r="E73" i="8"/>
  <c r="E72" i="8"/>
  <c r="E71" i="8"/>
  <c r="E70" i="8"/>
  <c r="E69" i="8"/>
  <c r="E68" i="8"/>
  <c r="E67" i="8"/>
  <c r="E66" i="8"/>
  <c r="E65" i="8"/>
  <c r="E64" i="8"/>
  <c r="E63" i="8"/>
  <c r="E62" i="8"/>
  <c r="E61" i="8"/>
  <c r="E60" i="8"/>
  <c r="E59" i="8"/>
  <c r="E58" i="8"/>
  <c r="E57" i="8"/>
  <c r="E56" i="8"/>
  <c r="E55" i="8"/>
  <c r="E54" i="8"/>
  <c r="E53" i="8"/>
  <c r="E52" i="8"/>
  <c r="E51" i="8"/>
  <c r="E50" i="8"/>
  <c r="E49" i="8"/>
  <c r="E48" i="8"/>
  <c r="E47" i="8"/>
  <c r="E46" i="8"/>
  <c r="E45" i="8"/>
  <c r="E44" i="8"/>
  <c r="E43" i="8"/>
  <c r="E42" i="8"/>
  <c r="E41" i="8"/>
  <c r="E40" i="8"/>
  <c r="E39" i="8"/>
  <c r="E38" i="8"/>
  <c r="E37" i="8"/>
  <c r="E36" i="8"/>
  <c r="E35" i="8"/>
  <c r="E34" i="8"/>
  <c r="E33" i="8"/>
  <c r="E32" i="8"/>
  <c r="E31" i="8"/>
  <c r="E30" i="8"/>
  <c r="E29" i="8"/>
  <c r="E28" i="8"/>
  <c r="E27" i="8"/>
  <c r="E26" i="8"/>
  <c r="E25" i="8"/>
  <c r="E24" i="8"/>
  <c r="E23" i="8"/>
  <c r="E22" i="8"/>
  <c r="E21" i="8"/>
  <c r="E20" i="8"/>
  <c r="E19" i="8"/>
  <c r="E18" i="8"/>
  <c r="E17" i="8"/>
  <c r="E16" i="8"/>
  <c r="E15" i="8"/>
  <c r="K5" i="7"/>
  <c r="K5" i="11" s="1"/>
  <c r="K16" i="7"/>
  <c r="K16" i="11" s="1"/>
  <c r="K19" i="7"/>
  <c r="K19" i="11" s="1"/>
  <c r="K20" i="7"/>
  <c r="K20" i="11" s="1"/>
  <c r="K21" i="7"/>
  <c r="H5" i="7"/>
  <c r="H5" i="11" s="1"/>
  <c r="H16" i="7"/>
  <c r="H16" i="11" s="1"/>
  <c r="H19" i="7"/>
  <c r="H19" i="11" s="1"/>
  <c r="H20" i="7"/>
  <c r="H20" i="11" s="1"/>
  <c r="D5" i="7"/>
  <c r="D5" i="11" s="1"/>
  <c r="D9" i="7"/>
  <c r="D9" i="11" s="1"/>
  <c r="D13" i="7"/>
  <c r="D13" i="11" s="1"/>
  <c r="D16" i="7"/>
  <c r="D16" i="11" s="1"/>
  <c r="D21" i="7"/>
  <c r="C5" i="7"/>
  <c r="C5" i="11" s="1"/>
  <c r="C9" i="7"/>
  <c r="C9" i="11" s="1"/>
  <c r="C13" i="7"/>
  <c r="C13" i="11" s="1"/>
  <c r="C16" i="7"/>
  <c r="C16" i="11" s="1"/>
  <c r="C21" i="7"/>
  <c r="D6" i="7"/>
  <c r="D6" i="11" s="1"/>
  <c r="K7" i="7"/>
  <c r="K7" i="11" s="1"/>
  <c r="K8" i="7"/>
  <c r="K8" i="11" s="1"/>
  <c r="K9" i="7"/>
  <c r="K9" i="11" s="1"/>
  <c r="D10" i="7"/>
  <c r="D10" i="11" s="1"/>
  <c r="H11" i="7"/>
  <c r="H11" i="11" s="1"/>
  <c r="H12" i="7"/>
  <c r="H12" i="11" s="1"/>
  <c r="K13" i="7"/>
  <c r="K13" i="11" s="1"/>
  <c r="D14" i="7"/>
  <c r="D14" i="11" s="1"/>
  <c r="K15" i="7"/>
  <c r="K15" i="11" s="1"/>
  <c r="K17" i="7"/>
  <c r="K17" i="11" s="1"/>
  <c r="D18" i="7"/>
  <c r="D18" i="11" s="1"/>
  <c r="D19" i="7"/>
  <c r="D19" i="11" s="1"/>
  <c r="D20" i="7"/>
  <c r="D20" i="11" s="1"/>
  <c r="S7" i="6"/>
  <c r="S8" i="6"/>
  <c r="S9" i="6"/>
  <c r="S10" i="6"/>
  <c r="S11" i="6"/>
  <c r="S12" i="6"/>
  <c r="S13" i="6"/>
  <c r="S14" i="6"/>
  <c r="S15" i="6"/>
  <c r="S16" i="6"/>
  <c r="S17" i="6"/>
  <c r="S18" i="6"/>
  <c r="S19" i="6"/>
  <c r="S20" i="6"/>
  <c r="S21" i="6"/>
  <c r="R7" i="6"/>
  <c r="R8" i="6"/>
  <c r="R9" i="6"/>
  <c r="R10" i="6"/>
  <c r="R11" i="6"/>
  <c r="R12" i="6"/>
  <c r="R13" i="6"/>
  <c r="R14" i="6"/>
  <c r="R15" i="6"/>
  <c r="R16" i="6"/>
  <c r="R17" i="6"/>
  <c r="R18" i="6"/>
  <c r="R19" i="6"/>
  <c r="R20" i="6"/>
  <c r="R21" i="6"/>
  <c r="Q7" i="6"/>
  <c r="Q8" i="6"/>
  <c r="V8" i="6" s="1"/>
  <c r="Q9" i="6"/>
  <c r="V9" i="6" s="1"/>
  <c r="Q10" i="6"/>
  <c r="X10" i="6" s="1"/>
  <c r="Q11" i="6"/>
  <c r="Q12" i="6"/>
  <c r="V12" i="6" s="1"/>
  <c r="Q13" i="6"/>
  <c r="V13" i="6" s="1"/>
  <c r="Q14" i="6"/>
  <c r="V14" i="6" s="1"/>
  <c r="Q15" i="6"/>
  <c r="X15" i="6" s="1"/>
  <c r="Q16" i="6"/>
  <c r="W16" i="6" s="1"/>
  <c r="Q17" i="6"/>
  <c r="V17" i="6" s="1"/>
  <c r="Q18" i="6"/>
  <c r="V18" i="6" s="1"/>
  <c r="Q19" i="6"/>
  <c r="Q20" i="6"/>
  <c r="V20" i="6" s="1"/>
  <c r="Q21" i="6"/>
  <c r="P7" i="6"/>
  <c r="P8" i="6"/>
  <c r="P9" i="6"/>
  <c r="P10" i="6"/>
  <c r="P11" i="6"/>
  <c r="P12" i="6"/>
  <c r="P13" i="6"/>
  <c r="P14" i="6"/>
  <c r="P15" i="6"/>
  <c r="P16" i="6"/>
  <c r="P17" i="6"/>
  <c r="P18" i="6"/>
  <c r="P19" i="6"/>
  <c r="P20" i="6"/>
  <c r="P21"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1"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238" i="6"/>
  <c r="K239" i="6"/>
  <c r="K240" i="6"/>
  <c r="K241" i="6"/>
  <c r="K242" i="6"/>
  <c r="K243" i="6"/>
  <c r="K244" i="6"/>
  <c r="K245" i="6"/>
  <c r="K246" i="6"/>
  <c r="K247" i="6"/>
  <c r="K248" i="6"/>
  <c r="K249" i="6"/>
  <c r="K250" i="6"/>
  <c r="K251" i="6"/>
  <c r="K252" i="6"/>
  <c r="K253" i="6"/>
  <c r="K254" i="6"/>
  <c r="K255" i="6"/>
  <c r="K256" i="6"/>
  <c r="K257" i="6"/>
  <c r="K258" i="6"/>
  <c r="K259" i="6"/>
  <c r="K260" i="6"/>
  <c r="K261" i="6"/>
  <c r="K262" i="6"/>
  <c r="K263" i="6"/>
  <c r="K264" i="6"/>
  <c r="K265" i="6"/>
  <c r="K266" i="6"/>
  <c r="K267" i="6"/>
  <c r="K268" i="6"/>
  <c r="K269" i="6"/>
  <c r="K270" i="6"/>
  <c r="K271" i="6"/>
  <c r="K272" i="6"/>
  <c r="K273" i="6"/>
  <c r="K274" i="6"/>
  <c r="K275" i="6"/>
  <c r="K276" i="6"/>
  <c r="K277" i="6"/>
  <c r="K278" i="6"/>
  <c r="K279" i="6"/>
  <c r="K280" i="6"/>
  <c r="K281" i="6"/>
  <c r="K282" i="6"/>
  <c r="K283" i="6"/>
  <c r="K284" i="6"/>
  <c r="K285" i="6"/>
  <c r="K286" i="6"/>
  <c r="K287" i="6"/>
  <c r="K288" i="6"/>
  <c r="K289" i="6"/>
  <c r="K290" i="6"/>
  <c r="K291" i="6"/>
  <c r="K292" i="6"/>
  <c r="K293" i="6"/>
  <c r="K294" i="6"/>
  <c r="K295" i="6"/>
  <c r="K296" i="6"/>
  <c r="K297" i="6"/>
  <c r="K298" i="6"/>
  <c r="K299" i="6"/>
  <c r="K300" i="6"/>
  <c r="J14" i="6"/>
  <c r="J15" i="6"/>
  <c r="J16" i="6"/>
  <c r="J17" i="6"/>
  <c r="J18" i="6"/>
  <c r="J19" i="6"/>
  <c r="J20" i="6"/>
  <c r="J21" i="6"/>
  <c r="J22" i="6"/>
  <c r="J23" i="6"/>
  <c r="J24" i="6"/>
  <c r="J25" i="6"/>
  <c r="J26" i="6"/>
  <c r="J27" i="6"/>
  <c r="J28" i="6"/>
  <c r="J29" i="6"/>
  <c r="J30" i="6"/>
  <c r="J31" i="6"/>
  <c r="J32" i="6"/>
  <c r="J33" i="6"/>
  <c r="J34" i="6"/>
  <c r="J35" i="6"/>
  <c r="J36" i="6"/>
  <c r="J37" i="6"/>
  <c r="J38" i="6"/>
  <c r="J39" i="6"/>
  <c r="J40" i="6"/>
  <c r="J41" i="6"/>
  <c r="J42" i="6"/>
  <c r="J43" i="6"/>
  <c r="J44" i="6"/>
  <c r="J45" i="6"/>
  <c r="J46" i="6"/>
  <c r="J47" i="6"/>
  <c r="J48" i="6"/>
  <c r="J49" i="6"/>
  <c r="J50" i="6"/>
  <c r="J51" i="6"/>
  <c r="J52" i="6"/>
  <c r="J53" i="6"/>
  <c r="J54" i="6"/>
  <c r="J55" i="6"/>
  <c r="J56" i="6"/>
  <c r="J57" i="6"/>
  <c r="J58" i="6"/>
  <c r="J59" i="6"/>
  <c r="J60" i="6"/>
  <c r="J61" i="6"/>
  <c r="J62" i="6"/>
  <c r="J63" i="6"/>
  <c r="J64" i="6"/>
  <c r="J65" i="6"/>
  <c r="J66" i="6"/>
  <c r="J67" i="6"/>
  <c r="J68" i="6"/>
  <c r="J69" i="6"/>
  <c r="J70" i="6"/>
  <c r="J71" i="6"/>
  <c r="J72" i="6"/>
  <c r="J73" i="6"/>
  <c r="J74" i="6"/>
  <c r="J75" i="6"/>
  <c r="J76" i="6"/>
  <c r="J77" i="6"/>
  <c r="J78" i="6"/>
  <c r="J79" i="6"/>
  <c r="J80" i="6"/>
  <c r="J81" i="6"/>
  <c r="J82" i="6"/>
  <c r="J83" i="6"/>
  <c r="J84" i="6"/>
  <c r="J85" i="6"/>
  <c r="J86" i="6"/>
  <c r="J87" i="6"/>
  <c r="J88" i="6"/>
  <c r="J89" i="6"/>
  <c r="J90" i="6"/>
  <c r="J91" i="6"/>
  <c r="J92" i="6"/>
  <c r="J93" i="6"/>
  <c r="J94" i="6"/>
  <c r="J95" i="6"/>
  <c r="J96" i="6"/>
  <c r="J97" i="6"/>
  <c r="J98" i="6"/>
  <c r="J99" i="6"/>
  <c r="J100" i="6"/>
  <c r="J101" i="6"/>
  <c r="J102" i="6"/>
  <c r="J103" i="6"/>
  <c r="J104" i="6"/>
  <c r="J105" i="6"/>
  <c r="J106" i="6"/>
  <c r="J107" i="6"/>
  <c r="J108" i="6"/>
  <c r="J109" i="6"/>
  <c r="J110" i="6"/>
  <c r="J111" i="6"/>
  <c r="J112" i="6"/>
  <c r="J113" i="6"/>
  <c r="J114" i="6"/>
  <c r="J115" i="6"/>
  <c r="J116" i="6"/>
  <c r="J117" i="6"/>
  <c r="J118" i="6"/>
  <c r="J119" i="6"/>
  <c r="J120" i="6"/>
  <c r="J121" i="6"/>
  <c r="J122" i="6"/>
  <c r="J123" i="6"/>
  <c r="J124" i="6"/>
  <c r="J125" i="6"/>
  <c r="J126" i="6"/>
  <c r="J127" i="6"/>
  <c r="J128" i="6"/>
  <c r="J129" i="6"/>
  <c r="J130" i="6"/>
  <c r="J131" i="6"/>
  <c r="J132" i="6"/>
  <c r="J133" i="6"/>
  <c r="J134" i="6"/>
  <c r="J135" i="6"/>
  <c r="J136" i="6"/>
  <c r="J137" i="6"/>
  <c r="J138" i="6"/>
  <c r="J139" i="6"/>
  <c r="J140" i="6"/>
  <c r="J141" i="6"/>
  <c r="J142" i="6"/>
  <c r="J143" i="6"/>
  <c r="J144" i="6"/>
  <c r="J145" i="6"/>
  <c r="J146" i="6"/>
  <c r="J147" i="6"/>
  <c r="J148" i="6"/>
  <c r="J149" i="6"/>
  <c r="J150" i="6"/>
  <c r="J151" i="6"/>
  <c r="J152" i="6"/>
  <c r="J153" i="6"/>
  <c r="J154" i="6"/>
  <c r="J155" i="6"/>
  <c r="J156" i="6"/>
  <c r="J157" i="6"/>
  <c r="J158" i="6"/>
  <c r="J159" i="6"/>
  <c r="J160" i="6"/>
  <c r="J161" i="6"/>
  <c r="J162" i="6"/>
  <c r="J163" i="6"/>
  <c r="J164" i="6"/>
  <c r="J165" i="6"/>
  <c r="J166" i="6"/>
  <c r="J167" i="6"/>
  <c r="J168" i="6"/>
  <c r="J169" i="6"/>
  <c r="J170" i="6"/>
  <c r="J171" i="6"/>
  <c r="J172" i="6"/>
  <c r="J173" i="6"/>
  <c r="J174" i="6"/>
  <c r="J175" i="6"/>
  <c r="J176" i="6"/>
  <c r="J177" i="6"/>
  <c r="J178" i="6"/>
  <c r="J179" i="6"/>
  <c r="J180" i="6"/>
  <c r="J181" i="6"/>
  <c r="J182" i="6"/>
  <c r="J183" i="6"/>
  <c r="J184" i="6"/>
  <c r="J185" i="6"/>
  <c r="J186" i="6"/>
  <c r="J187" i="6"/>
  <c r="J188" i="6"/>
  <c r="J189" i="6"/>
  <c r="J190" i="6"/>
  <c r="J191" i="6"/>
  <c r="J192" i="6"/>
  <c r="J193" i="6"/>
  <c r="J194" i="6"/>
  <c r="J195" i="6"/>
  <c r="J196" i="6"/>
  <c r="J197" i="6"/>
  <c r="J198" i="6"/>
  <c r="J199" i="6"/>
  <c r="J200" i="6"/>
  <c r="J201" i="6"/>
  <c r="J202" i="6"/>
  <c r="J203" i="6"/>
  <c r="J204" i="6"/>
  <c r="J205" i="6"/>
  <c r="J206" i="6"/>
  <c r="J207" i="6"/>
  <c r="J208" i="6"/>
  <c r="J209" i="6"/>
  <c r="J210" i="6"/>
  <c r="J211" i="6"/>
  <c r="J212" i="6"/>
  <c r="J213" i="6"/>
  <c r="J214" i="6"/>
  <c r="J215" i="6"/>
  <c r="J216" i="6"/>
  <c r="J217" i="6"/>
  <c r="J218" i="6"/>
  <c r="J219" i="6"/>
  <c r="J220" i="6"/>
  <c r="J221" i="6"/>
  <c r="J222" i="6"/>
  <c r="J223" i="6"/>
  <c r="J224" i="6"/>
  <c r="J225" i="6"/>
  <c r="J226" i="6"/>
  <c r="J227" i="6"/>
  <c r="J228" i="6"/>
  <c r="J229" i="6"/>
  <c r="J230" i="6"/>
  <c r="J231" i="6"/>
  <c r="J232" i="6"/>
  <c r="J233" i="6"/>
  <c r="J234" i="6"/>
  <c r="J235" i="6"/>
  <c r="J236" i="6"/>
  <c r="J237" i="6"/>
  <c r="J238" i="6"/>
  <c r="J239" i="6"/>
  <c r="J240" i="6"/>
  <c r="J241" i="6"/>
  <c r="J242" i="6"/>
  <c r="J243" i="6"/>
  <c r="J244" i="6"/>
  <c r="J245" i="6"/>
  <c r="J246" i="6"/>
  <c r="J247" i="6"/>
  <c r="J248" i="6"/>
  <c r="J249" i="6"/>
  <c r="J250" i="6"/>
  <c r="J251" i="6"/>
  <c r="J252" i="6"/>
  <c r="J253" i="6"/>
  <c r="J254" i="6"/>
  <c r="J255" i="6"/>
  <c r="J256" i="6"/>
  <c r="J257" i="6"/>
  <c r="J258" i="6"/>
  <c r="J259" i="6"/>
  <c r="J260" i="6"/>
  <c r="J261" i="6"/>
  <c r="J262" i="6"/>
  <c r="J263" i="6"/>
  <c r="J264" i="6"/>
  <c r="J265" i="6"/>
  <c r="J266" i="6"/>
  <c r="J267" i="6"/>
  <c r="J268" i="6"/>
  <c r="J269" i="6"/>
  <c r="J270" i="6"/>
  <c r="J271" i="6"/>
  <c r="J272" i="6"/>
  <c r="J273" i="6"/>
  <c r="J274" i="6"/>
  <c r="J275" i="6"/>
  <c r="J276" i="6"/>
  <c r="J277" i="6"/>
  <c r="J278" i="6"/>
  <c r="J279" i="6"/>
  <c r="J280" i="6"/>
  <c r="J281" i="6"/>
  <c r="J282" i="6"/>
  <c r="J283" i="6"/>
  <c r="J284" i="6"/>
  <c r="J285" i="6"/>
  <c r="J286" i="6"/>
  <c r="J287" i="6"/>
  <c r="J288" i="6"/>
  <c r="J289" i="6"/>
  <c r="J290" i="6"/>
  <c r="J291" i="6"/>
  <c r="J292" i="6"/>
  <c r="J293" i="6"/>
  <c r="J294" i="6"/>
  <c r="J295" i="6"/>
  <c r="J296" i="6"/>
  <c r="J297" i="6"/>
  <c r="J298" i="6"/>
  <c r="J299" i="6"/>
  <c r="J300" i="6"/>
  <c r="I300" i="6"/>
  <c r="H52" i="6"/>
  <c r="I52" i="6" s="1"/>
  <c r="H53" i="6"/>
  <c r="I53" i="6" s="1"/>
  <c r="H54" i="6"/>
  <c r="I54" i="6" s="1"/>
  <c r="H55" i="6"/>
  <c r="I55" i="6" s="1"/>
  <c r="H56" i="6"/>
  <c r="I56" i="6" s="1"/>
  <c r="H57" i="6"/>
  <c r="I57" i="6" s="1"/>
  <c r="H58" i="6"/>
  <c r="I58" i="6" s="1"/>
  <c r="H59" i="6"/>
  <c r="I59" i="6" s="1"/>
  <c r="H60" i="6"/>
  <c r="I60" i="6" s="1"/>
  <c r="H61" i="6"/>
  <c r="I61" i="6" s="1"/>
  <c r="H62" i="6"/>
  <c r="I62" i="6" s="1"/>
  <c r="H63" i="6"/>
  <c r="I63" i="6" s="1"/>
  <c r="H64" i="6"/>
  <c r="I64" i="6" s="1"/>
  <c r="H65" i="6"/>
  <c r="I65" i="6" s="1"/>
  <c r="H66" i="6"/>
  <c r="I66" i="6" s="1"/>
  <c r="H67" i="6"/>
  <c r="I67" i="6" s="1"/>
  <c r="H68" i="6"/>
  <c r="I68" i="6" s="1"/>
  <c r="H69" i="6"/>
  <c r="I69" i="6" s="1"/>
  <c r="H70" i="6"/>
  <c r="I70" i="6" s="1"/>
  <c r="H71" i="6"/>
  <c r="I71" i="6" s="1"/>
  <c r="H72" i="6"/>
  <c r="I72" i="6" s="1"/>
  <c r="H73" i="6"/>
  <c r="I73" i="6" s="1"/>
  <c r="H74" i="6"/>
  <c r="I74" i="6" s="1"/>
  <c r="H75" i="6"/>
  <c r="I75" i="6" s="1"/>
  <c r="H76" i="6"/>
  <c r="I76" i="6" s="1"/>
  <c r="H77" i="6"/>
  <c r="I77" i="6" s="1"/>
  <c r="H78" i="6"/>
  <c r="I78" i="6" s="1"/>
  <c r="H79" i="6"/>
  <c r="I79" i="6" s="1"/>
  <c r="H80" i="6"/>
  <c r="I80" i="6" s="1"/>
  <c r="H81" i="6"/>
  <c r="I81" i="6" s="1"/>
  <c r="H82" i="6"/>
  <c r="I82" i="6" s="1"/>
  <c r="H83" i="6"/>
  <c r="I83" i="6" s="1"/>
  <c r="H84" i="6"/>
  <c r="I84" i="6" s="1"/>
  <c r="H85" i="6"/>
  <c r="I85" i="6" s="1"/>
  <c r="H86" i="6"/>
  <c r="I86" i="6" s="1"/>
  <c r="H87" i="6"/>
  <c r="I87" i="6" s="1"/>
  <c r="H88" i="6"/>
  <c r="I88" i="6" s="1"/>
  <c r="H89" i="6"/>
  <c r="I89" i="6" s="1"/>
  <c r="H90" i="6"/>
  <c r="I90" i="6" s="1"/>
  <c r="H91" i="6"/>
  <c r="I91" i="6" s="1"/>
  <c r="H92" i="6"/>
  <c r="I92" i="6" s="1"/>
  <c r="H93" i="6"/>
  <c r="I93" i="6" s="1"/>
  <c r="H94" i="6"/>
  <c r="I94" i="6" s="1"/>
  <c r="H95" i="6"/>
  <c r="I95" i="6" s="1"/>
  <c r="H96" i="6"/>
  <c r="I96" i="6" s="1"/>
  <c r="H97" i="6"/>
  <c r="I97" i="6" s="1"/>
  <c r="H98" i="6"/>
  <c r="I98" i="6" s="1"/>
  <c r="H99" i="6"/>
  <c r="I99" i="6" s="1"/>
  <c r="H100" i="6"/>
  <c r="I100" i="6" s="1"/>
  <c r="H101" i="6"/>
  <c r="I101" i="6" s="1"/>
  <c r="H102" i="6"/>
  <c r="I102" i="6" s="1"/>
  <c r="H103" i="6"/>
  <c r="I103" i="6" s="1"/>
  <c r="H104" i="6"/>
  <c r="I104" i="6" s="1"/>
  <c r="H105" i="6"/>
  <c r="I105" i="6" s="1"/>
  <c r="H106" i="6"/>
  <c r="I106" i="6" s="1"/>
  <c r="H107" i="6"/>
  <c r="I107" i="6" s="1"/>
  <c r="H108" i="6"/>
  <c r="I108" i="6" s="1"/>
  <c r="H109" i="6"/>
  <c r="I109" i="6" s="1"/>
  <c r="H110" i="6"/>
  <c r="I110" i="6" s="1"/>
  <c r="H111" i="6"/>
  <c r="I111" i="6" s="1"/>
  <c r="H112" i="6"/>
  <c r="I112" i="6" s="1"/>
  <c r="H113" i="6"/>
  <c r="I113" i="6" s="1"/>
  <c r="H114" i="6"/>
  <c r="I114" i="6" s="1"/>
  <c r="H115" i="6"/>
  <c r="I115" i="6" s="1"/>
  <c r="H116" i="6"/>
  <c r="I116" i="6" s="1"/>
  <c r="H117" i="6"/>
  <c r="I117" i="6" s="1"/>
  <c r="H118" i="6"/>
  <c r="I118" i="6" s="1"/>
  <c r="H119" i="6"/>
  <c r="I119" i="6" s="1"/>
  <c r="H120" i="6"/>
  <c r="I120" i="6" s="1"/>
  <c r="H121" i="6"/>
  <c r="I121" i="6" s="1"/>
  <c r="H122" i="6"/>
  <c r="I122" i="6" s="1"/>
  <c r="H123" i="6"/>
  <c r="I123" i="6" s="1"/>
  <c r="H124" i="6"/>
  <c r="I124" i="6" s="1"/>
  <c r="H125" i="6"/>
  <c r="I125" i="6" s="1"/>
  <c r="H126" i="6"/>
  <c r="I126" i="6" s="1"/>
  <c r="H127" i="6"/>
  <c r="I127" i="6" s="1"/>
  <c r="H128" i="6"/>
  <c r="I128" i="6" s="1"/>
  <c r="H129" i="6"/>
  <c r="I129" i="6" s="1"/>
  <c r="H130" i="6"/>
  <c r="I130" i="6" s="1"/>
  <c r="H131" i="6"/>
  <c r="I131" i="6" s="1"/>
  <c r="H132" i="6"/>
  <c r="I132" i="6" s="1"/>
  <c r="H133" i="6"/>
  <c r="I133" i="6" s="1"/>
  <c r="H134" i="6"/>
  <c r="I134" i="6" s="1"/>
  <c r="H135" i="6"/>
  <c r="I135" i="6" s="1"/>
  <c r="H136" i="6"/>
  <c r="I136" i="6" s="1"/>
  <c r="H137" i="6"/>
  <c r="I137" i="6" s="1"/>
  <c r="H138" i="6"/>
  <c r="I138" i="6" s="1"/>
  <c r="H139" i="6"/>
  <c r="I139" i="6" s="1"/>
  <c r="H140" i="6"/>
  <c r="I140" i="6" s="1"/>
  <c r="H141" i="6"/>
  <c r="I141" i="6" s="1"/>
  <c r="H142" i="6"/>
  <c r="I142" i="6" s="1"/>
  <c r="H143" i="6"/>
  <c r="I143" i="6" s="1"/>
  <c r="H144" i="6"/>
  <c r="I144" i="6" s="1"/>
  <c r="H145" i="6"/>
  <c r="I145" i="6" s="1"/>
  <c r="H146" i="6"/>
  <c r="I146" i="6" s="1"/>
  <c r="H147" i="6"/>
  <c r="I147" i="6" s="1"/>
  <c r="H148" i="6"/>
  <c r="I148" i="6" s="1"/>
  <c r="H149" i="6"/>
  <c r="I149" i="6" s="1"/>
  <c r="H150" i="6"/>
  <c r="I150" i="6" s="1"/>
  <c r="H151" i="6"/>
  <c r="I151" i="6" s="1"/>
  <c r="H152" i="6"/>
  <c r="I152" i="6" s="1"/>
  <c r="H153" i="6"/>
  <c r="I153" i="6" s="1"/>
  <c r="H154" i="6"/>
  <c r="I154" i="6" s="1"/>
  <c r="H155" i="6"/>
  <c r="I155" i="6" s="1"/>
  <c r="H156" i="6"/>
  <c r="I156" i="6" s="1"/>
  <c r="H157" i="6"/>
  <c r="I157" i="6" s="1"/>
  <c r="H158" i="6"/>
  <c r="I158" i="6" s="1"/>
  <c r="H159" i="6"/>
  <c r="I159" i="6" s="1"/>
  <c r="H160" i="6"/>
  <c r="I160" i="6" s="1"/>
  <c r="H161" i="6"/>
  <c r="I161" i="6" s="1"/>
  <c r="H162" i="6"/>
  <c r="I162" i="6" s="1"/>
  <c r="H163" i="6"/>
  <c r="I163" i="6" s="1"/>
  <c r="H164" i="6"/>
  <c r="I164" i="6" s="1"/>
  <c r="H165" i="6"/>
  <c r="I165" i="6" s="1"/>
  <c r="H166" i="6"/>
  <c r="I166" i="6" s="1"/>
  <c r="H167" i="6"/>
  <c r="I167" i="6" s="1"/>
  <c r="H168" i="6"/>
  <c r="I168" i="6" s="1"/>
  <c r="H169" i="6"/>
  <c r="I169" i="6" s="1"/>
  <c r="H170" i="6"/>
  <c r="I170" i="6" s="1"/>
  <c r="H171" i="6"/>
  <c r="I171" i="6" s="1"/>
  <c r="H172" i="6"/>
  <c r="I172" i="6" s="1"/>
  <c r="H173" i="6"/>
  <c r="I173" i="6" s="1"/>
  <c r="H174" i="6"/>
  <c r="I174" i="6" s="1"/>
  <c r="H175" i="6"/>
  <c r="I175" i="6" s="1"/>
  <c r="H176" i="6"/>
  <c r="I176" i="6" s="1"/>
  <c r="H177" i="6"/>
  <c r="I177" i="6" s="1"/>
  <c r="H178" i="6"/>
  <c r="I178" i="6" s="1"/>
  <c r="H179" i="6"/>
  <c r="I179" i="6" s="1"/>
  <c r="H180" i="6"/>
  <c r="I180" i="6" s="1"/>
  <c r="H181" i="6"/>
  <c r="I181" i="6" s="1"/>
  <c r="H182" i="6"/>
  <c r="I182" i="6" s="1"/>
  <c r="H183" i="6"/>
  <c r="I183" i="6" s="1"/>
  <c r="H184" i="6"/>
  <c r="I184" i="6" s="1"/>
  <c r="H185" i="6"/>
  <c r="I185" i="6" s="1"/>
  <c r="H186" i="6"/>
  <c r="I186" i="6" s="1"/>
  <c r="H187" i="6"/>
  <c r="I187" i="6" s="1"/>
  <c r="H188" i="6"/>
  <c r="I188" i="6" s="1"/>
  <c r="H189" i="6"/>
  <c r="I189" i="6" s="1"/>
  <c r="H190" i="6"/>
  <c r="I190" i="6" s="1"/>
  <c r="H191" i="6"/>
  <c r="I191" i="6" s="1"/>
  <c r="H192" i="6"/>
  <c r="I192" i="6" s="1"/>
  <c r="H193" i="6"/>
  <c r="I193" i="6" s="1"/>
  <c r="H194" i="6"/>
  <c r="I194" i="6" s="1"/>
  <c r="H195" i="6"/>
  <c r="I195" i="6" s="1"/>
  <c r="H196" i="6"/>
  <c r="I196" i="6" s="1"/>
  <c r="H197" i="6"/>
  <c r="I197" i="6" s="1"/>
  <c r="H198" i="6"/>
  <c r="I198" i="6" s="1"/>
  <c r="H199" i="6"/>
  <c r="I199" i="6" s="1"/>
  <c r="H200" i="6"/>
  <c r="I200" i="6" s="1"/>
  <c r="H201" i="6"/>
  <c r="I201" i="6" s="1"/>
  <c r="H202" i="6"/>
  <c r="I202" i="6" s="1"/>
  <c r="H203" i="6"/>
  <c r="I203" i="6" s="1"/>
  <c r="H204" i="6"/>
  <c r="I204" i="6" s="1"/>
  <c r="H205" i="6"/>
  <c r="I205" i="6" s="1"/>
  <c r="H206" i="6"/>
  <c r="I206" i="6" s="1"/>
  <c r="H207" i="6"/>
  <c r="I207" i="6" s="1"/>
  <c r="H208" i="6"/>
  <c r="I208" i="6" s="1"/>
  <c r="H209" i="6"/>
  <c r="I209" i="6" s="1"/>
  <c r="H210" i="6"/>
  <c r="I210" i="6" s="1"/>
  <c r="H211" i="6"/>
  <c r="I211" i="6" s="1"/>
  <c r="H212" i="6"/>
  <c r="I212" i="6" s="1"/>
  <c r="H213" i="6"/>
  <c r="I213" i="6" s="1"/>
  <c r="H214" i="6"/>
  <c r="I214" i="6" s="1"/>
  <c r="H215" i="6"/>
  <c r="I215" i="6" s="1"/>
  <c r="H216" i="6"/>
  <c r="I216" i="6" s="1"/>
  <c r="H217" i="6"/>
  <c r="I217" i="6" s="1"/>
  <c r="H218" i="6"/>
  <c r="I218" i="6" s="1"/>
  <c r="H219" i="6"/>
  <c r="I219" i="6" s="1"/>
  <c r="H220" i="6"/>
  <c r="I220" i="6" s="1"/>
  <c r="H221" i="6"/>
  <c r="I221" i="6" s="1"/>
  <c r="H222" i="6"/>
  <c r="I222" i="6" s="1"/>
  <c r="H223" i="6"/>
  <c r="I223" i="6" s="1"/>
  <c r="H224" i="6"/>
  <c r="I224" i="6" s="1"/>
  <c r="H225" i="6"/>
  <c r="I225" i="6" s="1"/>
  <c r="H226" i="6"/>
  <c r="I226" i="6" s="1"/>
  <c r="H227" i="6"/>
  <c r="I227" i="6" s="1"/>
  <c r="H228" i="6"/>
  <c r="I228" i="6" s="1"/>
  <c r="H229" i="6"/>
  <c r="I229" i="6" s="1"/>
  <c r="H230" i="6"/>
  <c r="I230" i="6" s="1"/>
  <c r="H231" i="6"/>
  <c r="I231" i="6" s="1"/>
  <c r="H232" i="6"/>
  <c r="I232" i="6" s="1"/>
  <c r="H233" i="6"/>
  <c r="I233" i="6" s="1"/>
  <c r="H234" i="6"/>
  <c r="I234" i="6" s="1"/>
  <c r="H235" i="6"/>
  <c r="I235" i="6" s="1"/>
  <c r="H236" i="6"/>
  <c r="I236" i="6" s="1"/>
  <c r="H237" i="6"/>
  <c r="I237" i="6" s="1"/>
  <c r="H238" i="6"/>
  <c r="I238" i="6" s="1"/>
  <c r="H239" i="6"/>
  <c r="I239" i="6" s="1"/>
  <c r="H240" i="6"/>
  <c r="I240" i="6" s="1"/>
  <c r="H241" i="6"/>
  <c r="I241" i="6" s="1"/>
  <c r="H242" i="6"/>
  <c r="I242" i="6" s="1"/>
  <c r="H243" i="6"/>
  <c r="I243" i="6" s="1"/>
  <c r="H244" i="6"/>
  <c r="I244" i="6" s="1"/>
  <c r="H245" i="6"/>
  <c r="I245" i="6" s="1"/>
  <c r="H246" i="6"/>
  <c r="I246" i="6" s="1"/>
  <c r="H247" i="6"/>
  <c r="I247" i="6" s="1"/>
  <c r="H248" i="6"/>
  <c r="I248" i="6" s="1"/>
  <c r="H249" i="6"/>
  <c r="I249" i="6" s="1"/>
  <c r="H250" i="6"/>
  <c r="I250" i="6" s="1"/>
  <c r="H251" i="6"/>
  <c r="I251" i="6" s="1"/>
  <c r="H252" i="6"/>
  <c r="I252" i="6" s="1"/>
  <c r="H253" i="6"/>
  <c r="I253" i="6" s="1"/>
  <c r="H254" i="6"/>
  <c r="I254" i="6" s="1"/>
  <c r="H255" i="6"/>
  <c r="I255" i="6" s="1"/>
  <c r="H256" i="6"/>
  <c r="I256" i="6" s="1"/>
  <c r="H257" i="6"/>
  <c r="I257" i="6" s="1"/>
  <c r="H258" i="6"/>
  <c r="I258" i="6" s="1"/>
  <c r="H259" i="6"/>
  <c r="I259" i="6" s="1"/>
  <c r="H260" i="6"/>
  <c r="I260" i="6" s="1"/>
  <c r="H261" i="6"/>
  <c r="I261" i="6" s="1"/>
  <c r="H262" i="6"/>
  <c r="I262" i="6" s="1"/>
  <c r="H263" i="6"/>
  <c r="I263" i="6" s="1"/>
  <c r="H264" i="6"/>
  <c r="I264" i="6" s="1"/>
  <c r="H265" i="6"/>
  <c r="I265" i="6" s="1"/>
  <c r="H266" i="6"/>
  <c r="I266" i="6" s="1"/>
  <c r="H267" i="6"/>
  <c r="I267" i="6" s="1"/>
  <c r="H268" i="6"/>
  <c r="I268" i="6" s="1"/>
  <c r="H269" i="6"/>
  <c r="I269" i="6" s="1"/>
  <c r="H270" i="6"/>
  <c r="I270" i="6" s="1"/>
  <c r="H271" i="6"/>
  <c r="I271" i="6" s="1"/>
  <c r="H272" i="6"/>
  <c r="I272" i="6" s="1"/>
  <c r="H273" i="6"/>
  <c r="I273" i="6" s="1"/>
  <c r="H274" i="6"/>
  <c r="I274" i="6" s="1"/>
  <c r="H275" i="6"/>
  <c r="I275" i="6" s="1"/>
  <c r="H276" i="6"/>
  <c r="I276" i="6" s="1"/>
  <c r="H277" i="6"/>
  <c r="I277" i="6" s="1"/>
  <c r="H278" i="6"/>
  <c r="I278" i="6" s="1"/>
  <c r="H279" i="6"/>
  <c r="I279" i="6" s="1"/>
  <c r="H280" i="6"/>
  <c r="I280" i="6" s="1"/>
  <c r="H281" i="6"/>
  <c r="I281" i="6" s="1"/>
  <c r="H282" i="6"/>
  <c r="I282" i="6" s="1"/>
  <c r="H283" i="6"/>
  <c r="I283" i="6" s="1"/>
  <c r="H284" i="6"/>
  <c r="I284" i="6" s="1"/>
  <c r="H285" i="6"/>
  <c r="I285" i="6" s="1"/>
  <c r="H286" i="6"/>
  <c r="I286" i="6" s="1"/>
  <c r="H287" i="6"/>
  <c r="I287" i="6" s="1"/>
  <c r="H288" i="6"/>
  <c r="I288" i="6" s="1"/>
  <c r="H289" i="6"/>
  <c r="I289" i="6" s="1"/>
  <c r="H290" i="6"/>
  <c r="I290" i="6" s="1"/>
  <c r="H291" i="6"/>
  <c r="I291" i="6" s="1"/>
  <c r="H292" i="6"/>
  <c r="I292" i="6" s="1"/>
  <c r="H293" i="6"/>
  <c r="I293" i="6" s="1"/>
  <c r="H294" i="6"/>
  <c r="I294" i="6" s="1"/>
  <c r="H295" i="6"/>
  <c r="I295" i="6" s="1"/>
  <c r="H296" i="6"/>
  <c r="I296" i="6" s="1"/>
  <c r="H297" i="6"/>
  <c r="I297" i="6" s="1"/>
  <c r="H298" i="6"/>
  <c r="I298" i="6" s="1"/>
  <c r="H299" i="6"/>
  <c r="I299" i="6" s="1"/>
  <c r="H14" i="6"/>
  <c r="I14" i="6" s="1"/>
  <c r="H15" i="6"/>
  <c r="I15" i="6" s="1"/>
  <c r="H16" i="6"/>
  <c r="I16" i="6" s="1"/>
  <c r="H17" i="6"/>
  <c r="I17" i="6" s="1"/>
  <c r="H18" i="6"/>
  <c r="I18" i="6" s="1"/>
  <c r="H19" i="6"/>
  <c r="I19" i="6" s="1"/>
  <c r="H20" i="6"/>
  <c r="I20" i="6" s="1"/>
  <c r="H21" i="6"/>
  <c r="I21" i="6" s="1"/>
  <c r="H22" i="6"/>
  <c r="I22" i="6" s="1"/>
  <c r="H23" i="6"/>
  <c r="I23" i="6" s="1"/>
  <c r="H24" i="6"/>
  <c r="I24" i="6" s="1"/>
  <c r="H25" i="6"/>
  <c r="I25" i="6" s="1"/>
  <c r="H26" i="6"/>
  <c r="I26" i="6" s="1"/>
  <c r="H27" i="6"/>
  <c r="I27" i="6" s="1"/>
  <c r="H28" i="6"/>
  <c r="I28" i="6" s="1"/>
  <c r="H29" i="6"/>
  <c r="I29" i="6" s="1"/>
  <c r="H30" i="6"/>
  <c r="I30" i="6" s="1"/>
  <c r="H31" i="6"/>
  <c r="I31" i="6" s="1"/>
  <c r="H32" i="6"/>
  <c r="I32" i="6" s="1"/>
  <c r="H33" i="6"/>
  <c r="I33" i="6" s="1"/>
  <c r="H34" i="6"/>
  <c r="I34" i="6" s="1"/>
  <c r="H35" i="6"/>
  <c r="I35" i="6" s="1"/>
  <c r="H36" i="6"/>
  <c r="I36" i="6" s="1"/>
  <c r="H37" i="6"/>
  <c r="I37" i="6" s="1"/>
  <c r="H38" i="6"/>
  <c r="I38" i="6" s="1"/>
  <c r="H39" i="6"/>
  <c r="I39" i="6" s="1"/>
  <c r="H40" i="6"/>
  <c r="I40" i="6" s="1"/>
  <c r="H41" i="6"/>
  <c r="I41" i="6" s="1"/>
  <c r="H42" i="6"/>
  <c r="I42" i="6" s="1"/>
  <c r="H43" i="6"/>
  <c r="I43" i="6" s="1"/>
  <c r="H44" i="6"/>
  <c r="I44" i="6" s="1"/>
  <c r="H45" i="6"/>
  <c r="I45" i="6" s="1"/>
  <c r="H46" i="6"/>
  <c r="I46" i="6" s="1"/>
  <c r="H47" i="6"/>
  <c r="I47" i="6" s="1"/>
  <c r="H48" i="6"/>
  <c r="I48" i="6" s="1"/>
  <c r="H49" i="6"/>
  <c r="I49" i="6" s="1"/>
  <c r="H50" i="6"/>
  <c r="I50" i="6" s="1"/>
  <c r="H51" i="6"/>
  <c r="I51" i="6" s="1"/>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172" i="6"/>
  <c r="E173" i="6"/>
  <c r="E174" i="6"/>
  <c r="E175" i="6"/>
  <c r="E176" i="6"/>
  <c r="E177" i="6"/>
  <c r="E178" i="6"/>
  <c r="E179" i="6"/>
  <c r="E180" i="6"/>
  <c r="E181" i="6"/>
  <c r="E182" i="6"/>
  <c r="E183" i="6"/>
  <c r="E184" i="6"/>
  <c r="E185" i="6"/>
  <c r="E186" i="6"/>
  <c r="E187" i="6"/>
  <c r="E188" i="6"/>
  <c r="E189" i="6"/>
  <c r="E190" i="6"/>
  <c r="E191" i="6"/>
  <c r="E192" i="6"/>
  <c r="E193" i="6"/>
  <c r="E194" i="6"/>
  <c r="E195" i="6"/>
  <c r="E196" i="6"/>
  <c r="E197" i="6"/>
  <c r="E198" i="6"/>
  <c r="E199" i="6"/>
  <c r="E200" i="6"/>
  <c r="E201" i="6"/>
  <c r="E202" i="6"/>
  <c r="E203" i="6"/>
  <c r="E204" i="6"/>
  <c r="E205" i="6"/>
  <c r="E206" i="6"/>
  <c r="E207" i="6"/>
  <c r="E208" i="6"/>
  <c r="E209" i="6"/>
  <c r="E210" i="6"/>
  <c r="E211" i="6"/>
  <c r="E212" i="6"/>
  <c r="E213" i="6"/>
  <c r="E214" i="6"/>
  <c r="E215" i="6"/>
  <c r="E216" i="6"/>
  <c r="E217" i="6"/>
  <c r="E218" i="6"/>
  <c r="E219" i="6"/>
  <c r="E220" i="6"/>
  <c r="E221" i="6"/>
  <c r="E222" i="6"/>
  <c r="E223" i="6"/>
  <c r="E224" i="6"/>
  <c r="E225" i="6"/>
  <c r="E226" i="6"/>
  <c r="E227" i="6"/>
  <c r="E228" i="6"/>
  <c r="E229" i="6"/>
  <c r="E230" i="6"/>
  <c r="E231" i="6"/>
  <c r="E232" i="6"/>
  <c r="E233" i="6"/>
  <c r="E234" i="6"/>
  <c r="E235" i="6"/>
  <c r="E236" i="6"/>
  <c r="E237" i="6"/>
  <c r="E238" i="6"/>
  <c r="E239" i="6"/>
  <c r="E240" i="6"/>
  <c r="E241" i="6"/>
  <c r="E242" i="6"/>
  <c r="E243" i="6"/>
  <c r="E244" i="6"/>
  <c r="E245" i="6"/>
  <c r="E246" i="6"/>
  <c r="E247" i="6"/>
  <c r="E248" i="6"/>
  <c r="E249" i="6"/>
  <c r="E250" i="6"/>
  <c r="E251" i="6"/>
  <c r="E252" i="6"/>
  <c r="E253" i="6"/>
  <c r="E254" i="6"/>
  <c r="E255" i="6"/>
  <c r="E256" i="6"/>
  <c r="E257" i="6"/>
  <c r="E258" i="6"/>
  <c r="E259" i="6"/>
  <c r="E260" i="6"/>
  <c r="E261" i="6"/>
  <c r="E262" i="6"/>
  <c r="E263" i="6"/>
  <c r="E264" i="6"/>
  <c r="E265" i="6"/>
  <c r="E266" i="6"/>
  <c r="E267" i="6"/>
  <c r="E268" i="6"/>
  <c r="E269" i="6"/>
  <c r="E270" i="6"/>
  <c r="E271" i="6"/>
  <c r="E272" i="6"/>
  <c r="E273" i="6"/>
  <c r="E274" i="6"/>
  <c r="E275" i="6"/>
  <c r="E276" i="6"/>
  <c r="E277" i="6"/>
  <c r="E278" i="6"/>
  <c r="E279" i="6"/>
  <c r="E280" i="6"/>
  <c r="E281" i="6"/>
  <c r="E282" i="6"/>
  <c r="E283" i="6"/>
  <c r="E284" i="6"/>
  <c r="E285" i="6"/>
  <c r="E286" i="6"/>
  <c r="E287" i="6"/>
  <c r="E288" i="6"/>
  <c r="E289" i="6"/>
  <c r="E290" i="6"/>
  <c r="E291" i="6"/>
  <c r="E292" i="6"/>
  <c r="E293" i="6"/>
  <c r="E294" i="6"/>
  <c r="E295" i="6"/>
  <c r="E296" i="6"/>
  <c r="E297" i="6"/>
  <c r="E298" i="6"/>
  <c r="E299" i="6"/>
  <c r="D300" i="6"/>
  <c r="E300"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A296" i="6"/>
  <c r="B296" i="6"/>
  <c r="A297" i="6"/>
  <c r="B297" i="6"/>
  <c r="A298" i="6"/>
  <c r="B298" i="6"/>
  <c r="A299" i="6"/>
  <c r="B299" i="6"/>
  <c r="A300" i="6"/>
  <c r="B300" i="6"/>
  <c r="B295" i="6"/>
  <c r="A11" i="6"/>
  <c r="G11" i="6" s="1"/>
  <c r="B11" i="6"/>
  <c r="C11" i="6" s="1"/>
  <c r="A12" i="6"/>
  <c r="B12" i="6"/>
  <c r="A13" i="6"/>
  <c r="H13" i="6" s="1"/>
  <c r="I13" i="6" s="1"/>
  <c r="B13" i="6"/>
  <c r="A14" i="6"/>
  <c r="B14" i="6"/>
  <c r="A15" i="6"/>
  <c r="B15" i="6"/>
  <c r="A16" i="6"/>
  <c r="B16" i="6"/>
  <c r="A17" i="6"/>
  <c r="B17" i="6"/>
  <c r="A18" i="6"/>
  <c r="B18" i="6"/>
  <c r="A19" i="6"/>
  <c r="B19" i="6"/>
  <c r="A20" i="6"/>
  <c r="B20" i="6"/>
  <c r="A21" i="6"/>
  <c r="B21" i="6"/>
  <c r="A22" i="6"/>
  <c r="B22" i="6"/>
  <c r="A23" i="6"/>
  <c r="B23" i="6"/>
  <c r="A24" i="6"/>
  <c r="B24" i="6"/>
  <c r="A25" i="6"/>
  <c r="B25" i="6"/>
  <c r="A26" i="6"/>
  <c r="B26" i="6"/>
  <c r="A27" i="6"/>
  <c r="B27" i="6"/>
  <c r="A28" i="6"/>
  <c r="B28" i="6"/>
  <c r="A29" i="6"/>
  <c r="B29" i="6"/>
  <c r="A30" i="6"/>
  <c r="B30" i="6"/>
  <c r="A31" i="6"/>
  <c r="B31" i="6"/>
  <c r="A32" i="6"/>
  <c r="B32" i="6"/>
  <c r="A33" i="6"/>
  <c r="B33" i="6"/>
  <c r="A34" i="6"/>
  <c r="B34" i="6"/>
  <c r="A35" i="6"/>
  <c r="B35" i="6"/>
  <c r="A36" i="6"/>
  <c r="B36" i="6"/>
  <c r="A37" i="6"/>
  <c r="B37" i="6"/>
  <c r="A38" i="6"/>
  <c r="B38" i="6"/>
  <c r="A39" i="6"/>
  <c r="B39" i="6"/>
  <c r="A40" i="6"/>
  <c r="B40" i="6"/>
  <c r="A41" i="6"/>
  <c r="B41" i="6"/>
  <c r="A42" i="6"/>
  <c r="B42" i="6"/>
  <c r="A43" i="6"/>
  <c r="B43" i="6"/>
  <c r="A44" i="6"/>
  <c r="B44" i="6"/>
  <c r="A45" i="6"/>
  <c r="B45" i="6"/>
  <c r="A46" i="6"/>
  <c r="B46" i="6"/>
  <c r="A47" i="6"/>
  <c r="B47" i="6"/>
  <c r="A48" i="6"/>
  <c r="B48" i="6"/>
  <c r="A49" i="6"/>
  <c r="B49" i="6"/>
  <c r="A50" i="6"/>
  <c r="B50" i="6"/>
  <c r="A51" i="6"/>
  <c r="B51" i="6"/>
  <c r="A52" i="6"/>
  <c r="B52" i="6"/>
  <c r="A53" i="6"/>
  <c r="B53" i="6"/>
  <c r="A54" i="6"/>
  <c r="B54" i="6"/>
  <c r="A55" i="6"/>
  <c r="B55" i="6"/>
  <c r="A56" i="6"/>
  <c r="B56" i="6"/>
  <c r="A57" i="6"/>
  <c r="B57" i="6"/>
  <c r="A58" i="6"/>
  <c r="B58" i="6"/>
  <c r="A59" i="6"/>
  <c r="B59" i="6"/>
  <c r="A60" i="6"/>
  <c r="B60" i="6"/>
  <c r="A61" i="6"/>
  <c r="B61" i="6"/>
  <c r="A62" i="6"/>
  <c r="B62" i="6"/>
  <c r="A63" i="6"/>
  <c r="B63" i="6"/>
  <c r="A64" i="6"/>
  <c r="B64" i="6"/>
  <c r="A65" i="6"/>
  <c r="B65" i="6"/>
  <c r="A66" i="6"/>
  <c r="B66" i="6"/>
  <c r="A67" i="6"/>
  <c r="B67" i="6"/>
  <c r="A68" i="6"/>
  <c r="B68" i="6"/>
  <c r="A69" i="6"/>
  <c r="B69" i="6"/>
  <c r="A70" i="6"/>
  <c r="B70" i="6"/>
  <c r="A71" i="6"/>
  <c r="B71" i="6"/>
  <c r="A72" i="6"/>
  <c r="B72" i="6"/>
  <c r="A73" i="6"/>
  <c r="B73" i="6"/>
  <c r="A74" i="6"/>
  <c r="B74" i="6"/>
  <c r="A75" i="6"/>
  <c r="B75" i="6"/>
  <c r="A76" i="6"/>
  <c r="B76" i="6"/>
  <c r="A77" i="6"/>
  <c r="B77" i="6"/>
  <c r="A78" i="6"/>
  <c r="B78" i="6"/>
  <c r="A79" i="6"/>
  <c r="B79" i="6"/>
  <c r="A80" i="6"/>
  <c r="B80" i="6"/>
  <c r="A81" i="6"/>
  <c r="B81" i="6"/>
  <c r="A82" i="6"/>
  <c r="B82" i="6"/>
  <c r="A83" i="6"/>
  <c r="B83" i="6"/>
  <c r="A84" i="6"/>
  <c r="B84" i="6"/>
  <c r="A85" i="6"/>
  <c r="B85" i="6"/>
  <c r="A86" i="6"/>
  <c r="B86" i="6"/>
  <c r="A87" i="6"/>
  <c r="B87" i="6"/>
  <c r="A88" i="6"/>
  <c r="B88" i="6"/>
  <c r="A89" i="6"/>
  <c r="B89" i="6"/>
  <c r="A90" i="6"/>
  <c r="B90" i="6"/>
  <c r="A91" i="6"/>
  <c r="B91" i="6"/>
  <c r="A92" i="6"/>
  <c r="B92" i="6"/>
  <c r="A93" i="6"/>
  <c r="B93" i="6"/>
  <c r="A94" i="6"/>
  <c r="B94" i="6"/>
  <c r="A95" i="6"/>
  <c r="B95" i="6"/>
  <c r="A96" i="6"/>
  <c r="B96" i="6"/>
  <c r="A97" i="6"/>
  <c r="B97" i="6"/>
  <c r="A98" i="6"/>
  <c r="B98" i="6"/>
  <c r="A99" i="6"/>
  <c r="B99" i="6"/>
  <c r="A100" i="6"/>
  <c r="B100" i="6"/>
  <c r="A101" i="6"/>
  <c r="B101" i="6"/>
  <c r="A102" i="6"/>
  <c r="B102" i="6"/>
  <c r="A103" i="6"/>
  <c r="B103" i="6"/>
  <c r="A104" i="6"/>
  <c r="B104" i="6"/>
  <c r="A105" i="6"/>
  <c r="B105" i="6"/>
  <c r="A106" i="6"/>
  <c r="B106" i="6"/>
  <c r="A107" i="6"/>
  <c r="B107" i="6"/>
  <c r="A108" i="6"/>
  <c r="B108" i="6"/>
  <c r="A109" i="6"/>
  <c r="B109" i="6"/>
  <c r="A110" i="6"/>
  <c r="B110" i="6"/>
  <c r="A111" i="6"/>
  <c r="B111" i="6"/>
  <c r="A112" i="6"/>
  <c r="B112" i="6"/>
  <c r="A113" i="6"/>
  <c r="B113" i="6"/>
  <c r="A114" i="6"/>
  <c r="B114" i="6"/>
  <c r="A115" i="6"/>
  <c r="B115" i="6"/>
  <c r="A116" i="6"/>
  <c r="B116" i="6"/>
  <c r="A117" i="6"/>
  <c r="B117" i="6"/>
  <c r="A118" i="6"/>
  <c r="B118" i="6"/>
  <c r="A119" i="6"/>
  <c r="B119" i="6"/>
  <c r="A120" i="6"/>
  <c r="B120" i="6"/>
  <c r="A121" i="6"/>
  <c r="B121" i="6"/>
  <c r="A122" i="6"/>
  <c r="B122" i="6"/>
  <c r="A123" i="6"/>
  <c r="B123" i="6"/>
  <c r="A124" i="6"/>
  <c r="B124" i="6"/>
  <c r="A125" i="6"/>
  <c r="B125" i="6"/>
  <c r="A126" i="6"/>
  <c r="B126" i="6"/>
  <c r="A127" i="6"/>
  <c r="B127" i="6"/>
  <c r="A128" i="6"/>
  <c r="B128" i="6"/>
  <c r="A129" i="6"/>
  <c r="B129" i="6"/>
  <c r="A130" i="6"/>
  <c r="B130" i="6"/>
  <c r="A131" i="6"/>
  <c r="B131" i="6"/>
  <c r="A132" i="6"/>
  <c r="B132" i="6"/>
  <c r="A133" i="6"/>
  <c r="B133" i="6"/>
  <c r="A134" i="6"/>
  <c r="B134" i="6"/>
  <c r="A135" i="6"/>
  <c r="B135" i="6"/>
  <c r="A136" i="6"/>
  <c r="B136" i="6"/>
  <c r="A137" i="6"/>
  <c r="B137" i="6"/>
  <c r="A138" i="6"/>
  <c r="B138" i="6"/>
  <c r="A139" i="6"/>
  <c r="B139" i="6"/>
  <c r="A140" i="6"/>
  <c r="B140" i="6"/>
  <c r="A141" i="6"/>
  <c r="B141" i="6"/>
  <c r="A142" i="6"/>
  <c r="B142" i="6"/>
  <c r="A143" i="6"/>
  <c r="B143" i="6"/>
  <c r="A144" i="6"/>
  <c r="B144" i="6"/>
  <c r="A145" i="6"/>
  <c r="B145" i="6"/>
  <c r="A146" i="6"/>
  <c r="B146" i="6"/>
  <c r="A147" i="6"/>
  <c r="B147" i="6"/>
  <c r="A148" i="6"/>
  <c r="B148" i="6"/>
  <c r="A149" i="6"/>
  <c r="B149" i="6"/>
  <c r="A150" i="6"/>
  <c r="B150" i="6"/>
  <c r="A151" i="6"/>
  <c r="B151" i="6"/>
  <c r="A152" i="6"/>
  <c r="B152" i="6"/>
  <c r="A153" i="6"/>
  <c r="B153" i="6"/>
  <c r="A154" i="6"/>
  <c r="B154" i="6"/>
  <c r="A155" i="6"/>
  <c r="B155" i="6"/>
  <c r="A156" i="6"/>
  <c r="B156" i="6"/>
  <c r="A157" i="6"/>
  <c r="B157" i="6"/>
  <c r="A158" i="6"/>
  <c r="B158" i="6"/>
  <c r="A159" i="6"/>
  <c r="B159" i="6"/>
  <c r="A160" i="6"/>
  <c r="B160" i="6"/>
  <c r="A161" i="6"/>
  <c r="B161" i="6"/>
  <c r="A162" i="6"/>
  <c r="B162" i="6"/>
  <c r="A163" i="6"/>
  <c r="B163" i="6"/>
  <c r="A164" i="6"/>
  <c r="B164" i="6"/>
  <c r="A165" i="6"/>
  <c r="B165" i="6"/>
  <c r="A166" i="6"/>
  <c r="B166" i="6"/>
  <c r="A167" i="6"/>
  <c r="B167" i="6"/>
  <c r="A168" i="6"/>
  <c r="B168" i="6"/>
  <c r="A169" i="6"/>
  <c r="B169" i="6"/>
  <c r="A170" i="6"/>
  <c r="B170" i="6"/>
  <c r="A171" i="6"/>
  <c r="B171" i="6"/>
  <c r="A172" i="6"/>
  <c r="B172" i="6"/>
  <c r="A173" i="6"/>
  <c r="B173" i="6"/>
  <c r="A174" i="6"/>
  <c r="B174" i="6"/>
  <c r="A175" i="6"/>
  <c r="B175" i="6"/>
  <c r="A176" i="6"/>
  <c r="B176" i="6"/>
  <c r="A177" i="6"/>
  <c r="B177" i="6"/>
  <c r="A178" i="6"/>
  <c r="B178" i="6"/>
  <c r="A179" i="6"/>
  <c r="B179" i="6"/>
  <c r="A180" i="6"/>
  <c r="B180" i="6"/>
  <c r="A181" i="6"/>
  <c r="B181" i="6"/>
  <c r="A182" i="6"/>
  <c r="B182" i="6"/>
  <c r="A183" i="6"/>
  <c r="B183" i="6"/>
  <c r="A184" i="6"/>
  <c r="B184" i="6"/>
  <c r="A185" i="6"/>
  <c r="B185" i="6"/>
  <c r="A186" i="6"/>
  <c r="B186" i="6"/>
  <c r="A187" i="6"/>
  <c r="B187" i="6"/>
  <c r="A188" i="6"/>
  <c r="B188" i="6"/>
  <c r="A189" i="6"/>
  <c r="B189" i="6"/>
  <c r="A190" i="6"/>
  <c r="B190" i="6"/>
  <c r="A191" i="6"/>
  <c r="B191" i="6"/>
  <c r="A192" i="6"/>
  <c r="B192" i="6"/>
  <c r="A193" i="6"/>
  <c r="B193" i="6"/>
  <c r="A194" i="6"/>
  <c r="B194" i="6"/>
  <c r="A195" i="6"/>
  <c r="B195" i="6"/>
  <c r="A196" i="6"/>
  <c r="B196" i="6"/>
  <c r="A197" i="6"/>
  <c r="B197" i="6"/>
  <c r="A198" i="6"/>
  <c r="B198" i="6"/>
  <c r="A199" i="6"/>
  <c r="B199" i="6"/>
  <c r="A200" i="6"/>
  <c r="B200" i="6"/>
  <c r="A201" i="6"/>
  <c r="B201" i="6"/>
  <c r="A202" i="6"/>
  <c r="B202" i="6"/>
  <c r="A203" i="6"/>
  <c r="B203" i="6"/>
  <c r="A204" i="6"/>
  <c r="B204" i="6"/>
  <c r="A205" i="6"/>
  <c r="B205" i="6"/>
  <c r="A206" i="6"/>
  <c r="B206" i="6"/>
  <c r="A207" i="6"/>
  <c r="B207" i="6"/>
  <c r="A208" i="6"/>
  <c r="B208" i="6"/>
  <c r="A209" i="6"/>
  <c r="B209" i="6"/>
  <c r="A210" i="6"/>
  <c r="B210" i="6"/>
  <c r="A211" i="6"/>
  <c r="B211" i="6"/>
  <c r="A212" i="6"/>
  <c r="B212" i="6"/>
  <c r="A213" i="6"/>
  <c r="B213" i="6"/>
  <c r="A214" i="6"/>
  <c r="B214" i="6"/>
  <c r="A215" i="6"/>
  <c r="B215" i="6"/>
  <c r="A216" i="6"/>
  <c r="B216" i="6"/>
  <c r="A217" i="6"/>
  <c r="B217" i="6"/>
  <c r="A218" i="6"/>
  <c r="B218" i="6"/>
  <c r="A219" i="6"/>
  <c r="B219" i="6"/>
  <c r="A220" i="6"/>
  <c r="B220" i="6"/>
  <c r="A221" i="6"/>
  <c r="B221" i="6"/>
  <c r="A222" i="6"/>
  <c r="B222" i="6"/>
  <c r="A223" i="6"/>
  <c r="B223" i="6"/>
  <c r="A224" i="6"/>
  <c r="B224" i="6"/>
  <c r="A225" i="6"/>
  <c r="B225" i="6"/>
  <c r="A226" i="6"/>
  <c r="B226" i="6"/>
  <c r="A227" i="6"/>
  <c r="B227" i="6"/>
  <c r="A228" i="6"/>
  <c r="B228" i="6"/>
  <c r="A229" i="6"/>
  <c r="B229" i="6"/>
  <c r="A230" i="6"/>
  <c r="B230" i="6"/>
  <c r="A231" i="6"/>
  <c r="B231" i="6"/>
  <c r="A232" i="6"/>
  <c r="B232" i="6"/>
  <c r="A233" i="6"/>
  <c r="B233" i="6"/>
  <c r="A234" i="6"/>
  <c r="B234" i="6"/>
  <c r="A235" i="6"/>
  <c r="B235" i="6"/>
  <c r="A236" i="6"/>
  <c r="B236" i="6"/>
  <c r="A237" i="6"/>
  <c r="B237" i="6"/>
  <c r="A238" i="6"/>
  <c r="B238" i="6"/>
  <c r="A239" i="6"/>
  <c r="B239" i="6"/>
  <c r="A240" i="6"/>
  <c r="B240" i="6"/>
  <c r="A241" i="6"/>
  <c r="B241" i="6"/>
  <c r="A242" i="6"/>
  <c r="B242" i="6"/>
  <c r="A243" i="6"/>
  <c r="B243" i="6"/>
  <c r="A244" i="6"/>
  <c r="B244" i="6"/>
  <c r="A245" i="6"/>
  <c r="B245" i="6"/>
  <c r="A246" i="6"/>
  <c r="B246" i="6"/>
  <c r="A247" i="6"/>
  <c r="B247" i="6"/>
  <c r="A248" i="6"/>
  <c r="B248" i="6"/>
  <c r="A249" i="6"/>
  <c r="B249" i="6"/>
  <c r="A250" i="6"/>
  <c r="B250" i="6"/>
  <c r="A251" i="6"/>
  <c r="B251" i="6"/>
  <c r="A252" i="6"/>
  <c r="B252" i="6"/>
  <c r="A253" i="6"/>
  <c r="B253" i="6"/>
  <c r="A254" i="6"/>
  <c r="B254" i="6"/>
  <c r="A255" i="6"/>
  <c r="B255" i="6"/>
  <c r="A256" i="6"/>
  <c r="B256" i="6"/>
  <c r="A257" i="6"/>
  <c r="B257" i="6"/>
  <c r="A258" i="6"/>
  <c r="B258" i="6"/>
  <c r="A259" i="6"/>
  <c r="B259" i="6"/>
  <c r="A260" i="6"/>
  <c r="B260" i="6"/>
  <c r="A261" i="6"/>
  <c r="B261" i="6"/>
  <c r="A262" i="6"/>
  <c r="B262" i="6"/>
  <c r="A263" i="6"/>
  <c r="B263" i="6"/>
  <c r="A264" i="6"/>
  <c r="B264" i="6"/>
  <c r="A265" i="6"/>
  <c r="B265" i="6"/>
  <c r="A266" i="6"/>
  <c r="B266" i="6"/>
  <c r="A267" i="6"/>
  <c r="B267" i="6"/>
  <c r="A268" i="6"/>
  <c r="B268" i="6"/>
  <c r="A269" i="6"/>
  <c r="B269" i="6"/>
  <c r="A270" i="6"/>
  <c r="B270" i="6"/>
  <c r="A271" i="6"/>
  <c r="B271" i="6"/>
  <c r="A272" i="6"/>
  <c r="B272" i="6"/>
  <c r="A273" i="6"/>
  <c r="B273" i="6"/>
  <c r="A274" i="6"/>
  <c r="B274" i="6"/>
  <c r="A275" i="6"/>
  <c r="B275" i="6"/>
  <c r="A276" i="6"/>
  <c r="B276" i="6"/>
  <c r="A277" i="6"/>
  <c r="B277" i="6"/>
  <c r="A278" i="6"/>
  <c r="B278" i="6"/>
  <c r="A279" i="6"/>
  <c r="B279" i="6"/>
  <c r="A280" i="6"/>
  <c r="B280" i="6"/>
  <c r="A281" i="6"/>
  <c r="B281" i="6"/>
  <c r="A282" i="6"/>
  <c r="B282" i="6"/>
  <c r="A283" i="6"/>
  <c r="B283" i="6"/>
  <c r="A284" i="6"/>
  <c r="B284" i="6"/>
  <c r="A285" i="6"/>
  <c r="B285" i="6"/>
  <c r="A286" i="6"/>
  <c r="B286" i="6"/>
  <c r="A287" i="6"/>
  <c r="B287" i="6"/>
  <c r="A288" i="6"/>
  <c r="B288" i="6"/>
  <c r="A289" i="6"/>
  <c r="B289" i="6"/>
  <c r="A290" i="6"/>
  <c r="B290" i="6"/>
  <c r="A291" i="6"/>
  <c r="B291" i="6"/>
  <c r="A292" i="6"/>
  <c r="B292" i="6"/>
  <c r="A293" i="6"/>
  <c r="B293" i="6"/>
  <c r="A294" i="6"/>
  <c r="B294" i="6"/>
  <c r="A295" i="6"/>
  <c r="A3" i="6"/>
  <c r="A4" i="6"/>
  <c r="A5" i="6"/>
  <c r="A6" i="6"/>
  <c r="A7" i="6"/>
  <c r="C3" i="6"/>
  <c r="C4" i="6"/>
  <c r="C5" i="6"/>
  <c r="C6" i="6"/>
  <c r="C7" i="6"/>
  <c r="C8" i="6"/>
  <c r="C9" i="6"/>
  <c r="C10" i="6"/>
  <c r="C2" i="6"/>
  <c r="B3" i="6"/>
  <c r="E3" i="6"/>
  <c r="B4" i="6"/>
  <c r="E4" i="6"/>
  <c r="B5" i="6"/>
  <c r="E5" i="6"/>
  <c r="B6" i="6"/>
  <c r="E6" i="6"/>
  <c r="B7" i="6"/>
  <c r="E7" i="6"/>
  <c r="B8" i="6"/>
  <c r="E8" i="6"/>
  <c r="B9" i="6"/>
  <c r="E9" i="6"/>
  <c r="B10" i="6"/>
  <c r="E10" i="6"/>
  <c r="E2" i="6"/>
  <c r="B2" i="6"/>
  <c r="A8" i="6"/>
  <c r="A9" i="6"/>
  <c r="A10" i="6"/>
  <c r="A2" i="6"/>
  <c r="S51" i="6"/>
  <c r="R51" i="6"/>
  <c r="Q51" i="6"/>
  <c r="P51" i="6"/>
  <c r="S50" i="6"/>
  <c r="R50" i="6"/>
  <c r="Q50" i="6"/>
  <c r="P50" i="6"/>
  <c r="S49" i="6"/>
  <c r="R49" i="6"/>
  <c r="Q49" i="6"/>
  <c r="P49" i="6"/>
  <c r="S48" i="6"/>
  <c r="R48" i="6"/>
  <c r="Q48" i="6"/>
  <c r="P48" i="6"/>
  <c r="S47" i="6"/>
  <c r="R47" i="6"/>
  <c r="Q47" i="6"/>
  <c r="P47" i="6"/>
  <c r="S46" i="6"/>
  <c r="R46" i="6"/>
  <c r="Q46" i="6"/>
  <c r="P46" i="6"/>
  <c r="S45" i="6"/>
  <c r="R45" i="6"/>
  <c r="Q45" i="6"/>
  <c r="P45" i="6"/>
  <c r="S44" i="6"/>
  <c r="R44" i="6"/>
  <c r="Q44" i="6"/>
  <c r="P44" i="6"/>
  <c r="S43" i="6"/>
  <c r="R43" i="6"/>
  <c r="Q43" i="6"/>
  <c r="P43" i="6"/>
  <c r="S42" i="6"/>
  <c r="R42" i="6"/>
  <c r="Q42" i="6"/>
  <c r="P42" i="6"/>
  <c r="S41" i="6"/>
  <c r="R41" i="6"/>
  <c r="Q41" i="6"/>
  <c r="P41" i="6"/>
  <c r="S40" i="6"/>
  <c r="R40" i="6"/>
  <c r="Q40" i="6"/>
  <c r="P40" i="6"/>
  <c r="S39" i="6"/>
  <c r="R39" i="6"/>
  <c r="Q39" i="6"/>
  <c r="P39" i="6"/>
  <c r="S38" i="6"/>
  <c r="R38" i="6"/>
  <c r="Q38" i="6"/>
  <c r="P38" i="6"/>
  <c r="S37" i="6"/>
  <c r="R37" i="6"/>
  <c r="Q37" i="6"/>
  <c r="P37" i="6"/>
  <c r="S36" i="6"/>
  <c r="R36" i="6"/>
  <c r="Q36" i="6"/>
  <c r="P36" i="6"/>
  <c r="S35" i="6"/>
  <c r="R35" i="6"/>
  <c r="Q35" i="6"/>
  <c r="P35" i="6"/>
  <c r="S34" i="6"/>
  <c r="R34" i="6"/>
  <c r="Q34" i="6"/>
  <c r="P34" i="6"/>
  <c r="S33" i="6"/>
  <c r="R33" i="6"/>
  <c r="Q33" i="6"/>
  <c r="P33" i="6"/>
  <c r="S32" i="6"/>
  <c r="R32" i="6"/>
  <c r="Q32" i="6"/>
  <c r="P32" i="6"/>
  <c r="S31" i="6"/>
  <c r="R31" i="6"/>
  <c r="Q31" i="6"/>
  <c r="P31" i="6"/>
  <c r="S30" i="6"/>
  <c r="R30" i="6"/>
  <c r="Q30" i="6"/>
  <c r="P30" i="6"/>
  <c r="S29" i="6"/>
  <c r="R29" i="6"/>
  <c r="Q29" i="6"/>
  <c r="P29" i="6"/>
  <c r="S28" i="6"/>
  <c r="R28" i="6"/>
  <c r="Q28" i="6"/>
  <c r="P28" i="6"/>
  <c r="S27" i="6"/>
  <c r="R27" i="6"/>
  <c r="Q27" i="6"/>
  <c r="P27" i="6"/>
  <c r="S26" i="6"/>
  <c r="R26" i="6"/>
  <c r="Q26" i="6"/>
  <c r="P26" i="6"/>
  <c r="S25" i="6"/>
  <c r="R25" i="6"/>
  <c r="Q25" i="6"/>
  <c r="P25" i="6"/>
  <c r="S24" i="6"/>
  <c r="R24" i="6"/>
  <c r="Q24" i="6"/>
  <c r="P24" i="6"/>
  <c r="S23" i="6"/>
  <c r="R23" i="6"/>
  <c r="Q23" i="6"/>
  <c r="P23" i="6"/>
  <c r="S22" i="6"/>
  <c r="R22" i="6"/>
  <c r="Q22" i="6"/>
  <c r="P22" i="6"/>
  <c r="W21" i="6"/>
  <c r="V19" i="6"/>
  <c r="W11" i="6"/>
  <c r="G9" i="6"/>
  <c r="G8" i="6"/>
  <c r="G5" i="6"/>
  <c r="G4" i="6"/>
  <c r="J2" i="6"/>
  <c r="G2" i="6"/>
  <c r="E3" i="5"/>
  <c r="E4" i="5"/>
  <c r="E5" i="5"/>
  <c r="E6" i="5"/>
  <c r="E7" i="5"/>
  <c r="E8" i="5"/>
  <c r="E9" i="5"/>
  <c r="E10"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2" i="5"/>
  <c r="J12" i="9" l="1"/>
  <c r="C13" i="9"/>
  <c r="M13" i="6"/>
  <c r="K13" i="6" s="1"/>
  <c r="L13" i="6" s="1"/>
  <c r="J13" i="6"/>
  <c r="H12" i="6"/>
  <c r="I12" i="6" s="1"/>
  <c r="G12" i="6"/>
  <c r="C11" i="9"/>
  <c r="D11" i="9"/>
  <c r="J12" i="6"/>
  <c r="O2" i="6" a="1"/>
  <c r="J11" i="6"/>
  <c r="H11" i="6"/>
  <c r="H11" i="9"/>
  <c r="M11" i="9" s="1"/>
  <c r="J11" i="9"/>
  <c r="K12" i="7"/>
  <c r="K12" i="11" s="1"/>
  <c r="C12" i="7"/>
  <c r="C12" i="11" s="1"/>
  <c r="C8" i="7"/>
  <c r="C8" i="11" s="1"/>
  <c r="D12" i="7"/>
  <c r="D12" i="11" s="1"/>
  <c r="D8" i="7"/>
  <c r="D8" i="11" s="1"/>
  <c r="K11" i="7"/>
  <c r="K11" i="11" s="1"/>
  <c r="C19" i="7"/>
  <c r="C19" i="11" s="1"/>
  <c r="C15" i="7"/>
  <c r="C15" i="11" s="1"/>
  <c r="C11" i="7"/>
  <c r="C11" i="11" s="1"/>
  <c r="C7" i="7"/>
  <c r="C7" i="11" s="1"/>
  <c r="D15" i="7"/>
  <c r="D15" i="11" s="1"/>
  <c r="D11" i="7"/>
  <c r="D11" i="11" s="1"/>
  <c r="D7" i="7"/>
  <c r="D7" i="11" s="1"/>
  <c r="H18" i="7"/>
  <c r="H18" i="11" s="1"/>
  <c r="H14" i="7"/>
  <c r="H14" i="11" s="1"/>
  <c r="H10" i="7"/>
  <c r="H10" i="11" s="1"/>
  <c r="H6" i="7"/>
  <c r="H6" i="11" s="1"/>
  <c r="K18" i="7"/>
  <c r="K18" i="11" s="1"/>
  <c r="K14" i="7"/>
  <c r="K14" i="11" s="1"/>
  <c r="K10" i="7"/>
  <c r="K10" i="11" s="1"/>
  <c r="K6" i="7"/>
  <c r="K6" i="11" s="1"/>
  <c r="C17" i="7"/>
  <c r="C17" i="11" s="1"/>
  <c r="D17" i="7"/>
  <c r="D17" i="11" s="1"/>
  <c r="H8" i="7"/>
  <c r="H8" i="11" s="1"/>
  <c r="C20" i="7"/>
  <c r="C20" i="11" s="1"/>
  <c r="H15" i="7"/>
  <c r="H15" i="11" s="1"/>
  <c r="H7" i="7"/>
  <c r="H7" i="11" s="1"/>
  <c r="C18" i="7"/>
  <c r="C18" i="11" s="1"/>
  <c r="C14" i="7"/>
  <c r="C14" i="11" s="1"/>
  <c r="C10" i="7"/>
  <c r="C10" i="11" s="1"/>
  <c r="C6" i="7"/>
  <c r="C6" i="11" s="1"/>
  <c r="H17" i="7"/>
  <c r="H17" i="11" s="1"/>
  <c r="H13" i="7"/>
  <c r="H13" i="11" s="1"/>
  <c r="H9" i="7"/>
  <c r="H9" i="11" s="1"/>
  <c r="I16" i="10"/>
  <c r="I36" i="11" s="1"/>
  <c r="I20" i="10"/>
  <c r="J2" i="9"/>
  <c r="H3" i="9"/>
  <c r="I19" i="10"/>
  <c r="G21" i="10"/>
  <c r="J13" i="9"/>
  <c r="G19" i="10"/>
  <c r="G18" i="10"/>
  <c r="I17" i="10"/>
  <c r="G20" i="10"/>
  <c r="G17" i="10"/>
  <c r="G37" i="11" s="1"/>
  <c r="I18" i="10"/>
  <c r="U21" i="9"/>
  <c r="K56" i="9"/>
  <c r="M56" i="9"/>
  <c r="K48" i="9"/>
  <c r="M48" i="9"/>
  <c r="M40" i="9"/>
  <c r="K40" i="9"/>
  <c r="M32" i="9"/>
  <c r="K32" i="9"/>
  <c r="K52" i="9"/>
  <c r="M52" i="9"/>
  <c r="K44" i="9"/>
  <c r="M44" i="9"/>
  <c r="I44" i="9"/>
  <c r="M36" i="9"/>
  <c r="K36" i="9"/>
  <c r="M28" i="9"/>
  <c r="K28" i="9"/>
  <c r="K20" i="9"/>
  <c r="I20" i="9"/>
  <c r="M24" i="9"/>
  <c r="K24" i="9"/>
  <c r="I24" i="9"/>
  <c r="I40" i="9"/>
  <c r="G220" i="9"/>
  <c r="L220" i="9" s="1"/>
  <c r="H220" i="9"/>
  <c r="G100" i="9"/>
  <c r="H100" i="9"/>
  <c r="I100" i="9" s="1"/>
  <c r="G92" i="9"/>
  <c r="J92" i="9" s="1"/>
  <c r="H92" i="9"/>
  <c r="G84" i="9"/>
  <c r="H84" i="9"/>
  <c r="I84" i="9" s="1"/>
  <c r="G76" i="9"/>
  <c r="H76" i="9"/>
  <c r="G72" i="9"/>
  <c r="H72" i="9"/>
  <c r="I72" i="9" s="1"/>
  <c r="G68" i="9"/>
  <c r="H68" i="9"/>
  <c r="G64" i="9"/>
  <c r="H64" i="9"/>
  <c r="I64" i="9" s="1"/>
  <c r="H48" i="9"/>
  <c r="I48" i="9" s="1"/>
  <c r="H52" i="9"/>
  <c r="I52" i="9" s="1"/>
  <c r="H56" i="9"/>
  <c r="I56" i="9" s="1"/>
  <c r="H60" i="9"/>
  <c r="I60" i="9" s="1"/>
  <c r="K75" i="9"/>
  <c r="G140" i="9"/>
  <c r="K140" i="9" s="1"/>
  <c r="L148" i="9"/>
  <c r="L152" i="9"/>
  <c r="G236" i="9"/>
  <c r="J236" i="9" s="1"/>
  <c r="K240" i="9"/>
  <c r="K244" i="9"/>
  <c r="K248" i="9"/>
  <c r="K252" i="9"/>
  <c r="K256" i="9"/>
  <c r="G223" i="9"/>
  <c r="H223" i="9"/>
  <c r="I32" i="9"/>
  <c r="J144" i="9"/>
  <c r="K144" i="9"/>
  <c r="G228" i="9"/>
  <c r="K228" i="9" s="1"/>
  <c r="H228" i="9"/>
  <c r="I228" i="9" s="1"/>
  <c r="I144" i="9"/>
  <c r="G96" i="9"/>
  <c r="H96" i="9"/>
  <c r="I96" i="9" s="1"/>
  <c r="G88" i="9"/>
  <c r="H88" i="9"/>
  <c r="G80" i="9"/>
  <c r="H80" i="9"/>
  <c r="I80" i="9" s="1"/>
  <c r="J15" i="9"/>
  <c r="Y19" i="9"/>
  <c r="I22" i="9"/>
  <c r="I26" i="9"/>
  <c r="I30" i="9"/>
  <c r="I34" i="9"/>
  <c r="I38" i="9"/>
  <c r="I42" i="9"/>
  <c r="K60" i="9"/>
  <c r="I62" i="9"/>
  <c r="K63" i="9"/>
  <c r="I78" i="9"/>
  <c r="K79" i="9"/>
  <c r="K83" i="9"/>
  <c r="K87" i="9"/>
  <c r="K91" i="9"/>
  <c r="K95" i="9"/>
  <c r="K99" i="9"/>
  <c r="H104" i="9"/>
  <c r="I104" i="9" s="1"/>
  <c r="G108" i="9"/>
  <c r="H120" i="9"/>
  <c r="I120" i="9" s="1"/>
  <c r="G124" i="9"/>
  <c r="G136" i="9"/>
  <c r="K136" i="9" s="1"/>
  <c r="G231" i="9"/>
  <c r="G239" i="9"/>
  <c r="G243" i="9"/>
  <c r="G247" i="9"/>
  <c r="G251" i="9"/>
  <c r="G255" i="9"/>
  <c r="G272" i="9"/>
  <c r="G280" i="9"/>
  <c r="M280" i="9" s="1"/>
  <c r="G288" i="9"/>
  <c r="G296" i="9"/>
  <c r="I28" i="9"/>
  <c r="I36" i="9"/>
  <c r="M15" i="9"/>
  <c r="I46" i="9"/>
  <c r="I50" i="9"/>
  <c r="I54" i="9"/>
  <c r="I58" i="9"/>
  <c r="M60" i="9"/>
  <c r="I66" i="9"/>
  <c r="I82" i="9"/>
  <c r="I86" i="9"/>
  <c r="I90" i="9"/>
  <c r="I94" i="9"/>
  <c r="I98" i="9"/>
  <c r="G132" i="9"/>
  <c r="K132" i="9" s="1"/>
  <c r="G232" i="9"/>
  <c r="H267" i="9"/>
  <c r="I267" i="9" s="1"/>
  <c r="H275" i="9"/>
  <c r="I275" i="9" s="1"/>
  <c r="H283" i="9"/>
  <c r="I283" i="9" s="1"/>
  <c r="H291" i="9"/>
  <c r="I291" i="9" s="1"/>
  <c r="H299" i="9"/>
  <c r="I299" i="9" s="1"/>
  <c r="H103" i="9"/>
  <c r="I103" i="9" s="1"/>
  <c r="H111" i="9"/>
  <c r="I111" i="9" s="1"/>
  <c r="H119" i="9"/>
  <c r="G127" i="9"/>
  <c r="K127" i="9" s="1"/>
  <c r="G131" i="9"/>
  <c r="K131" i="9" s="1"/>
  <c r="G135" i="9"/>
  <c r="K135" i="9" s="1"/>
  <c r="G139" i="9"/>
  <c r="K139" i="9" s="1"/>
  <c r="G143" i="9"/>
  <c r="L143" i="9" s="1"/>
  <c r="I145" i="9"/>
  <c r="G147" i="9"/>
  <c r="G151" i="9"/>
  <c r="G155" i="9"/>
  <c r="H14" i="9"/>
  <c r="Y21" i="9"/>
  <c r="Y14" i="9"/>
  <c r="V16" i="9"/>
  <c r="X15" i="9"/>
  <c r="Y18" i="9"/>
  <c r="U19" i="9"/>
  <c r="W21" i="9"/>
  <c r="Y15" i="9"/>
  <c r="W19" i="9"/>
  <c r="V12" i="9"/>
  <c r="U15" i="9"/>
  <c r="X19" i="9"/>
  <c r="W15" i="9"/>
  <c r="J20" i="10"/>
  <c r="F12" i="10" a="1"/>
  <c r="F12" i="10" s="1"/>
  <c r="F13" i="10" a="1"/>
  <c r="F13" i="10" s="1"/>
  <c r="F14" i="10" a="1"/>
  <c r="F14" i="10" s="1"/>
  <c r="G14" i="10" s="1"/>
  <c r="G34" i="11" s="1"/>
  <c r="F15" i="10" a="1"/>
  <c r="F15" i="10" s="1"/>
  <c r="G15" i="10" s="1"/>
  <c r="G35" i="11" s="1"/>
  <c r="E12" i="10" a="1"/>
  <c r="E12" i="10" s="1"/>
  <c r="E32" i="11" s="1"/>
  <c r="E13" i="10" a="1"/>
  <c r="E13" i="10" s="1"/>
  <c r="E14" i="10" a="1"/>
  <c r="E14" i="10" s="1"/>
  <c r="I14" i="10" s="1"/>
  <c r="E15" i="10" a="1"/>
  <c r="E15" i="10" s="1"/>
  <c r="I15" i="10" s="1"/>
  <c r="I35" i="11" s="1"/>
  <c r="J5" i="9"/>
  <c r="J4" i="9"/>
  <c r="H4" i="9"/>
  <c r="I4" i="9" s="1"/>
  <c r="H2" i="9"/>
  <c r="I2" i="9" s="1"/>
  <c r="V13" i="9"/>
  <c r="M14" i="9"/>
  <c r="L16" i="9"/>
  <c r="J37" i="9"/>
  <c r="L37" i="9"/>
  <c r="J41" i="9"/>
  <c r="L41" i="9"/>
  <c r="J45" i="9"/>
  <c r="L45" i="9"/>
  <c r="J49" i="9"/>
  <c r="L49" i="9"/>
  <c r="J61" i="9"/>
  <c r="L61" i="9"/>
  <c r="J65" i="9"/>
  <c r="L65" i="9"/>
  <c r="J73" i="9"/>
  <c r="L73" i="9"/>
  <c r="J77" i="9"/>
  <c r="L77" i="9"/>
  <c r="J81" i="9"/>
  <c r="L81" i="9"/>
  <c r="J85" i="9"/>
  <c r="L85" i="9"/>
  <c r="J89" i="9"/>
  <c r="L89" i="9"/>
  <c r="J93" i="9"/>
  <c r="L93" i="9"/>
  <c r="J97" i="9"/>
  <c r="L97" i="9"/>
  <c r="J102" i="9"/>
  <c r="M102" i="9"/>
  <c r="I102" i="9"/>
  <c r="L102" i="9"/>
  <c r="J106" i="9"/>
  <c r="M106" i="9"/>
  <c r="I106" i="9"/>
  <c r="L106" i="9"/>
  <c r="J110" i="9"/>
  <c r="M110" i="9"/>
  <c r="I110" i="9"/>
  <c r="L110" i="9"/>
  <c r="J114" i="9"/>
  <c r="M114" i="9"/>
  <c r="I114" i="9"/>
  <c r="L114" i="9"/>
  <c r="J118" i="9"/>
  <c r="M118" i="9"/>
  <c r="I118" i="9"/>
  <c r="L118" i="9"/>
  <c r="J122" i="9"/>
  <c r="M122" i="9"/>
  <c r="I122" i="9"/>
  <c r="L122" i="9"/>
  <c r="J126" i="9"/>
  <c r="M126" i="9"/>
  <c r="I126" i="9"/>
  <c r="L126" i="9"/>
  <c r="L161" i="9"/>
  <c r="J161" i="9"/>
  <c r="I161" i="9"/>
  <c r="M161" i="9"/>
  <c r="K161" i="9"/>
  <c r="H174" i="9"/>
  <c r="G174" i="9"/>
  <c r="H178" i="9"/>
  <c r="G178" i="9"/>
  <c r="H182" i="9"/>
  <c r="G182" i="9"/>
  <c r="H186" i="9"/>
  <c r="G186" i="9"/>
  <c r="H190" i="9"/>
  <c r="G190" i="9"/>
  <c r="H194" i="9"/>
  <c r="G194" i="9"/>
  <c r="H198" i="9"/>
  <c r="G198" i="9"/>
  <c r="H202" i="9"/>
  <c r="G202" i="9"/>
  <c r="H206" i="9"/>
  <c r="G206" i="9"/>
  <c r="H210" i="9"/>
  <c r="G210" i="9"/>
  <c r="H214" i="9"/>
  <c r="G214" i="9"/>
  <c r="H218" i="9"/>
  <c r="G218" i="9"/>
  <c r="M267" i="9"/>
  <c r="L267" i="9"/>
  <c r="K267" i="9"/>
  <c r="J267" i="9"/>
  <c r="M269" i="9"/>
  <c r="I269" i="9"/>
  <c r="L269" i="9"/>
  <c r="K269" i="9"/>
  <c r="J269" i="9"/>
  <c r="M271" i="9"/>
  <c r="I271" i="9"/>
  <c r="L271" i="9"/>
  <c r="K271" i="9"/>
  <c r="J271" i="9"/>
  <c r="M273" i="9"/>
  <c r="I273" i="9"/>
  <c r="L273" i="9"/>
  <c r="K273" i="9"/>
  <c r="J273" i="9"/>
  <c r="M275" i="9"/>
  <c r="L275" i="9"/>
  <c r="K275" i="9"/>
  <c r="J275" i="9"/>
  <c r="M277" i="9"/>
  <c r="I277" i="9"/>
  <c r="L277" i="9"/>
  <c r="K277" i="9"/>
  <c r="J277" i="9"/>
  <c r="M279" i="9"/>
  <c r="I279" i="9"/>
  <c r="L279" i="9"/>
  <c r="K279" i="9"/>
  <c r="J279" i="9"/>
  <c r="M281" i="9"/>
  <c r="I281" i="9"/>
  <c r="L281" i="9"/>
  <c r="K281" i="9"/>
  <c r="J281" i="9"/>
  <c r="M283" i="9"/>
  <c r="L283" i="9"/>
  <c r="K283" i="9"/>
  <c r="J283" i="9"/>
  <c r="M285" i="9"/>
  <c r="I285" i="9"/>
  <c r="L285" i="9"/>
  <c r="K285" i="9"/>
  <c r="J285" i="9"/>
  <c r="M287" i="9"/>
  <c r="I287" i="9"/>
  <c r="L287" i="9"/>
  <c r="K287" i="9"/>
  <c r="J287" i="9"/>
  <c r="M289" i="9"/>
  <c r="I289" i="9"/>
  <c r="L289" i="9"/>
  <c r="K289" i="9"/>
  <c r="J289" i="9"/>
  <c r="M291" i="9"/>
  <c r="L291" i="9"/>
  <c r="K291" i="9"/>
  <c r="J291" i="9"/>
  <c r="M293" i="9"/>
  <c r="I293" i="9"/>
  <c r="L293" i="9"/>
  <c r="K293" i="9"/>
  <c r="J293" i="9"/>
  <c r="M295" i="9"/>
  <c r="I295" i="9"/>
  <c r="L295" i="9"/>
  <c r="K295" i="9"/>
  <c r="J295" i="9"/>
  <c r="M297" i="9"/>
  <c r="I297" i="9"/>
  <c r="L297" i="9"/>
  <c r="K297" i="9"/>
  <c r="J297" i="9"/>
  <c r="M299" i="9"/>
  <c r="L299" i="9"/>
  <c r="K299" i="9"/>
  <c r="J299" i="9"/>
  <c r="J3" i="9"/>
  <c r="H5" i="9"/>
  <c r="I5" i="9" s="1"/>
  <c r="G6" i="9"/>
  <c r="J9" i="9" s="1"/>
  <c r="J8" i="9"/>
  <c r="W13" i="9"/>
  <c r="I14" i="9"/>
  <c r="U14" i="9"/>
  <c r="L15" i="9"/>
  <c r="M16" i="9"/>
  <c r="W17" i="9"/>
  <c r="I18" i="9"/>
  <c r="U18" i="9"/>
  <c r="M19" i="9"/>
  <c r="I19" i="9"/>
  <c r="K19" i="9"/>
  <c r="K21" i="9"/>
  <c r="M21" i="9"/>
  <c r="I21" i="9"/>
  <c r="J22" i="9"/>
  <c r="L22" i="9"/>
  <c r="I25" i="9"/>
  <c r="J26" i="9"/>
  <c r="L26" i="9"/>
  <c r="I29" i="9"/>
  <c r="J30" i="9"/>
  <c r="L30" i="9"/>
  <c r="I33" i="9"/>
  <c r="J34" i="9"/>
  <c r="L34" i="9"/>
  <c r="I37" i="9"/>
  <c r="J38" i="9"/>
  <c r="L38" i="9"/>
  <c r="I41" i="9"/>
  <c r="J42" i="9"/>
  <c r="L42" i="9"/>
  <c r="I45" i="9"/>
  <c r="J46" i="9"/>
  <c r="L46" i="9"/>
  <c r="I49" i="9"/>
  <c r="J50" i="9"/>
  <c r="L50" i="9"/>
  <c r="I53" i="9"/>
  <c r="J54" i="9"/>
  <c r="L54" i="9"/>
  <c r="I57" i="9"/>
  <c r="J58" i="9"/>
  <c r="L58" i="9"/>
  <c r="I61" i="9"/>
  <c r="J62" i="9"/>
  <c r="L62" i="9"/>
  <c r="I65" i="9"/>
  <c r="J66" i="9"/>
  <c r="L66" i="9"/>
  <c r="I69" i="9"/>
  <c r="J70" i="9"/>
  <c r="L70" i="9"/>
  <c r="I73" i="9"/>
  <c r="J74" i="9"/>
  <c r="L74" i="9"/>
  <c r="I77" i="9"/>
  <c r="J78" i="9"/>
  <c r="L78" i="9"/>
  <c r="I81" i="9"/>
  <c r="J82" i="9"/>
  <c r="L82" i="9"/>
  <c r="I85" i="9"/>
  <c r="J86" i="9"/>
  <c r="L86" i="9"/>
  <c r="I89" i="9"/>
  <c r="J90" i="9"/>
  <c r="L90" i="9"/>
  <c r="I93" i="9"/>
  <c r="J94" i="9"/>
  <c r="L94" i="9"/>
  <c r="I97" i="9"/>
  <c r="J98" i="9"/>
  <c r="L98" i="9"/>
  <c r="I101" i="9"/>
  <c r="K102" i="9"/>
  <c r="J105" i="9"/>
  <c r="M105" i="9"/>
  <c r="I105" i="9"/>
  <c r="L105" i="9"/>
  <c r="K106" i="9"/>
  <c r="J109" i="9"/>
  <c r="M109" i="9"/>
  <c r="I109" i="9"/>
  <c r="L109" i="9"/>
  <c r="K110" i="9"/>
  <c r="J113" i="9"/>
  <c r="M113" i="9"/>
  <c r="I113" i="9"/>
  <c r="L113" i="9"/>
  <c r="K114" i="9"/>
  <c r="J117" i="9"/>
  <c r="M117" i="9"/>
  <c r="I117" i="9"/>
  <c r="L117" i="9"/>
  <c r="K118" i="9"/>
  <c r="J121" i="9"/>
  <c r="M121" i="9"/>
  <c r="I121" i="9"/>
  <c r="L121" i="9"/>
  <c r="K122" i="9"/>
  <c r="J125" i="9"/>
  <c r="M125" i="9"/>
  <c r="I125" i="9"/>
  <c r="L125" i="9"/>
  <c r="K126" i="9"/>
  <c r="J149" i="9"/>
  <c r="M149" i="9"/>
  <c r="I149" i="9"/>
  <c r="L149" i="9"/>
  <c r="K149" i="9"/>
  <c r="J153" i="9"/>
  <c r="M153" i="9"/>
  <c r="I153" i="9"/>
  <c r="L153" i="9"/>
  <c r="K153" i="9"/>
  <c r="H159" i="9"/>
  <c r="G159" i="9"/>
  <c r="J231" i="9"/>
  <c r="M231" i="9"/>
  <c r="I231" i="9"/>
  <c r="L231" i="9"/>
  <c r="K231" i="9"/>
  <c r="J234" i="9"/>
  <c r="M234" i="9"/>
  <c r="I234" i="9"/>
  <c r="L234" i="9"/>
  <c r="K234" i="9"/>
  <c r="I12" i="9"/>
  <c r="M13" i="9"/>
  <c r="K13" i="9" s="1"/>
  <c r="L13" i="9" s="1"/>
  <c r="I13" i="9"/>
  <c r="Y13" i="9"/>
  <c r="J14" i="9"/>
  <c r="V14" i="9"/>
  <c r="I16" i="9"/>
  <c r="M17" i="9"/>
  <c r="I17" i="9"/>
  <c r="L17" i="9"/>
  <c r="Y17" i="9"/>
  <c r="J18" i="9"/>
  <c r="V18" i="9"/>
  <c r="L20" i="9"/>
  <c r="J20" i="9"/>
  <c r="M20" i="9"/>
  <c r="J23" i="9"/>
  <c r="L23" i="9"/>
  <c r="J27" i="9"/>
  <c r="L27" i="9"/>
  <c r="J31" i="9"/>
  <c r="L31" i="9"/>
  <c r="J35" i="9"/>
  <c r="L35" i="9"/>
  <c r="K37" i="9"/>
  <c r="J39" i="9"/>
  <c r="L39" i="9"/>
  <c r="K41" i="9"/>
  <c r="J43" i="9"/>
  <c r="L43" i="9"/>
  <c r="K45" i="9"/>
  <c r="J47" i="9"/>
  <c r="L47" i="9"/>
  <c r="K49" i="9"/>
  <c r="J51" i="9"/>
  <c r="L51" i="9"/>
  <c r="J55" i="9"/>
  <c r="L55" i="9"/>
  <c r="J59" i="9"/>
  <c r="L59" i="9"/>
  <c r="K61" i="9"/>
  <c r="J63" i="9"/>
  <c r="L63" i="9"/>
  <c r="K65" i="9"/>
  <c r="J67" i="9"/>
  <c r="L67" i="9"/>
  <c r="J71" i="9"/>
  <c r="L71" i="9"/>
  <c r="K73" i="9"/>
  <c r="J75" i="9"/>
  <c r="L75" i="9"/>
  <c r="K77" i="9"/>
  <c r="J79" i="9"/>
  <c r="L79" i="9"/>
  <c r="K81" i="9"/>
  <c r="J83" i="9"/>
  <c r="L83" i="9"/>
  <c r="K85" i="9"/>
  <c r="J87" i="9"/>
  <c r="L87" i="9"/>
  <c r="K89" i="9"/>
  <c r="J91" i="9"/>
  <c r="L91" i="9"/>
  <c r="K93" i="9"/>
  <c r="J95" i="9"/>
  <c r="L95" i="9"/>
  <c r="K97" i="9"/>
  <c r="J99" i="9"/>
  <c r="L99" i="9"/>
  <c r="J104" i="9"/>
  <c r="M104" i="9"/>
  <c r="L104" i="9"/>
  <c r="J108" i="9"/>
  <c r="M108" i="9"/>
  <c r="I108" i="9"/>
  <c r="L108" i="9"/>
  <c r="J112" i="9"/>
  <c r="M112" i="9"/>
  <c r="I112" i="9"/>
  <c r="L112" i="9"/>
  <c r="J116" i="9"/>
  <c r="M116" i="9"/>
  <c r="I116" i="9"/>
  <c r="L116" i="9"/>
  <c r="J120" i="9"/>
  <c r="M120" i="9"/>
  <c r="L120" i="9"/>
  <c r="J124" i="9"/>
  <c r="M124" i="9"/>
  <c r="I124" i="9"/>
  <c r="L124" i="9"/>
  <c r="L169" i="9"/>
  <c r="J169" i="9"/>
  <c r="I169" i="9"/>
  <c r="M169" i="9"/>
  <c r="K169" i="9"/>
  <c r="H172" i="9"/>
  <c r="G172" i="9"/>
  <c r="H176" i="9"/>
  <c r="G176" i="9"/>
  <c r="H180" i="9"/>
  <c r="G180" i="9"/>
  <c r="H184" i="9"/>
  <c r="G184" i="9"/>
  <c r="H188" i="9"/>
  <c r="G188" i="9"/>
  <c r="H192" i="9"/>
  <c r="G192" i="9"/>
  <c r="H196" i="9"/>
  <c r="G196" i="9"/>
  <c r="H200" i="9"/>
  <c r="G200" i="9"/>
  <c r="H204" i="9"/>
  <c r="G204" i="9"/>
  <c r="H208" i="9"/>
  <c r="G208" i="9"/>
  <c r="H212" i="9"/>
  <c r="G212" i="9"/>
  <c r="H216" i="9"/>
  <c r="G216" i="9"/>
  <c r="J224" i="9"/>
  <c r="M224" i="9"/>
  <c r="I224" i="9"/>
  <c r="L224" i="9"/>
  <c r="K224" i="9"/>
  <c r="I3" i="9"/>
  <c r="G10" i="9"/>
  <c r="V17" i="9"/>
  <c r="M18" i="9"/>
  <c r="W20" i="9"/>
  <c r="Y20" i="9"/>
  <c r="U20" i="9"/>
  <c r="J25" i="9"/>
  <c r="L25" i="9"/>
  <c r="J29" i="9"/>
  <c r="L29" i="9"/>
  <c r="J33" i="9"/>
  <c r="L33" i="9"/>
  <c r="J53" i="9"/>
  <c r="L53" i="9"/>
  <c r="J57" i="9"/>
  <c r="L57" i="9"/>
  <c r="J69" i="9"/>
  <c r="L69" i="9"/>
  <c r="J101" i="9"/>
  <c r="M101" i="9"/>
  <c r="L101" i="9"/>
  <c r="H7" i="9"/>
  <c r="I7" i="9" s="1"/>
  <c r="I11" i="9"/>
  <c r="Y12" i="9"/>
  <c r="U12" i="9"/>
  <c r="W12" i="9"/>
  <c r="U13" i="9"/>
  <c r="K14" i="9"/>
  <c r="X14" i="9"/>
  <c r="I15" i="9"/>
  <c r="K16" i="9"/>
  <c r="Y16" i="9"/>
  <c r="U16" i="9"/>
  <c r="W16" i="9"/>
  <c r="U17" i="9"/>
  <c r="K18" i="9"/>
  <c r="X18" i="9"/>
  <c r="J19" i="9"/>
  <c r="V20" i="9"/>
  <c r="J21" i="9"/>
  <c r="K22" i="9"/>
  <c r="I23" i="9"/>
  <c r="J24" i="9"/>
  <c r="L24" i="9"/>
  <c r="M25" i="9"/>
  <c r="K26" i="9"/>
  <c r="I27" i="9"/>
  <c r="J28" i="9"/>
  <c r="L28" i="9"/>
  <c r="M29" i="9"/>
  <c r="K30" i="9"/>
  <c r="I31" i="9"/>
  <c r="J32" i="9"/>
  <c r="L32" i="9"/>
  <c r="M33" i="9"/>
  <c r="K34" i="9"/>
  <c r="I35" i="9"/>
  <c r="J36" i="9"/>
  <c r="L36" i="9"/>
  <c r="M37" i="9"/>
  <c r="K38" i="9"/>
  <c r="I39" i="9"/>
  <c r="J40" i="9"/>
  <c r="L40" i="9"/>
  <c r="M41" i="9"/>
  <c r="K42" i="9"/>
  <c r="I43" i="9"/>
  <c r="J44" i="9"/>
  <c r="L44" i="9"/>
  <c r="M45" i="9"/>
  <c r="K46" i="9"/>
  <c r="I47" i="9"/>
  <c r="J48" i="9"/>
  <c r="L48" i="9"/>
  <c r="M49" i="9"/>
  <c r="K50" i="9"/>
  <c r="I51" i="9"/>
  <c r="J52" i="9"/>
  <c r="L52" i="9"/>
  <c r="M53" i="9"/>
  <c r="K54" i="9"/>
  <c r="I55" i="9"/>
  <c r="J56" i="9"/>
  <c r="L56" i="9"/>
  <c r="M57" i="9"/>
  <c r="K58" i="9"/>
  <c r="I59" i="9"/>
  <c r="J60" i="9"/>
  <c r="L60" i="9"/>
  <c r="M61" i="9"/>
  <c r="K62" i="9"/>
  <c r="I63" i="9"/>
  <c r="J64" i="9"/>
  <c r="L64" i="9"/>
  <c r="M65" i="9"/>
  <c r="K66" i="9"/>
  <c r="I67" i="9"/>
  <c r="M69" i="9"/>
  <c r="K70" i="9"/>
  <c r="I71" i="9"/>
  <c r="J72" i="9"/>
  <c r="L72" i="9"/>
  <c r="M73" i="9"/>
  <c r="K74" i="9"/>
  <c r="I75" i="9"/>
  <c r="L76" i="9"/>
  <c r="M77" i="9"/>
  <c r="K78" i="9"/>
  <c r="I79" i="9"/>
  <c r="J80" i="9"/>
  <c r="L80" i="9"/>
  <c r="M81" i="9"/>
  <c r="K82" i="9"/>
  <c r="I83" i="9"/>
  <c r="J84" i="9"/>
  <c r="L84" i="9"/>
  <c r="M85" i="9"/>
  <c r="K86" i="9"/>
  <c r="I87" i="9"/>
  <c r="M89" i="9"/>
  <c r="K90" i="9"/>
  <c r="I91" i="9"/>
  <c r="L92" i="9"/>
  <c r="M93" i="9"/>
  <c r="K94" i="9"/>
  <c r="I95" i="9"/>
  <c r="J96" i="9"/>
  <c r="L96" i="9"/>
  <c r="M97" i="9"/>
  <c r="K98" i="9"/>
  <c r="I99" i="9"/>
  <c r="J100" i="9"/>
  <c r="L100" i="9"/>
  <c r="J103" i="9"/>
  <c r="M103" i="9"/>
  <c r="L103" i="9"/>
  <c r="K104" i="9"/>
  <c r="J107" i="9"/>
  <c r="M107" i="9"/>
  <c r="I107" i="9"/>
  <c r="L107" i="9"/>
  <c r="K108" i="9"/>
  <c r="J111" i="9"/>
  <c r="M111" i="9"/>
  <c r="L111" i="9"/>
  <c r="K112" i="9"/>
  <c r="J115" i="9"/>
  <c r="M115" i="9"/>
  <c r="I115" i="9"/>
  <c r="L115" i="9"/>
  <c r="K116" i="9"/>
  <c r="J119" i="9"/>
  <c r="M119" i="9"/>
  <c r="I119" i="9"/>
  <c r="L119" i="9"/>
  <c r="K120" i="9"/>
  <c r="J123" i="9"/>
  <c r="M123" i="9"/>
  <c r="I123" i="9"/>
  <c r="L123" i="9"/>
  <c r="K124" i="9"/>
  <c r="J127" i="9"/>
  <c r="M127" i="9"/>
  <c r="I127" i="9"/>
  <c r="L127" i="9"/>
  <c r="J128" i="9"/>
  <c r="M128" i="9"/>
  <c r="I128" i="9"/>
  <c r="L128" i="9"/>
  <c r="J129" i="9"/>
  <c r="M129" i="9"/>
  <c r="I129" i="9"/>
  <c r="L129" i="9"/>
  <c r="J130" i="9"/>
  <c r="M130" i="9"/>
  <c r="I130" i="9"/>
  <c r="L130" i="9"/>
  <c r="L131" i="9"/>
  <c r="J132" i="9"/>
  <c r="M132" i="9"/>
  <c r="I132" i="9"/>
  <c r="L132" i="9"/>
  <c r="J133" i="9"/>
  <c r="M133" i="9"/>
  <c r="I133" i="9"/>
  <c r="L133" i="9"/>
  <c r="J134" i="9"/>
  <c r="M134" i="9"/>
  <c r="I134" i="9"/>
  <c r="L134" i="9"/>
  <c r="J135" i="9"/>
  <c r="M135" i="9"/>
  <c r="I135" i="9"/>
  <c r="L135" i="9"/>
  <c r="L136" i="9"/>
  <c r="J137" i="9"/>
  <c r="M137" i="9"/>
  <c r="I137" i="9"/>
  <c r="L137" i="9"/>
  <c r="J138" i="9"/>
  <c r="M138" i="9"/>
  <c r="I138" i="9"/>
  <c r="L138" i="9"/>
  <c r="J139" i="9"/>
  <c r="M139" i="9"/>
  <c r="I139" i="9"/>
  <c r="L139" i="9"/>
  <c r="J140" i="9"/>
  <c r="M140" i="9"/>
  <c r="I140" i="9"/>
  <c r="L140" i="9"/>
  <c r="J141" i="9"/>
  <c r="M141" i="9"/>
  <c r="I141" i="9"/>
  <c r="L141" i="9"/>
  <c r="J142" i="9"/>
  <c r="M142" i="9"/>
  <c r="I142" i="9"/>
  <c r="L142" i="9"/>
  <c r="J143" i="9"/>
  <c r="K143" i="9"/>
  <c r="I143" i="9"/>
  <c r="M143" i="9"/>
  <c r="H167" i="9"/>
  <c r="G167" i="9"/>
  <c r="X21" i="9"/>
  <c r="K145" i="9"/>
  <c r="J146" i="9"/>
  <c r="M146" i="9"/>
  <c r="I146" i="9"/>
  <c r="J150" i="9"/>
  <c r="M150" i="9"/>
  <c r="I150" i="9"/>
  <c r="J154" i="9"/>
  <c r="M154" i="9"/>
  <c r="I154" i="9"/>
  <c r="I220" i="9"/>
  <c r="J227" i="9"/>
  <c r="M227" i="9"/>
  <c r="I227" i="9"/>
  <c r="L227" i="9"/>
  <c r="K227" i="9"/>
  <c r="J233" i="9"/>
  <c r="M233" i="9"/>
  <c r="I233" i="9"/>
  <c r="L233" i="9"/>
  <c r="K233" i="9"/>
  <c r="J237" i="9"/>
  <c r="M237" i="9"/>
  <c r="I237" i="9"/>
  <c r="L237" i="9"/>
  <c r="K237" i="9"/>
  <c r="J241" i="9"/>
  <c r="M241" i="9"/>
  <c r="I241" i="9"/>
  <c r="L241" i="9"/>
  <c r="K241" i="9"/>
  <c r="J245" i="9"/>
  <c r="M245" i="9"/>
  <c r="I245" i="9"/>
  <c r="L245" i="9"/>
  <c r="K245" i="9"/>
  <c r="J249" i="9"/>
  <c r="M249" i="9"/>
  <c r="I249" i="9"/>
  <c r="L249" i="9"/>
  <c r="K249" i="9"/>
  <c r="J253" i="9"/>
  <c r="M253" i="9"/>
  <c r="I253" i="9"/>
  <c r="L253" i="9"/>
  <c r="K253" i="9"/>
  <c r="J257" i="9"/>
  <c r="M257" i="9"/>
  <c r="I257" i="9"/>
  <c r="L257" i="9"/>
  <c r="K257" i="9"/>
  <c r="L145" i="9"/>
  <c r="J147" i="9"/>
  <c r="M147" i="9"/>
  <c r="I147" i="9"/>
  <c r="J151" i="9"/>
  <c r="M151" i="9"/>
  <c r="I151" i="9"/>
  <c r="L155" i="9"/>
  <c r="J155" i="9"/>
  <c r="I155" i="9"/>
  <c r="L157" i="9"/>
  <c r="J157" i="9"/>
  <c r="I157" i="9"/>
  <c r="L165" i="9"/>
  <c r="J165" i="9"/>
  <c r="I165" i="9"/>
  <c r="J223" i="9"/>
  <c r="M223" i="9"/>
  <c r="I223" i="9"/>
  <c r="L223" i="9"/>
  <c r="K223" i="9"/>
  <c r="J232" i="9"/>
  <c r="M232" i="9"/>
  <c r="I232" i="9"/>
  <c r="L232" i="9"/>
  <c r="K232" i="9"/>
  <c r="L236" i="9"/>
  <c r="L144" i="9"/>
  <c r="M145" i="9"/>
  <c r="K146" i="9"/>
  <c r="J148" i="9"/>
  <c r="M148" i="9"/>
  <c r="I148" i="9"/>
  <c r="K150" i="9"/>
  <c r="J152" i="9"/>
  <c r="M152" i="9"/>
  <c r="I152" i="9"/>
  <c r="K154" i="9"/>
  <c r="K157" i="9"/>
  <c r="G163" i="9"/>
  <c r="K165" i="9"/>
  <c r="G171" i="9"/>
  <c r="G173" i="9"/>
  <c r="G175" i="9"/>
  <c r="G177" i="9"/>
  <c r="G179" i="9"/>
  <c r="G181" i="9"/>
  <c r="G183" i="9"/>
  <c r="G185" i="9"/>
  <c r="G187" i="9"/>
  <c r="G189" i="9"/>
  <c r="G191" i="9"/>
  <c r="G193" i="9"/>
  <c r="G195" i="9"/>
  <c r="G197" i="9"/>
  <c r="G199" i="9"/>
  <c r="G201" i="9"/>
  <c r="G203" i="9"/>
  <c r="G205" i="9"/>
  <c r="G207" i="9"/>
  <c r="G209" i="9"/>
  <c r="G211" i="9"/>
  <c r="G213" i="9"/>
  <c r="G215" i="9"/>
  <c r="G217" i="9"/>
  <c r="J219" i="9"/>
  <c r="M219" i="9"/>
  <c r="I219" i="9"/>
  <c r="L219" i="9"/>
  <c r="K219" i="9"/>
  <c r="J228" i="9"/>
  <c r="M228" i="9"/>
  <c r="L228" i="9"/>
  <c r="J235" i="9"/>
  <c r="M235" i="9"/>
  <c r="I235" i="9"/>
  <c r="L235" i="9"/>
  <c r="K235" i="9"/>
  <c r="J222" i="9"/>
  <c r="M222" i="9"/>
  <c r="I222" i="9"/>
  <c r="L222" i="9"/>
  <c r="J226" i="9"/>
  <c r="M226" i="9"/>
  <c r="I226" i="9"/>
  <c r="L226" i="9"/>
  <c r="J230" i="9"/>
  <c r="M230" i="9"/>
  <c r="I230" i="9"/>
  <c r="L230" i="9"/>
  <c r="L262" i="9"/>
  <c r="J262" i="9"/>
  <c r="I262" i="9"/>
  <c r="M262" i="9"/>
  <c r="K262" i="9"/>
  <c r="G156" i="9"/>
  <c r="G158" i="9"/>
  <c r="G160" i="9"/>
  <c r="G162" i="9"/>
  <c r="G164" i="9"/>
  <c r="G166" i="9"/>
  <c r="G168" i="9"/>
  <c r="G170" i="9"/>
  <c r="J221" i="9"/>
  <c r="M221" i="9"/>
  <c r="I221" i="9"/>
  <c r="L221" i="9"/>
  <c r="J225" i="9"/>
  <c r="M225" i="9"/>
  <c r="I225" i="9"/>
  <c r="L225" i="9"/>
  <c r="J229" i="9"/>
  <c r="M229" i="9"/>
  <c r="I229" i="9"/>
  <c r="L229" i="9"/>
  <c r="H260" i="9"/>
  <c r="G260" i="9"/>
  <c r="J238" i="9"/>
  <c r="M238" i="9"/>
  <c r="I238" i="9"/>
  <c r="J242" i="9"/>
  <c r="M242" i="9"/>
  <c r="I242" i="9"/>
  <c r="J246" i="9"/>
  <c r="M246" i="9"/>
  <c r="I246" i="9"/>
  <c r="J250" i="9"/>
  <c r="M250" i="9"/>
  <c r="I250" i="9"/>
  <c r="J254" i="9"/>
  <c r="M254" i="9"/>
  <c r="I254" i="9"/>
  <c r="L258" i="9"/>
  <c r="J258" i="9"/>
  <c r="I258" i="9"/>
  <c r="J239" i="9"/>
  <c r="M239" i="9"/>
  <c r="I239" i="9"/>
  <c r="J243" i="9"/>
  <c r="M243" i="9"/>
  <c r="I243" i="9"/>
  <c r="J251" i="9"/>
  <c r="M251" i="9"/>
  <c r="I251" i="9"/>
  <c r="J255" i="9"/>
  <c r="M255" i="9"/>
  <c r="I255" i="9"/>
  <c r="M266" i="9"/>
  <c r="I266" i="9"/>
  <c r="L266" i="9"/>
  <c r="K266" i="9"/>
  <c r="J266" i="9"/>
  <c r="M268" i="9"/>
  <c r="I268" i="9"/>
  <c r="L268" i="9"/>
  <c r="K268" i="9"/>
  <c r="J268" i="9"/>
  <c r="M270" i="9"/>
  <c r="I270" i="9"/>
  <c r="L270" i="9"/>
  <c r="K270" i="9"/>
  <c r="J270" i="9"/>
  <c r="M272" i="9"/>
  <c r="I272" i="9"/>
  <c r="L272" i="9"/>
  <c r="K272" i="9"/>
  <c r="J272" i="9"/>
  <c r="M274" i="9"/>
  <c r="I274" i="9"/>
  <c r="L274" i="9"/>
  <c r="K274" i="9"/>
  <c r="J274" i="9"/>
  <c r="M276" i="9"/>
  <c r="I276" i="9"/>
  <c r="L276" i="9"/>
  <c r="K276" i="9"/>
  <c r="J276" i="9"/>
  <c r="M278" i="9"/>
  <c r="I278" i="9"/>
  <c r="L278" i="9"/>
  <c r="K278" i="9"/>
  <c r="J278" i="9"/>
  <c r="K280" i="9"/>
  <c r="M282" i="9"/>
  <c r="I282" i="9"/>
  <c r="L282" i="9"/>
  <c r="K282" i="9"/>
  <c r="J282" i="9"/>
  <c r="M284" i="9"/>
  <c r="I284" i="9"/>
  <c r="L284" i="9"/>
  <c r="K284" i="9"/>
  <c r="J284" i="9"/>
  <c r="M286" i="9"/>
  <c r="I286" i="9"/>
  <c r="L286" i="9"/>
  <c r="K286" i="9"/>
  <c r="J286" i="9"/>
  <c r="M288" i="9"/>
  <c r="I288" i="9"/>
  <c r="L288" i="9"/>
  <c r="K288" i="9"/>
  <c r="J288" i="9"/>
  <c r="M290" i="9"/>
  <c r="I290" i="9"/>
  <c r="L290" i="9"/>
  <c r="K290" i="9"/>
  <c r="J290" i="9"/>
  <c r="M292" i="9"/>
  <c r="I292" i="9"/>
  <c r="L292" i="9"/>
  <c r="K292" i="9"/>
  <c r="J292" i="9"/>
  <c r="M294" i="9"/>
  <c r="I294" i="9"/>
  <c r="L294" i="9"/>
  <c r="K294" i="9"/>
  <c r="J294" i="9"/>
  <c r="M296" i="9"/>
  <c r="I296" i="9"/>
  <c r="L296" i="9"/>
  <c r="K296" i="9"/>
  <c r="J296" i="9"/>
  <c r="M298" i="9"/>
  <c r="I298" i="9"/>
  <c r="L298" i="9"/>
  <c r="K298" i="9"/>
  <c r="J298" i="9"/>
  <c r="J300" i="9"/>
  <c r="M300" i="9"/>
  <c r="I300" i="9"/>
  <c r="L300" i="9"/>
  <c r="K300" i="9"/>
  <c r="K238" i="9"/>
  <c r="J240" i="9"/>
  <c r="M240" i="9"/>
  <c r="I240" i="9"/>
  <c r="K242" i="9"/>
  <c r="J244" i="9"/>
  <c r="M244" i="9"/>
  <c r="I244" i="9"/>
  <c r="K246" i="9"/>
  <c r="J248" i="9"/>
  <c r="M248" i="9"/>
  <c r="I248" i="9"/>
  <c r="K250" i="9"/>
  <c r="J252" i="9"/>
  <c r="M252" i="9"/>
  <c r="I252" i="9"/>
  <c r="K254" i="9"/>
  <c r="J256" i="9"/>
  <c r="M256" i="9"/>
  <c r="I256" i="9"/>
  <c r="K258" i="9"/>
  <c r="G264" i="9"/>
  <c r="G259" i="9"/>
  <c r="G261" i="9"/>
  <c r="G263" i="9"/>
  <c r="G265" i="9"/>
  <c r="F9" i="7" a="1"/>
  <c r="F9" i="7" s="1"/>
  <c r="E9" i="7" a="1"/>
  <c r="E9" i="7" s="1"/>
  <c r="E9" i="11" s="1"/>
  <c r="E12" i="7" a="1"/>
  <c r="E12" i="7" s="1"/>
  <c r="E12" i="11" s="1"/>
  <c r="F12" i="7" a="1"/>
  <c r="F12" i="7" s="1"/>
  <c r="F12" i="11" s="1"/>
  <c r="F19" i="7" a="1"/>
  <c r="F19" i="7" s="1"/>
  <c r="F21" i="7" a="1"/>
  <c r="F21" i="7" s="1"/>
  <c r="E21" i="7" a="1"/>
  <c r="E21" i="7" s="1"/>
  <c r="F17" i="7" a="1"/>
  <c r="F17" i="7" s="1"/>
  <c r="E17" i="7" a="1"/>
  <c r="E17" i="7" s="1"/>
  <c r="F13" i="7" a="1"/>
  <c r="F13" i="7" s="1"/>
  <c r="F13" i="11" s="1"/>
  <c r="E13" i="7" a="1"/>
  <c r="E13" i="7" s="1"/>
  <c r="E13" i="11" s="1"/>
  <c r="F5" i="7" a="1"/>
  <c r="F5" i="7" s="1"/>
  <c r="F5" i="11" s="1"/>
  <c r="E16" i="7" a="1"/>
  <c r="E16" i="7" s="1"/>
  <c r="F16" i="7" a="1"/>
  <c r="F16" i="7" s="1"/>
  <c r="E8" i="7" a="1"/>
  <c r="E8" i="7" s="1"/>
  <c r="E8" i="11" s="1"/>
  <c r="F8" i="7" a="1"/>
  <c r="F8" i="7" s="1"/>
  <c r="F8" i="11" s="1"/>
  <c r="F18" i="7" a="1"/>
  <c r="F18" i="7" s="1"/>
  <c r="E18" i="7" a="1"/>
  <c r="E18" i="7" s="1"/>
  <c r="F14" i="7" a="1"/>
  <c r="F14" i="7" s="1"/>
  <c r="F10" i="7" a="1"/>
  <c r="F10" i="7" s="1"/>
  <c r="F10" i="11" s="1"/>
  <c r="F6" i="7" a="1"/>
  <c r="F6" i="7" s="1"/>
  <c r="F6" i="11" s="1"/>
  <c r="U8" i="6"/>
  <c r="Y12" i="6"/>
  <c r="U19" i="6"/>
  <c r="X11" i="6"/>
  <c r="Y8" i="6"/>
  <c r="U10" i="6"/>
  <c r="Y11" i="6"/>
  <c r="X12" i="6"/>
  <c r="U16" i="6"/>
  <c r="U17" i="6"/>
  <c r="Y19" i="6"/>
  <c r="U21" i="6"/>
  <c r="X16" i="6"/>
  <c r="W17" i="6"/>
  <c r="X21" i="6"/>
  <c r="W8" i="6"/>
  <c r="U11" i="6"/>
  <c r="U12" i="6"/>
  <c r="U15" i="6"/>
  <c r="Y16" i="6"/>
  <c r="X17" i="6"/>
  <c r="Y21" i="6"/>
  <c r="Y10" i="6"/>
  <c r="X8" i="6"/>
  <c r="W12" i="6"/>
  <c r="Y17" i="6"/>
  <c r="W19" i="6"/>
  <c r="E5" i="7" a="1"/>
  <c r="E5" i="7" s="1"/>
  <c r="E5" i="11" s="1"/>
  <c r="F7" i="7" a="1"/>
  <c r="F7" i="7" s="1"/>
  <c r="F7" i="11" s="1"/>
  <c r="F11" i="7" a="1"/>
  <c r="F11" i="7" s="1"/>
  <c r="F11" i="11" s="1"/>
  <c r="F15" i="7" a="1"/>
  <c r="F15" i="7" s="1"/>
  <c r="F20" i="7" a="1"/>
  <c r="F20" i="7" s="1"/>
  <c r="E6" i="7" a="1"/>
  <c r="E6" i="7" s="1"/>
  <c r="E6" i="11" s="1"/>
  <c r="E10" i="7" a="1"/>
  <c r="E10" i="7" s="1"/>
  <c r="E10" i="11" s="1"/>
  <c r="E14" i="7" a="1"/>
  <c r="E14" i="7" s="1"/>
  <c r="E19" i="7" a="1"/>
  <c r="E19" i="7" s="1"/>
  <c r="E7" i="7" a="1"/>
  <c r="E7" i="7" s="1"/>
  <c r="E7" i="11" s="1"/>
  <c r="E11" i="7" a="1"/>
  <c r="E11" i="7" s="1"/>
  <c r="E11" i="11" s="1"/>
  <c r="E15" i="7" a="1"/>
  <c r="E15" i="7" s="1"/>
  <c r="E20" i="7" a="1"/>
  <c r="E20" i="7" s="1"/>
  <c r="M4" i="6"/>
  <c r="H2" i="6"/>
  <c r="I2" i="6" s="1"/>
  <c r="M2" i="6"/>
  <c r="K2" i="6" s="1"/>
  <c r="L2" i="6" s="1"/>
  <c r="G6" i="6"/>
  <c r="W9" i="6"/>
  <c r="G10" i="6"/>
  <c r="V10" i="6"/>
  <c r="W13" i="6"/>
  <c r="X14" i="6"/>
  <c r="V15" i="6"/>
  <c r="Y20" i="6"/>
  <c r="U20" i="6"/>
  <c r="X20" i="6"/>
  <c r="W20" i="6"/>
  <c r="G3" i="6"/>
  <c r="H3" i="6" s="1"/>
  <c r="M5" i="6"/>
  <c r="G7" i="6"/>
  <c r="X9" i="6"/>
  <c r="W10" i="6"/>
  <c r="V11" i="6"/>
  <c r="X13" i="6"/>
  <c r="W15" i="6"/>
  <c r="W18" i="6"/>
  <c r="Y18" i="6"/>
  <c r="U18" i="6"/>
  <c r="X18" i="6"/>
  <c r="U9" i="6"/>
  <c r="Y9" i="6"/>
  <c r="U13" i="6"/>
  <c r="Y13" i="6"/>
  <c r="Y15" i="6"/>
  <c r="V16" i="6"/>
  <c r="Y14" i="6"/>
  <c r="U14" i="6"/>
  <c r="W14" i="6"/>
  <c r="X19" i="6"/>
  <c r="V21" i="6"/>
  <c r="M12" i="6" l="1"/>
  <c r="K12" i="6" s="1"/>
  <c r="L12" i="6" s="1"/>
  <c r="G13" i="10"/>
  <c r="G33" i="11" s="1"/>
  <c r="F33" i="11"/>
  <c r="I13" i="10"/>
  <c r="I33" i="11" s="1"/>
  <c r="E33" i="11"/>
  <c r="G12" i="10"/>
  <c r="G32" i="11" s="1"/>
  <c r="F32" i="11"/>
  <c r="G12" i="7"/>
  <c r="G12" i="11" s="1"/>
  <c r="G9" i="7"/>
  <c r="G9" i="11" s="1"/>
  <c r="F9" i="11"/>
  <c r="G5" i="7"/>
  <c r="G5" i="11" s="1"/>
  <c r="G20" i="7"/>
  <c r="G20" i="11" s="1"/>
  <c r="I10" i="7"/>
  <c r="I10" i="11" s="1"/>
  <c r="I11" i="6"/>
  <c r="I20" i="7"/>
  <c r="G17" i="7"/>
  <c r="G17" i="11" s="1"/>
  <c r="I19" i="7"/>
  <c r="I19" i="11" s="1"/>
  <c r="G19" i="7"/>
  <c r="G19" i="11" s="1"/>
  <c r="I14" i="7"/>
  <c r="I14" i="11" s="1"/>
  <c r="G14" i="7"/>
  <c r="G14" i="11" s="1"/>
  <c r="I11" i="7"/>
  <c r="O2" i="6"/>
  <c r="R6" i="6"/>
  <c r="P6" i="6"/>
  <c r="Q3" i="6"/>
  <c r="Q4" i="6"/>
  <c r="Q5" i="6"/>
  <c r="S6" i="6"/>
  <c r="Q6" i="6"/>
  <c r="P3" i="6"/>
  <c r="J17" i="10"/>
  <c r="J37" i="11" s="1"/>
  <c r="I37" i="11"/>
  <c r="J14" i="10"/>
  <c r="J34" i="11" s="1"/>
  <c r="I34" i="11"/>
  <c r="J18" i="10"/>
  <c r="J16" i="10"/>
  <c r="J36" i="11" s="1"/>
  <c r="J19" i="10"/>
  <c r="I15" i="7"/>
  <c r="I18" i="7"/>
  <c r="I18" i="11" s="1"/>
  <c r="M5" i="9"/>
  <c r="K5" i="9" s="1"/>
  <c r="L5" i="9" s="1"/>
  <c r="M2" i="9"/>
  <c r="K2" i="9" s="1"/>
  <c r="L2" i="9" s="1"/>
  <c r="M3" i="9"/>
  <c r="K3" i="9" s="1"/>
  <c r="L3" i="9" s="1"/>
  <c r="H6" i="9"/>
  <c r="M4" i="9"/>
  <c r="K4" i="9" s="1"/>
  <c r="L4" i="9" s="1"/>
  <c r="I12" i="10"/>
  <c r="J15" i="10"/>
  <c r="J35" i="11" s="1"/>
  <c r="L247" i="9"/>
  <c r="K247" i="9"/>
  <c r="K88" i="9"/>
  <c r="M88" i="9"/>
  <c r="M76" i="9"/>
  <c r="K76" i="9"/>
  <c r="L280" i="9"/>
  <c r="I247" i="9"/>
  <c r="I236" i="9"/>
  <c r="M220" i="9"/>
  <c r="I136" i="9"/>
  <c r="I131" i="9"/>
  <c r="L88" i="9"/>
  <c r="J76" i="9"/>
  <c r="M155" i="9"/>
  <c r="K155" i="9"/>
  <c r="L243" i="9"/>
  <c r="K243" i="9"/>
  <c r="K68" i="9"/>
  <c r="M68" i="9"/>
  <c r="K92" i="9"/>
  <c r="M92" i="9"/>
  <c r="I280" i="9"/>
  <c r="M247" i="9"/>
  <c r="M236" i="9"/>
  <c r="K220" i="9"/>
  <c r="J220" i="9"/>
  <c r="M136" i="9"/>
  <c r="M131" i="9"/>
  <c r="J88" i="9"/>
  <c r="L68" i="9"/>
  <c r="L151" i="9"/>
  <c r="K151" i="9"/>
  <c r="L255" i="9"/>
  <c r="K255" i="9"/>
  <c r="L239" i="9"/>
  <c r="K239" i="9"/>
  <c r="K80" i="9"/>
  <c r="M80" i="9"/>
  <c r="K96" i="9"/>
  <c r="M96" i="9"/>
  <c r="K64" i="9"/>
  <c r="M64" i="9"/>
  <c r="M72" i="9"/>
  <c r="K72" i="9"/>
  <c r="K84" i="9"/>
  <c r="M84" i="9"/>
  <c r="K100" i="9"/>
  <c r="M100" i="9"/>
  <c r="J280" i="9"/>
  <c r="J247" i="9"/>
  <c r="K236" i="9"/>
  <c r="J136" i="9"/>
  <c r="J131" i="9"/>
  <c r="J68" i="9"/>
  <c r="L147" i="9"/>
  <c r="K147" i="9"/>
  <c r="L251" i="9"/>
  <c r="K251" i="9"/>
  <c r="I88" i="9"/>
  <c r="I68" i="9"/>
  <c r="I76" i="9"/>
  <c r="I92" i="9"/>
  <c r="L260" i="9"/>
  <c r="J260" i="9"/>
  <c r="I260" i="9"/>
  <c r="M260" i="9"/>
  <c r="K260" i="9"/>
  <c r="L158" i="9"/>
  <c r="M158" i="9"/>
  <c r="K158" i="9"/>
  <c r="J158" i="9"/>
  <c r="I158" i="9"/>
  <c r="M195" i="9"/>
  <c r="I195" i="9"/>
  <c r="L195" i="9"/>
  <c r="K195" i="9"/>
  <c r="J195" i="9"/>
  <c r="M187" i="9"/>
  <c r="I187" i="9"/>
  <c r="L187" i="9"/>
  <c r="K187" i="9"/>
  <c r="J187" i="9"/>
  <c r="L156" i="9"/>
  <c r="M156" i="9"/>
  <c r="K156" i="9"/>
  <c r="I156" i="9"/>
  <c r="J156" i="9"/>
  <c r="M217" i="9"/>
  <c r="I217" i="9"/>
  <c r="L217" i="9"/>
  <c r="K217" i="9"/>
  <c r="J217" i="9"/>
  <c r="M201" i="9"/>
  <c r="I201" i="9"/>
  <c r="L201" i="9"/>
  <c r="K201" i="9"/>
  <c r="J201" i="9"/>
  <c r="M185" i="9"/>
  <c r="I185" i="9"/>
  <c r="L185" i="9"/>
  <c r="K185" i="9"/>
  <c r="J185" i="9"/>
  <c r="M206" i="9"/>
  <c r="I206" i="9"/>
  <c r="L206" i="9"/>
  <c r="K206" i="9"/>
  <c r="J206" i="9"/>
  <c r="M190" i="9"/>
  <c r="I190" i="9"/>
  <c r="L190" i="9"/>
  <c r="K190" i="9"/>
  <c r="J190" i="9"/>
  <c r="L259" i="9"/>
  <c r="M259" i="9"/>
  <c r="K259" i="9"/>
  <c r="J259" i="9"/>
  <c r="I259" i="9"/>
  <c r="L170" i="9"/>
  <c r="M170" i="9"/>
  <c r="K170" i="9"/>
  <c r="J170" i="9"/>
  <c r="I170" i="9"/>
  <c r="L162" i="9"/>
  <c r="M162" i="9"/>
  <c r="K162" i="9"/>
  <c r="J162" i="9"/>
  <c r="I162" i="9"/>
  <c r="M215" i="9"/>
  <c r="I215" i="9"/>
  <c r="L215" i="9"/>
  <c r="K215" i="9"/>
  <c r="J215" i="9"/>
  <c r="M207" i="9"/>
  <c r="I207" i="9"/>
  <c r="L207" i="9"/>
  <c r="K207" i="9"/>
  <c r="J207" i="9"/>
  <c r="M199" i="9"/>
  <c r="I199" i="9"/>
  <c r="L199" i="9"/>
  <c r="K199" i="9"/>
  <c r="J199" i="9"/>
  <c r="M191" i="9"/>
  <c r="I191" i="9"/>
  <c r="L191" i="9"/>
  <c r="K191" i="9"/>
  <c r="J191" i="9"/>
  <c r="M183" i="9"/>
  <c r="I183" i="9"/>
  <c r="L183" i="9"/>
  <c r="K183" i="9"/>
  <c r="J183" i="9"/>
  <c r="M175" i="9"/>
  <c r="I175" i="9"/>
  <c r="L175" i="9"/>
  <c r="K175" i="9"/>
  <c r="J175" i="9"/>
  <c r="L163" i="9"/>
  <c r="J163" i="9"/>
  <c r="I163" i="9"/>
  <c r="M163" i="9"/>
  <c r="K163" i="9"/>
  <c r="L167" i="9"/>
  <c r="J167" i="9"/>
  <c r="I167" i="9"/>
  <c r="M167" i="9"/>
  <c r="K167" i="9"/>
  <c r="J10" i="9"/>
  <c r="M212" i="9"/>
  <c r="I212" i="9"/>
  <c r="L212" i="9"/>
  <c r="K212" i="9"/>
  <c r="J212" i="9"/>
  <c r="M204" i="9"/>
  <c r="I204" i="9"/>
  <c r="L204" i="9"/>
  <c r="K204" i="9"/>
  <c r="J204" i="9"/>
  <c r="M196" i="9"/>
  <c r="I196" i="9"/>
  <c r="L196" i="9"/>
  <c r="K196" i="9"/>
  <c r="J196" i="9"/>
  <c r="M188" i="9"/>
  <c r="I188" i="9"/>
  <c r="L188" i="9"/>
  <c r="K188" i="9"/>
  <c r="J188" i="9"/>
  <c r="M180" i="9"/>
  <c r="I180" i="9"/>
  <c r="L180" i="9"/>
  <c r="K180" i="9"/>
  <c r="J180" i="9"/>
  <c r="M172" i="9"/>
  <c r="I172" i="9"/>
  <c r="L172" i="9"/>
  <c r="K172" i="9"/>
  <c r="J172" i="9"/>
  <c r="I6" i="9"/>
  <c r="M7" i="9" s="1"/>
  <c r="J6" i="9"/>
  <c r="M6" i="9"/>
  <c r="H10" i="9"/>
  <c r="I10" i="9" s="1"/>
  <c r="H8" i="9"/>
  <c r="L263" i="9"/>
  <c r="M263" i="9"/>
  <c r="K263" i="9"/>
  <c r="J263" i="9"/>
  <c r="I263" i="9"/>
  <c r="L166" i="9"/>
  <c r="M166" i="9"/>
  <c r="K166" i="9"/>
  <c r="J166" i="9"/>
  <c r="I166" i="9"/>
  <c r="M211" i="9"/>
  <c r="I211" i="9"/>
  <c r="L211" i="9"/>
  <c r="K211" i="9"/>
  <c r="J211" i="9"/>
  <c r="M179" i="9"/>
  <c r="I179" i="9"/>
  <c r="L179" i="9"/>
  <c r="K179" i="9"/>
  <c r="J179" i="9"/>
  <c r="L261" i="9"/>
  <c r="M261" i="9"/>
  <c r="K261" i="9"/>
  <c r="J261" i="9"/>
  <c r="I261" i="9"/>
  <c r="L164" i="9"/>
  <c r="M164" i="9"/>
  <c r="K164" i="9"/>
  <c r="I164" i="9"/>
  <c r="J164" i="9"/>
  <c r="M209" i="9"/>
  <c r="I209" i="9"/>
  <c r="L209" i="9"/>
  <c r="K209" i="9"/>
  <c r="J209" i="9"/>
  <c r="M193" i="9"/>
  <c r="I193" i="9"/>
  <c r="L193" i="9"/>
  <c r="K193" i="9"/>
  <c r="J193" i="9"/>
  <c r="M177" i="9"/>
  <c r="I177" i="9"/>
  <c r="L177" i="9"/>
  <c r="K177" i="9"/>
  <c r="J177" i="9"/>
  <c r="M214" i="9"/>
  <c r="I214" i="9"/>
  <c r="L214" i="9"/>
  <c r="K214" i="9"/>
  <c r="J214" i="9"/>
  <c r="M198" i="9"/>
  <c r="I198" i="9"/>
  <c r="L198" i="9"/>
  <c r="K198" i="9"/>
  <c r="J198" i="9"/>
  <c r="M182" i="9"/>
  <c r="I182" i="9"/>
  <c r="L182" i="9"/>
  <c r="K182" i="9"/>
  <c r="J182" i="9"/>
  <c r="M174" i="9"/>
  <c r="I174" i="9"/>
  <c r="L174" i="9"/>
  <c r="K174" i="9"/>
  <c r="J174" i="9"/>
  <c r="L265" i="9"/>
  <c r="M265" i="9"/>
  <c r="K265" i="9"/>
  <c r="I265" i="9"/>
  <c r="J265" i="9"/>
  <c r="L264" i="9"/>
  <c r="J264" i="9"/>
  <c r="I264" i="9"/>
  <c r="M264" i="9"/>
  <c r="K264" i="9"/>
  <c r="L168" i="9"/>
  <c r="M168" i="9"/>
  <c r="K168" i="9"/>
  <c r="J168" i="9"/>
  <c r="I168" i="9"/>
  <c r="L160" i="9"/>
  <c r="M160" i="9"/>
  <c r="K160" i="9"/>
  <c r="J160" i="9"/>
  <c r="I160" i="9"/>
  <c r="M213" i="9"/>
  <c r="I213" i="9"/>
  <c r="L213" i="9"/>
  <c r="K213" i="9"/>
  <c r="J213" i="9"/>
  <c r="M205" i="9"/>
  <c r="I205" i="9"/>
  <c r="L205" i="9"/>
  <c r="K205" i="9"/>
  <c r="J205" i="9"/>
  <c r="M197" i="9"/>
  <c r="I197" i="9"/>
  <c r="L197" i="9"/>
  <c r="K197" i="9"/>
  <c r="J197" i="9"/>
  <c r="M189" i="9"/>
  <c r="I189" i="9"/>
  <c r="L189" i="9"/>
  <c r="K189" i="9"/>
  <c r="J189" i="9"/>
  <c r="M181" i="9"/>
  <c r="I181" i="9"/>
  <c r="L181" i="9"/>
  <c r="K181" i="9"/>
  <c r="J181" i="9"/>
  <c r="M173" i="9"/>
  <c r="I173" i="9"/>
  <c r="L173" i="9"/>
  <c r="K173" i="9"/>
  <c r="J173" i="9"/>
  <c r="L159" i="9"/>
  <c r="J159" i="9"/>
  <c r="I159" i="9"/>
  <c r="M159" i="9"/>
  <c r="K159" i="9"/>
  <c r="M218" i="9"/>
  <c r="I218" i="9"/>
  <c r="L218" i="9"/>
  <c r="K218" i="9"/>
  <c r="J218" i="9"/>
  <c r="M210" i="9"/>
  <c r="I210" i="9"/>
  <c r="L210" i="9"/>
  <c r="K210" i="9"/>
  <c r="J210" i="9"/>
  <c r="M202" i="9"/>
  <c r="I202" i="9"/>
  <c r="L202" i="9"/>
  <c r="K202" i="9"/>
  <c r="J202" i="9"/>
  <c r="M194" i="9"/>
  <c r="I194" i="9"/>
  <c r="L194" i="9"/>
  <c r="K194" i="9"/>
  <c r="J194" i="9"/>
  <c r="M186" i="9"/>
  <c r="I186" i="9"/>
  <c r="L186" i="9"/>
  <c r="K186" i="9"/>
  <c r="J186" i="9"/>
  <c r="M178" i="9"/>
  <c r="I178" i="9"/>
  <c r="L178" i="9"/>
  <c r="K178" i="9"/>
  <c r="J178" i="9"/>
  <c r="H9" i="9"/>
  <c r="J7" i="9"/>
  <c r="M203" i="9"/>
  <c r="I203" i="9"/>
  <c r="L203" i="9"/>
  <c r="K203" i="9"/>
  <c r="J203" i="9"/>
  <c r="M171" i="9"/>
  <c r="I171" i="9"/>
  <c r="L171" i="9"/>
  <c r="K171" i="9"/>
  <c r="J171" i="9"/>
  <c r="M216" i="9"/>
  <c r="I216" i="9"/>
  <c r="L216" i="9"/>
  <c r="K216" i="9"/>
  <c r="J216" i="9"/>
  <c r="M208" i="9"/>
  <c r="I208" i="9"/>
  <c r="L208" i="9"/>
  <c r="K208" i="9"/>
  <c r="J208" i="9"/>
  <c r="M200" i="9"/>
  <c r="I200" i="9"/>
  <c r="L200" i="9"/>
  <c r="K200" i="9"/>
  <c r="J200" i="9"/>
  <c r="M192" i="9"/>
  <c r="I192" i="9"/>
  <c r="L192" i="9"/>
  <c r="K192" i="9"/>
  <c r="J192" i="9"/>
  <c r="M184" i="9"/>
  <c r="I184" i="9"/>
  <c r="L184" i="9"/>
  <c r="K184" i="9"/>
  <c r="J184" i="9"/>
  <c r="M176" i="9"/>
  <c r="I176" i="9"/>
  <c r="L176" i="9"/>
  <c r="K176" i="9"/>
  <c r="J176" i="9"/>
  <c r="O2" i="9" a="1"/>
  <c r="G18" i="7"/>
  <c r="G18" i="11" s="1"/>
  <c r="G13" i="7"/>
  <c r="G13" i="11" s="1"/>
  <c r="I6" i="7"/>
  <c r="I6" i="11" s="1"/>
  <c r="I8" i="7"/>
  <c r="G16" i="7"/>
  <c r="G16" i="11" s="1"/>
  <c r="J21" i="7"/>
  <c r="I7" i="7"/>
  <c r="G7" i="7"/>
  <c r="G7" i="11" s="1"/>
  <c r="G6" i="7"/>
  <c r="G6" i="11" s="1"/>
  <c r="G10" i="7"/>
  <c r="G10" i="11" s="1"/>
  <c r="I16" i="7"/>
  <c r="I13" i="7"/>
  <c r="G21" i="7"/>
  <c r="I9" i="7"/>
  <c r="J9" i="6"/>
  <c r="J5" i="6"/>
  <c r="H6" i="6"/>
  <c r="J4" i="6"/>
  <c r="H5" i="6"/>
  <c r="I5" i="6" s="1"/>
  <c r="J8" i="6"/>
  <c r="H7" i="6"/>
  <c r="H10" i="6"/>
  <c r="K4" i="6"/>
  <c r="H9" i="6"/>
  <c r="H8" i="6"/>
  <c r="G11" i="7"/>
  <c r="G11" i="11" s="1"/>
  <c r="I17" i="7"/>
  <c r="I5" i="7"/>
  <c r="G8" i="7"/>
  <c r="G8" i="11" s="1"/>
  <c r="G15" i="7"/>
  <c r="G15" i="11" s="1"/>
  <c r="I12" i="7"/>
  <c r="M3" i="6"/>
  <c r="K3" i="6" s="1"/>
  <c r="I3" i="6"/>
  <c r="J3" i="6"/>
  <c r="H4" i="6"/>
  <c r="I4" i="6" s="1"/>
  <c r="I7" i="6"/>
  <c r="J7" i="6"/>
  <c r="J6" i="6"/>
  <c r="I6" i="6"/>
  <c r="K5" i="6"/>
  <c r="J10" i="6"/>
  <c r="I10" i="6"/>
  <c r="K11" i="9" l="1"/>
  <c r="L11" i="9" s="1"/>
  <c r="J13" i="10"/>
  <c r="J33" i="11" s="1"/>
  <c r="J14" i="7"/>
  <c r="J14" i="11" s="1"/>
  <c r="R3" i="6"/>
  <c r="J19" i="7"/>
  <c r="J19" i="11" s="1"/>
  <c r="J10" i="7"/>
  <c r="J10" i="11" s="1"/>
  <c r="J6" i="7"/>
  <c r="J6" i="11" s="1"/>
  <c r="J18" i="7"/>
  <c r="J18" i="11" s="1"/>
  <c r="J11" i="7"/>
  <c r="J11" i="11" s="1"/>
  <c r="I11" i="11"/>
  <c r="J5" i="7"/>
  <c r="J5" i="11" s="1"/>
  <c r="I5" i="11"/>
  <c r="J16" i="7"/>
  <c r="J16" i="11" s="1"/>
  <c r="I16" i="11"/>
  <c r="J8" i="7"/>
  <c r="J8" i="11" s="1"/>
  <c r="I8" i="11"/>
  <c r="J12" i="7"/>
  <c r="J12" i="11" s="1"/>
  <c r="I12" i="11"/>
  <c r="J9" i="7"/>
  <c r="J9" i="11" s="1"/>
  <c r="I9" i="11"/>
  <c r="J7" i="7"/>
  <c r="J7" i="11" s="1"/>
  <c r="I7" i="11"/>
  <c r="J20" i="7"/>
  <c r="J20" i="11" s="1"/>
  <c r="I20" i="11"/>
  <c r="J15" i="7"/>
  <c r="J15" i="11" s="1"/>
  <c r="I15" i="11"/>
  <c r="J17" i="7"/>
  <c r="J17" i="11" s="1"/>
  <c r="I17" i="11"/>
  <c r="Q2" i="6"/>
  <c r="P11" i="9"/>
  <c r="S11" i="9"/>
  <c r="R11" i="9"/>
  <c r="Q11" i="9"/>
  <c r="J12" i="10"/>
  <c r="J32" i="11" s="1"/>
  <c r="I32" i="11"/>
  <c r="Q7" i="9"/>
  <c r="U7" i="9" s="1"/>
  <c r="Q9" i="9"/>
  <c r="Q10" i="9"/>
  <c r="W10" i="9" s="1"/>
  <c r="P7" i="9"/>
  <c r="Q8" i="9"/>
  <c r="J13" i="7"/>
  <c r="J13" i="11" s="1"/>
  <c r="I13" i="11"/>
  <c r="I8" i="9"/>
  <c r="M8" i="9"/>
  <c r="I9" i="9"/>
  <c r="M9" i="9"/>
  <c r="K7" i="9"/>
  <c r="R7" i="9" s="1"/>
  <c r="P6" i="9"/>
  <c r="P5" i="9"/>
  <c r="Q4" i="9"/>
  <c r="R3" i="9"/>
  <c r="O2" i="9"/>
  <c r="Q5" i="9"/>
  <c r="S3" i="9"/>
  <c r="S5" i="9"/>
  <c r="Q3" i="9"/>
  <c r="R5" i="9"/>
  <c r="P3" i="9"/>
  <c r="Q6" i="9"/>
  <c r="K6" i="9"/>
  <c r="L6" i="9" s="1"/>
  <c r="S6" i="9" s="1"/>
  <c r="L5" i="6"/>
  <c r="M6" i="6" s="1"/>
  <c r="L4" i="6"/>
  <c r="S3" i="6" s="1"/>
  <c r="L3" i="6"/>
  <c r="M11" i="6" s="1"/>
  <c r="K11" i="6" s="1"/>
  <c r="L11" i="6" s="1"/>
  <c r="S2" i="6" s="1"/>
  <c r="M8" i="6"/>
  <c r="I8" i="6"/>
  <c r="I9" i="6"/>
  <c r="R2" i="6" l="1"/>
  <c r="K6" i="6"/>
  <c r="L6" i="6" s="1"/>
  <c r="M7" i="6" s="1"/>
  <c r="K7" i="6" s="1"/>
  <c r="L7" i="6" s="1"/>
  <c r="M10" i="6" s="1"/>
  <c r="P2" i="6"/>
  <c r="W7" i="9"/>
  <c r="V7" i="9"/>
  <c r="X7" i="9"/>
  <c r="U10" i="9"/>
  <c r="U9" i="9"/>
  <c r="W9" i="9"/>
  <c r="V11" i="9"/>
  <c r="W11" i="9"/>
  <c r="X11" i="9"/>
  <c r="U11" i="9"/>
  <c r="Y11" i="9"/>
  <c r="W8" i="9"/>
  <c r="U8" i="9"/>
  <c r="L7" i="9"/>
  <c r="S7" i="9" s="1"/>
  <c r="Y7" i="9" s="1"/>
  <c r="R6" i="9"/>
  <c r="X6" i="9" s="1"/>
  <c r="K8" i="9"/>
  <c r="P8" i="9"/>
  <c r="V8" i="9" s="1"/>
  <c r="K9" i="9"/>
  <c r="M10" i="9"/>
  <c r="K10" i="9" s="1"/>
  <c r="S2" i="9"/>
  <c r="R2" i="9"/>
  <c r="P2" i="9"/>
  <c r="Q2" i="9"/>
  <c r="Y5" i="9"/>
  <c r="U5" i="9"/>
  <c r="X5" i="9"/>
  <c r="W5" i="9"/>
  <c r="V5" i="9"/>
  <c r="W6" i="9"/>
  <c r="V6" i="9"/>
  <c r="U6" i="9"/>
  <c r="Y6" i="9"/>
  <c r="W3" i="9"/>
  <c r="V3" i="9"/>
  <c r="Y3" i="9"/>
  <c r="U3" i="9"/>
  <c r="X3" i="9"/>
  <c r="R4" i="9"/>
  <c r="X4" i="9" s="1"/>
  <c r="W4" i="9"/>
  <c r="U4" i="9"/>
  <c r="W7" i="6"/>
  <c r="X7" i="6"/>
  <c r="V7" i="6"/>
  <c r="Y7" i="6"/>
  <c r="U7" i="6"/>
  <c r="V4" i="6"/>
  <c r="K10" i="6"/>
  <c r="R4" i="6" s="1"/>
  <c r="K8" i="6"/>
  <c r="L8" i="6" s="1"/>
  <c r="M9" i="6" s="1"/>
  <c r="W4" i="6"/>
  <c r="U4" i="6"/>
  <c r="U5" i="6"/>
  <c r="W5" i="6"/>
  <c r="Y6" i="6"/>
  <c r="U6" i="6"/>
  <c r="X6" i="6"/>
  <c r="W6" i="6"/>
  <c r="V6" i="6"/>
  <c r="X3" i="6"/>
  <c r="W3" i="6"/>
  <c r="V3" i="6"/>
  <c r="Y3" i="6"/>
  <c r="U3" i="6"/>
  <c r="P4" i="6" l="1"/>
  <c r="P5" i="6"/>
  <c r="V5" i="6" s="1"/>
  <c r="L10" i="9"/>
  <c r="R10" i="9"/>
  <c r="X10" i="9" s="1"/>
  <c r="L9" i="9"/>
  <c r="P4" i="9"/>
  <c r="V4" i="9" s="1"/>
  <c r="P10" i="9"/>
  <c r="V10" i="9" s="1"/>
  <c r="L8" i="9"/>
  <c r="S8" i="9" s="1"/>
  <c r="Y8" i="9" s="1"/>
  <c r="R8" i="9"/>
  <c r="X8" i="9" s="1"/>
  <c r="X2" i="9"/>
  <c r="W2" i="9"/>
  <c r="Y2" i="9"/>
  <c r="V2" i="9"/>
  <c r="U2" i="9"/>
  <c r="A2" i="10" s="1" a="1"/>
  <c r="K9" i="6"/>
  <c r="L10" i="6"/>
  <c r="X4" i="6"/>
  <c r="Y2" i="6"/>
  <c r="U2" i="6"/>
  <c r="X2" i="6"/>
  <c r="V2" i="6"/>
  <c r="W2" i="6"/>
  <c r="A23" i="11" l="1"/>
  <c r="A31" i="11"/>
  <c r="H11" i="10"/>
  <c r="H31" i="11" s="1"/>
  <c r="K11" i="10"/>
  <c r="K31" i="11" s="1"/>
  <c r="C11" i="10"/>
  <c r="C31" i="11" s="1"/>
  <c r="D11" i="10"/>
  <c r="D31" i="11" s="1"/>
  <c r="F11" i="10" a="1"/>
  <c r="F11" i="10" s="1"/>
  <c r="E11" i="10" a="1"/>
  <c r="E11" i="10" s="1"/>
  <c r="M12" i="9"/>
  <c r="F8" i="1"/>
  <c r="Y4" i="6"/>
  <c r="S4" i="6"/>
  <c r="L9" i="6"/>
  <c r="R5" i="6"/>
  <c r="X5" i="6" s="1"/>
  <c r="H4" i="7" s="1"/>
  <c r="H4" i="11" s="1"/>
  <c r="A4" i="11"/>
  <c r="A3" i="11"/>
  <c r="C3" i="7"/>
  <c r="C3" i="11" s="1"/>
  <c r="K3" i="7"/>
  <c r="K3" i="11" s="1"/>
  <c r="D4" i="7"/>
  <c r="D4" i="11" s="1"/>
  <c r="C4" i="7"/>
  <c r="C4" i="11" s="1"/>
  <c r="K4" i="7"/>
  <c r="K4" i="11" s="1"/>
  <c r="E3" i="7" a="1"/>
  <c r="E3" i="7" s="1"/>
  <c r="E4" i="7" a="1"/>
  <c r="E4" i="7" s="1"/>
  <c r="F3" i="7" a="1"/>
  <c r="F3" i="7" s="1"/>
  <c r="F4" i="7" a="1"/>
  <c r="F4" i="7" s="1"/>
  <c r="A30" i="11"/>
  <c r="H10" i="10"/>
  <c r="H30" i="11" s="1"/>
  <c r="C10" i="10"/>
  <c r="C30" i="11" s="1"/>
  <c r="K10" i="10"/>
  <c r="K30" i="11" s="1"/>
  <c r="E10" i="10" a="1"/>
  <c r="E10" i="10" s="1"/>
  <c r="E30" i="11" s="1"/>
  <c r="F10" i="10" a="1"/>
  <c r="F10" i="10" s="1"/>
  <c r="F30" i="11" s="1"/>
  <c r="S4" i="9"/>
  <c r="Y4" i="9" s="1"/>
  <c r="S10" i="9"/>
  <c r="Y10" i="9" s="1"/>
  <c r="D10" i="10" s="1"/>
  <c r="D30" i="11" s="1"/>
  <c r="A2" i="10"/>
  <c r="A22" i="11" s="1"/>
  <c r="E6" i="3"/>
  <c r="B5" i="3"/>
  <c r="B8" i="3"/>
  <c r="D13" i="3"/>
  <c r="D14" i="3"/>
  <c r="D15" i="3"/>
  <c r="D16" i="3"/>
  <c r="D17" i="3"/>
  <c r="D12" i="3"/>
  <c r="G11" i="10" l="1"/>
  <c r="G31" i="11" s="1"/>
  <c r="F31" i="11"/>
  <c r="E31" i="11"/>
  <c r="I11" i="10"/>
  <c r="K12" i="9"/>
  <c r="P9" i="9"/>
  <c r="S5" i="6"/>
  <c r="Y5" i="6" s="1"/>
  <c r="D3" i="7" s="1"/>
  <c r="D3" i="11" s="1"/>
  <c r="H3" i="7"/>
  <c r="H3" i="11" s="1"/>
  <c r="F3" i="11"/>
  <c r="G3" i="7"/>
  <c r="G3" i="11" s="1"/>
  <c r="E4" i="11"/>
  <c r="I4" i="7"/>
  <c r="F4" i="11"/>
  <c r="G4" i="7"/>
  <c r="G4" i="11" s="1"/>
  <c r="E3" i="11"/>
  <c r="I3" i="7"/>
  <c r="A2" i="11"/>
  <c r="H2" i="7"/>
  <c r="C2" i="7"/>
  <c r="C2" i="11" s="1"/>
  <c r="K2" i="7"/>
  <c r="K2" i="11" s="1"/>
  <c r="E2" i="7" a="1"/>
  <c r="E2" i="7" s="1"/>
  <c r="F2" i="7" a="1"/>
  <c r="F2" i="7" s="1"/>
  <c r="G10" i="10"/>
  <c r="G30" i="11" s="1"/>
  <c r="I10" i="10"/>
  <c r="K2" i="10"/>
  <c r="K22" i="11" s="1"/>
  <c r="H2" i="10"/>
  <c r="D2" i="10"/>
  <c r="D22" i="11" s="1"/>
  <c r="C2" i="10"/>
  <c r="C22" i="11" s="1"/>
  <c r="E2" i="10" a="1"/>
  <c r="E2" i="10" s="1"/>
  <c r="F2" i="10" a="1"/>
  <c r="F2" i="10" s="1"/>
  <c r="F22" i="11" s="1"/>
  <c r="B7" i="4"/>
  <c r="K3" i="4" s="1"/>
  <c r="I31" i="11" l="1"/>
  <c r="J11" i="10"/>
  <c r="J31" i="11" s="1"/>
  <c r="V9" i="9"/>
  <c r="B13" i="2"/>
  <c r="L12" i="9"/>
  <c r="S9" i="9" s="1"/>
  <c r="Y9" i="9" s="1"/>
  <c r="R9" i="9"/>
  <c r="X9" i="9" s="1"/>
  <c r="K10" i="4"/>
  <c r="L3" i="4"/>
  <c r="K11" i="4"/>
  <c r="L6" i="4"/>
  <c r="L4" i="4"/>
  <c r="L5" i="4"/>
  <c r="D2" i="7"/>
  <c r="D2" i="11" s="1"/>
  <c r="I2" i="7"/>
  <c r="E2" i="11"/>
  <c r="J3" i="7"/>
  <c r="J3" i="11" s="1"/>
  <c r="I3" i="11"/>
  <c r="J4" i="7"/>
  <c r="J4" i="11" s="1"/>
  <c r="I4" i="11"/>
  <c r="H2" i="11"/>
  <c r="G2" i="7"/>
  <c r="G2" i="11" s="1"/>
  <c r="F2" i="11"/>
  <c r="I2" i="10"/>
  <c r="E22" i="11"/>
  <c r="J10" i="10"/>
  <c r="J30" i="11" s="1"/>
  <c r="I30" i="11"/>
  <c r="H22" i="11"/>
  <c r="B23" i="4"/>
  <c r="E7" i="4"/>
  <c r="V2" i="18" s="1"/>
  <c r="W2" i="18" s="1"/>
  <c r="G2" i="10"/>
  <c r="G22" i="11" s="1"/>
  <c r="F14" i="1" l="1"/>
  <c r="F21" i="1" s="1"/>
  <c r="B19" i="2"/>
  <c r="L11" i="4"/>
  <c r="E3" i="18"/>
  <c r="E4" i="18" s="1"/>
  <c r="E5" i="18" s="1"/>
  <c r="E6" i="18" s="1"/>
  <c r="E7" i="18" s="1"/>
  <c r="E8" i="18" s="1"/>
  <c r="E9" i="18" s="1"/>
  <c r="E10" i="18" s="1"/>
  <c r="E11" i="18" s="1"/>
  <c r="E12" i="18" s="1"/>
  <c r="E13" i="18" s="1"/>
  <c r="E14" i="18" s="1"/>
  <c r="K12" i="4"/>
  <c r="B3" i="18" s="1"/>
  <c r="L7" i="4"/>
  <c r="L10" i="4"/>
  <c r="L12" i="4" s="1"/>
  <c r="K14" i="4"/>
  <c r="L3" i="18"/>
  <c r="V3" i="18"/>
  <c r="W3" i="18" s="1"/>
  <c r="I2" i="11"/>
  <c r="J2" i="7"/>
  <c r="I22" i="7"/>
  <c r="I22" i="11"/>
  <c r="J2" i="10"/>
  <c r="B4" i="18" l="1"/>
  <c r="C3" i="18"/>
  <c r="F3" i="18"/>
  <c r="L14" i="4"/>
  <c r="E23" i="4"/>
  <c r="V4" i="18"/>
  <c r="W4" i="18" s="1"/>
  <c r="N3" i="18"/>
  <c r="L4" i="18"/>
  <c r="J2" i="11"/>
  <c r="J22" i="7"/>
  <c r="J22" i="11"/>
  <c r="C4" i="18" l="1"/>
  <c r="B5" i="18"/>
  <c r="O3" i="18"/>
  <c r="Q3" i="18"/>
  <c r="N4" i="18" s="1"/>
  <c r="O4" i="18" s="1"/>
  <c r="V5" i="18"/>
  <c r="W5" i="18" s="1"/>
  <c r="L5" i="18"/>
  <c r="C3" i="15"/>
  <c r="C39" i="11" s="1"/>
  <c r="H40" i="11"/>
  <c r="A40" i="11"/>
  <c r="D4" i="15"/>
  <c r="D40" i="11" s="1"/>
  <c r="F4" i="15" a="1"/>
  <c r="F4" i="15" s="1"/>
  <c r="J3" i="15"/>
  <c r="M3" i="15"/>
  <c r="M4" i="15"/>
  <c r="M5" i="15"/>
  <c r="E4" i="15" a="1"/>
  <c r="E4" i="15" s="1"/>
  <c r="D3" i="15"/>
  <c r="D39" i="11" s="1"/>
  <c r="C5" i="15"/>
  <c r="C41" i="11" s="1"/>
  <c r="J5" i="15"/>
  <c r="F3" i="15" a="1"/>
  <c r="F3" i="15" s="1"/>
  <c r="A39" i="11"/>
  <c r="E3" i="15" a="1"/>
  <c r="E3" i="15" s="1"/>
  <c r="E5" i="15" a="1"/>
  <c r="E5" i="15" s="1"/>
  <c r="A41" i="11"/>
  <c r="F5" i="15" a="1"/>
  <c r="F5" i="15" s="1"/>
  <c r="J4" i="15"/>
  <c r="C4" i="15"/>
  <c r="C40" i="11" s="1"/>
  <c r="D5" i="15"/>
  <c r="D41" i="11" s="1"/>
  <c r="C5" i="18" l="1"/>
  <c r="B6" i="18"/>
  <c r="P3" i="18"/>
  <c r="M3" i="18"/>
  <c r="Q4" i="18"/>
  <c r="V6" i="18"/>
  <c r="W6" i="18" s="1"/>
  <c r="L6" i="18"/>
  <c r="H39" i="11"/>
  <c r="H11" i="15"/>
  <c r="B16" i="15" s="1"/>
  <c r="F41" i="11"/>
  <c r="G5" i="15"/>
  <c r="G41" i="11" s="1"/>
  <c r="E41" i="11"/>
  <c r="I5" i="15"/>
  <c r="K5" i="15" s="1"/>
  <c r="E39" i="11"/>
  <c r="I3" i="15"/>
  <c r="F39" i="11"/>
  <c r="G3" i="15"/>
  <c r="G39" i="11" s="1"/>
  <c r="I4" i="15"/>
  <c r="E40" i="11"/>
  <c r="K41" i="11"/>
  <c r="K40" i="11"/>
  <c r="K39" i="11"/>
  <c r="F40" i="11"/>
  <c r="G4" i="15"/>
  <c r="G40" i="11" s="1"/>
  <c r="B7" i="18" l="1"/>
  <c r="C6" i="18"/>
  <c r="N5" i="18"/>
  <c r="M4" i="18"/>
  <c r="P4" i="18"/>
  <c r="V7" i="18"/>
  <c r="W7" i="18" s="1"/>
  <c r="L7" i="18"/>
  <c r="K13" i="15"/>
  <c r="I11" i="15"/>
  <c r="K3" i="15"/>
  <c r="B21" i="2"/>
  <c r="F9" i="1" s="1"/>
  <c r="B5" i="2"/>
  <c r="K4" i="15"/>
  <c r="I40" i="11"/>
  <c r="L4" i="15"/>
  <c r="I39" i="11"/>
  <c r="L3" i="15"/>
  <c r="L5" i="15"/>
  <c r="I41" i="11"/>
  <c r="B8" i="18" l="1"/>
  <c r="C7" i="18"/>
  <c r="V8" i="18"/>
  <c r="W8" i="18" s="1"/>
  <c r="L8" i="18"/>
  <c r="Q5" i="18"/>
  <c r="O5" i="18"/>
  <c r="K11" i="15"/>
  <c r="B25" i="15" s="1"/>
  <c r="B28" i="2" s="1"/>
  <c r="B14" i="15"/>
  <c r="B20" i="15"/>
  <c r="B26" i="2" s="1"/>
  <c r="D23" i="15"/>
  <c r="B23" i="2" s="1"/>
  <c r="B22" i="15"/>
  <c r="B24" i="2" s="1"/>
  <c r="B6" i="2"/>
  <c r="J41" i="11"/>
  <c r="J39" i="11"/>
  <c r="J40" i="11"/>
  <c r="C8" i="18" l="1"/>
  <c r="B9" i="18"/>
  <c r="M5" i="18"/>
  <c r="P5" i="18"/>
  <c r="N6" i="18"/>
  <c r="O6" i="18" s="1"/>
  <c r="L9" i="18"/>
  <c r="V9" i="18"/>
  <c r="W9" i="18" s="1"/>
  <c r="B24" i="15"/>
  <c r="B17" i="15"/>
  <c r="B7" i="2"/>
  <c r="F7" i="1"/>
  <c r="B23" i="15"/>
  <c r="B25" i="2" s="1"/>
  <c r="C9" i="18" l="1"/>
  <c r="B10" i="18"/>
  <c r="Q6" i="18"/>
  <c r="N7" i="18" s="1"/>
  <c r="O7" i="18" s="1"/>
  <c r="L10" i="18"/>
  <c r="V10" i="18"/>
  <c r="W10" i="18" s="1"/>
  <c r="B18" i="15"/>
  <c r="B21" i="15"/>
  <c r="B22" i="2" s="1"/>
  <c r="P6" i="18" l="1"/>
  <c r="B11" i="18"/>
  <c r="C10" i="18"/>
  <c r="M6" i="18"/>
  <c r="Q7" i="18"/>
  <c r="L11" i="18"/>
  <c r="V11" i="18"/>
  <c r="W11" i="18" s="1"/>
  <c r="D17" i="15"/>
  <c r="B27" i="2"/>
  <c r="E19" i="15"/>
  <c r="B12" i="18" l="1"/>
  <c r="C11" i="18"/>
  <c r="P7" i="18"/>
  <c r="M7" i="18"/>
  <c r="N8" i="18"/>
  <c r="O8" i="18" s="1"/>
  <c r="B13" i="18" l="1"/>
  <c r="C12" i="18"/>
  <c r="Q8" i="18"/>
  <c r="P8" i="18" s="1"/>
  <c r="B14" i="18" l="1"/>
  <c r="C14" i="18" s="1"/>
  <c r="C13" i="18"/>
  <c r="M8" i="18"/>
  <c r="N9" i="18"/>
  <c r="O9" i="18" s="1"/>
  <c r="Q9" i="18" l="1"/>
  <c r="P9" i="18" s="1"/>
  <c r="M9" i="18"/>
  <c r="N10" i="18"/>
  <c r="O10" i="18" s="1"/>
  <c r="D7" i="10"/>
  <c r="D27" i="11" s="1"/>
  <c r="D8" i="10"/>
  <c r="D28" i="11" s="1"/>
  <c r="F7" i="10" a="1"/>
  <c r="F7" i="10" s="1"/>
  <c r="E8" i="10" a="1"/>
  <c r="E8" i="10" s="1"/>
  <c r="H7" i="10"/>
  <c r="H27" i="11" s="1"/>
  <c r="K6" i="10"/>
  <c r="K26" i="11" s="1"/>
  <c r="F6" i="10" a="1"/>
  <c r="F6" i="10" s="1"/>
  <c r="K5" i="10"/>
  <c r="K25" i="11" s="1"/>
  <c r="K7" i="10"/>
  <c r="K27" i="11" s="1"/>
  <c r="F5" i="10" a="1"/>
  <c r="F5" i="10" s="1"/>
  <c r="K9" i="10"/>
  <c r="K29" i="11" s="1"/>
  <c r="F3" i="10" a="1"/>
  <c r="F3" i="10" s="1"/>
  <c r="H8" i="10"/>
  <c r="H28" i="11" s="1"/>
  <c r="K3" i="10"/>
  <c r="K23" i="11" s="1"/>
  <c r="E9" i="10" a="1"/>
  <c r="E9" i="10" s="1"/>
  <c r="F9" i="10" a="1"/>
  <c r="F9" i="10" s="1"/>
  <c r="D6" i="10"/>
  <c r="D26" i="11" s="1"/>
  <c r="E5" i="10" a="1"/>
  <c r="E5" i="10" s="1"/>
  <c r="C5" i="10"/>
  <c r="C25" i="11" s="1"/>
  <c r="A24" i="11"/>
  <c r="F8" i="10" a="1"/>
  <c r="F8" i="10" s="1"/>
  <c r="C8" i="10"/>
  <c r="C28" i="11" s="1"/>
  <c r="C6" i="10"/>
  <c r="C26" i="11" s="1"/>
  <c r="E6" i="10" a="1"/>
  <c r="E6" i="10" s="1"/>
  <c r="H4" i="10"/>
  <c r="H24" i="11" s="1"/>
  <c r="D3" i="10"/>
  <c r="D23" i="11" s="1"/>
  <c r="E3" i="10" a="1"/>
  <c r="E3" i="10" s="1"/>
  <c r="H5" i="10"/>
  <c r="H25" i="11" s="1"/>
  <c r="E7" i="10" a="1"/>
  <c r="E7" i="10" s="1"/>
  <c r="C4" i="10"/>
  <c r="C24" i="11" s="1"/>
  <c r="A27" i="11"/>
  <c r="D4" i="10"/>
  <c r="D24" i="11" s="1"/>
  <c r="A28" i="11"/>
  <c r="F4" i="10" a="1"/>
  <c r="F4" i="10" s="1"/>
  <c r="H3" i="10"/>
  <c r="H9" i="10"/>
  <c r="H29" i="11" s="1"/>
  <c r="H6" i="10"/>
  <c r="H26" i="11" s="1"/>
  <c r="C9" i="10"/>
  <c r="C29" i="11" s="1"/>
  <c r="A29" i="11"/>
  <c r="K4" i="10"/>
  <c r="K24" i="11" s="1"/>
  <c r="D9" i="10"/>
  <c r="D29" i="11" s="1"/>
  <c r="D5" i="10"/>
  <c r="D25" i="11" s="1"/>
  <c r="A25" i="11"/>
  <c r="K8" i="10"/>
  <c r="K28" i="11" s="1"/>
  <c r="C3" i="10"/>
  <c r="C23" i="11" s="1"/>
  <c r="C7" i="10"/>
  <c r="C27" i="11" s="1"/>
  <c r="A26" i="11"/>
  <c r="E4" i="10" a="1"/>
  <c r="E4" i="10" s="1"/>
  <c r="Q10" i="18" l="1"/>
  <c r="H23" i="11"/>
  <c r="B10" i="2"/>
  <c r="B15" i="2" s="1"/>
  <c r="F19" i="1" s="1"/>
  <c r="N2" i="11" a="1"/>
  <c r="E24" i="11"/>
  <c r="I4" i="10"/>
  <c r="F24" i="11"/>
  <c r="G4" i="10"/>
  <c r="G24" i="11" s="1"/>
  <c r="I7" i="10"/>
  <c r="E27" i="11"/>
  <c r="E23" i="11"/>
  <c r="I3" i="10"/>
  <c r="I6" i="10"/>
  <c r="E26" i="11"/>
  <c r="G8" i="10"/>
  <c r="G28" i="11" s="1"/>
  <c r="F28" i="11"/>
  <c r="E25" i="11"/>
  <c r="I5" i="10"/>
  <c r="F29" i="11"/>
  <c r="G9" i="10"/>
  <c r="G29" i="11" s="1"/>
  <c r="I9" i="10"/>
  <c r="E29" i="11"/>
  <c r="F23" i="11"/>
  <c r="G3" i="10"/>
  <c r="G23" i="11" s="1"/>
  <c r="F25" i="11"/>
  <c r="G5" i="10"/>
  <c r="G25" i="11" s="1"/>
  <c r="F26" i="11"/>
  <c r="G6" i="10"/>
  <c r="G26" i="11" s="1"/>
  <c r="I8" i="10"/>
  <c r="E28" i="11"/>
  <c r="G7" i="10"/>
  <c r="G27" i="11" s="1"/>
  <c r="F27" i="11"/>
  <c r="T15" i="11" l="1"/>
  <c r="S15" i="11"/>
  <c r="R15" i="11"/>
  <c r="V15" i="11"/>
  <c r="X15" i="11"/>
  <c r="Y15" i="11"/>
  <c r="Q15" i="11"/>
  <c r="W15" i="11"/>
  <c r="P15" i="11"/>
  <c r="U15" i="11"/>
  <c r="N11" i="18"/>
  <c r="O11" i="18" s="1"/>
  <c r="M10" i="18"/>
  <c r="P10" i="18"/>
  <c r="I22" i="10"/>
  <c r="B11" i="2" s="1"/>
  <c r="B16" i="2" s="1"/>
  <c r="B17" i="2" s="1"/>
  <c r="B18" i="2" s="1"/>
  <c r="U11" i="11"/>
  <c r="N2" i="11"/>
  <c r="R7" i="11"/>
  <c r="Q6" i="11"/>
  <c r="V10" i="11"/>
  <c r="X9" i="11"/>
  <c r="P5" i="11"/>
  <c r="T10" i="11"/>
  <c r="W12" i="11"/>
  <c r="S6" i="11"/>
  <c r="R11" i="11"/>
  <c r="W14" i="11"/>
  <c r="T11" i="11"/>
  <c r="U7" i="11"/>
  <c r="Y7" i="11"/>
  <c r="T13" i="11"/>
  <c r="P8" i="11"/>
  <c r="P4" i="11"/>
  <c r="T6" i="11"/>
  <c r="U13" i="11"/>
  <c r="S10" i="11"/>
  <c r="X10" i="11"/>
  <c r="X3" i="11"/>
  <c r="Y10" i="11"/>
  <c r="Q10" i="11"/>
  <c r="Y3" i="11"/>
  <c r="Y5" i="11"/>
  <c r="R3" i="11"/>
  <c r="X12" i="11"/>
  <c r="Q5" i="11"/>
  <c r="P11" i="11"/>
  <c r="P10" i="11"/>
  <c r="Y4" i="11"/>
  <c r="S11" i="11"/>
  <c r="W10" i="11"/>
  <c r="T12" i="11"/>
  <c r="R9" i="11"/>
  <c r="Q3" i="11"/>
  <c r="P7" i="11"/>
  <c r="W11" i="11"/>
  <c r="X13" i="11"/>
  <c r="U6" i="11"/>
  <c r="P13" i="11"/>
  <c r="Q13" i="11"/>
  <c r="S5" i="11"/>
  <c r="V13" i="11"/>
  <c r="V14" i="11"/>
  <c r="T8" i="11"/>
  <c r="P3" i="11"/>
  <c r="P12" i="11"/>
  <c r="S14" i="11"/>
  <c r="V12" i="11"/>
  <c r="U14" i="11"/>
  <c r="S7" i="11"/>
  <c r="S8" i="11"/>
  <c r="U9" i="11"/>
  <c r="Y14" i="11"/>
  <c r="Y6" i="11"/>
  <c r="R10" i="11"/>
  <c r="T7" i="11"/>
  <c r="Q9" i="11"/>
  <c r="Q8" i="11"/>
  <c r="S3" i="11"/>
  <c r="T9" i="11"/>
  <c r="R13" i="11"/>
  <c r="R5" i="11"/>
  <c r="X14" i="11"/>
  <c r="Q11" i="11"/>
  <c r="U4" i="11"/>
  <c r="U10" i="11"/>
  <c r="R8" i="11"/>
  <c r="W13" i="11"/>
  <c r="X5" i="11"/>
  <c r="T3" i="11"/>
  <c r="X11" i="11"/>
  <c r="U3" i="11"/>
  <c r="Q14" i="11"/>
  <c r="X4" i="11"/>
  <c r="S9" i="11"/>
  <c r="Q4" i="11"/>
  <c r="Q12" i="11"/>
  <c r="R14" i="11"/>
  <c r="U8" i="11"/>
  <c r="P6" i="11"/>
  <c r="S12" i="11"/>
  <c r="X7" i="11"/>
  <c r="U12" i="11"/>
  <c r="R4" i="11"/>
  <c r="T5" i="11"/>
  <c r="Y9" i="11"/>
  <c r="Y12" i="11"/>
  <c r="T4" i="11"/>
  <c r="U5" i="11"/>
  <c r="V11" i="11"/>
  <c r="Y11" i="11"/>
  <c r="X8" i="11"/>
  <c r="P9" i="11"/>
  <c r="Y8" i="11"/>
  <c r="Q7" i="11"/>
  <c r="S4" i="11"/>
  <c r="T14" i="11"/>
  <c r="R12" i="11"/>
  <c r="S13" i="11"/>
  <c r="R6" i="11"/>
  <c r="X6" i="11"/>
  <c r="P14" i="11"/>
  <c r="Y13" i="11"/>
  <c r="J8" i="10"/>
  <c r="J28" i="11" s="1"/>
  <c r="W8" i="11" s="1"/>
  <c r="I28" i="11"/>
  <c r="V8" i="11" s="1"/>
  <c r="J9" i="10"/>
  <c r="J29" i="11" s="1"/>
  <c r="W9" i="11" s="1"/>
  <c r="I29" i="11"/>
  <c r="V9" i="11" s="1"/>
  <c r="J5" i="10"/>
  <c r="J25" i="11" s="1"/>
  <c r="W5" i="11" s="1"/>
  <c r="I25" i="11"/>
  <c r="V5" i="11" s="1"/>
  <c r="J6" i="10"/>
  <c r="J26" i="11" s="1"/>
  <c r="W6" i="11" s="1"/>
  <c r="I26" i="11"/>
  <c r="V6" i="11" s="1"/>
  <c r="J3" i="10"/>
  <c r="I23" i="11"/>
  <c r="V3" i="11" s="1"/>
  <c r="J7" i="10"/>
  <c r="J27" i="11" s="1"/>
  <c r="W7" i="11" s="1"/>
  <c r="I27" i="11"/>
  <c r="V7" i="11" s="1"/>
  <c r="J4" i="10"/>
  <c r="J24" i="11" s="1"/>
  <c r="W4" i="11" s="1"/>
  <c r="I24" i="11"/>
  <c r="V4" i="11" s="1"/>
  <c r="AD4" i="11" l="1"/>
  <c r="Z15" i="11"/>
  <c r="AD5" i="11"/>
  <c r="AD3" i="11"/>
  <c r="F13" i="1"/>
  <c r="F18" i="1" s="1"/>
  <c r="F22" i="1" s="1"/>
  <c r="B12" i="2"/>
  <c r="Q11" i="18"/>
  <c r="P11" i="18" s="1"/>
  <c r="AE3" i="11"/>
  <c r="Z4" i="11"/>
  <c r="Z3" i="11"/>
  <c r="Z5" i="11"/>
  <c r="Z8" i="11"/>
  <c r="Z7" i="11"/>
  <c r="Z6" i="11"/>
  <c r="Z9" i="11"/>
  <c r="J23" i="11"/>
  <c r="W3" i="11" s="1"/>
  <c r="J22" i="10"/>
  <c r="Z11" i="11"/>
  <c r="Z14" i="11"/>
  <c r="Z10" i="11"/>
  <c r="Z13" i="11"/>
  <c r="X2" i="11"/>
  <c r="P2" i="11"/>
  <c r="U2" i="11"/>
  <c r="AD2" i="11" s="1"/>
  <c r="AD8" i="11"/>
  <c r="V2" i="11"/>
  <c r="AE2" i="11" s="1"/>
  <c r="T2" i="11"/>
  <c r="W2" i="11"/>
  <c r="Y2" i="11"/>
  <c r="R2" i="11"/>
  <c r="AE8" i="11"/>
  <c r="S2" i="11"/>
  <c r="Q2" i="11"/>
  <c r="AE4" i="11"/>
  <c r="AD7" i="11"/>
  <c r="AE6" i="11"/>
  <c r="AE5" i="11"/>
  <c r="AE7" i="11"/>
  <c r="AD6" i="11"/>
  <c r="Z12" i="11"/>
  <c r="F20" i="1" l="1"/>
  <c r="M11" i="18"/>
  <c r="AA12" i="11"/>
  <c r="AF3" i="11"/>
  <c r="AG3" i="11"/>
  <c r="AF5" i="11"/>
  <c r="AG5" i="11"/>
  <c r="AF4" i="11"/>
  <c r="AG4" i="11"/>
  <c r="Z2" i="11"/>
  <c r="AA15" i="11"/>
  <c r="AA2" i="11"/>
  <c r="AA3" i="11"/>
  <c r="AF7" i="11"/>
  <c r="AG7" i="11"/>
  <c r="AF6" i="11"/>
  <c r="AG6" i="11"/>
  <c r="AA6" i="11"/>
  <c r="AA8" i="11"/>
  <c r="AF2" i="11"/>
  <c r="AG2" i="11"/>
  <c r="AA13" i="11"/>
  <c r="AA14" i="11"/>
  <c r="AA5" i="11"/>
  <c r="AF8" i="11"/>
  <c r="AG8" i="11"/>
  <c r="AA10" i="11"/>
  <c r="AA11" i="11"/>
  <c r="AA9" i="11"/>
  <c r="AA7" i="11"/>
  <c r="AA4" i="1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4">
    <bk>
      <extLst>
        <ext uri="{3e2802c4-a4d2-4d8b-9148-e3be6c30e623}">
          <xlrd:rvb i="6"/>
        </ext>
      </extLst>
    </bk>
    <bk>
      <extLst>
        <ext uri="{3e2802c4-a4d2-4d8b-9148-e3be6c30e623}">
          <xlrd:rvb i="9"/>
        </ext>
      </extLst>
    </bk>
    <bk>
      <extLst>
        <ext uri="{3e2802c4-a4d2-4d8b-9148-e3be6c30e623}">
          <xlrd:rvb i="12"/>
        </ext>
      </extLst>
    </bk>
    <bk>
      <extLst>
        <ext uri="{3e2802c4-a4d2-4d8b-9148-e3be6c30e623}">
          <xlrd:rvb i="15"/>
        </ext>
      </extLst>
    </bk>
    <bk>
      <extLst>
        <ext uri="{3e2802c4-a4d2-4d8b-9148-e3be6c30e623}">
          <xlrd:rvb i="21"/>
        </ext>
      </extLst>
    </bk>
    <bk>
      <extLst>
        <ext uri="{3e2802c4-a4d2-4d8b-9148-e3be6c30e623}">
          <xlrd:rvb i="24"/>
        </ext>
      </extLst>
    </bk>
    <bk>
      <extLst>
        <ext uri="{3e2802c4-a4d2-4d8b-9148-e3be6c30e623}">
          <xlrd:rvb i="30"/>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futureMetadata>
  <cellMetadata count="1">
    <bk>
      <rc t="1" v="0"/>
    </bk>
  </cellMetadata>
  <valueMetadata count="14">
    <bk>
      <rc t="2" v="0"/>
    </bk>
    <bk>
      <rc t="2" v="1"/>
    </bk>
    <bk>
      <rc t="2" v="2"/>
    </bk>
    <bk>
      <rc t="2" v="3"/>
    </bk>
    <bk>
      <rc t="2" v="4"/>
    </bk>
    <bk>
      <rc t="2" v="5"/>
    </bk>
    <bk>
      <rc t="2" v="6"/>
    </bk>
    <bk>
      <rc t="2" v="7"/>
    </bk>
    <bk>
      <rc t="2" v="8"/>
    </bk>
    <bk>
      <rc t="2" v="9"/>
    </bk>
    <bk>
      <rc t="2" v="10"/>
    </bk>
    <bk>
      <rc t="2" v="11"/>
    </bk>
    <bk>
      <rc t="2" v="12"/>
    </bk>
    <bk>
      <rc t="2" v="13"/>
    </bk>
  </valueMetadata>
</metadata>
</file>

<file path=xl/sharedStrings.xml><?xml version="1.0" encoding="utf-8"?>
<sst xmlns="http://schemas.openxmlformats.org/spreadsheetml/2006/main" count="844" uniqueCount="625">
  <si>
    <t>Overview</t>
  </si>
  <si>
    <t>Westpac</t>
  </si>
  <si>
    <t>Choice (transaction)</t>
  </si>
  <si>
    <t>Life (Saving)</t>
  </si>
  <si>
    <t>Super for Life</t>
  </si>
  <si>
    <t>Macquarie</t>
  </si>
  <si>
    <t>Daily Savings</t>
  </si>
  <si>
    <t>Investment Savings</t>
  </si>
  <si>
    <t>Transaction A/C</t>
  </si>
  <si>
    <t>Commbank</t>
  </si>
  <si>
    <t>Transactions</t>
  </si>
  <si>
    <t>Savings</t>
  </si>
  <si>
    <t xml:space="preserve">Interest Rate </t>
  </si>
  <si>
    <t>N/A</t>
  </si>
  <si>
    <t>Total in Cash</t>
  </si>
  <si>
    <t>Date</t>
  </si>
  <si>
    <t>Personal Investment</t>
  </si>
  <si>
    <t>Superfund Investment</t>
  </si>
  <si>
    <t>Salary</t>
  </si>
  <si>
    <t>Monthly Gross Wage</t>
  </si>
  <si>
    <t>Super Amount</t>
  </si>
  <si>
    <t>Tax on Wage</t>
  </si>
  <si>
    <t>Monthly Take-Home</t>
  </si>
  <si>
    <t>Monthly Super Earnt</t>
  </si>
  <si>
    <t>Investment Allocations</t>
  </si>
  <si>
    <t>Pendal Sustainable Balanced</t>
  </si>
  <si>
    <t>Active Australian Shares</t>
  </si>
  <si>
    <t>Active International Shares</t>
  </si>
  <si>
    <t>Pendal Aus Property</t>
  </si>
  <si>
    <t>Pendal Int Property</t>
  </si>
  <si>
    <t>Franklin Multisector Bonds</t>
  </si>
  <si>
    <t>Med to High</t>
  </si>
  <si>
    <t>High</t>
  </si>
  <si>
    <t>Very High</t>
  </si>
  <si>
    <t>Investment Option</t>
  </si>
  <si>
    <t>Risk</t>
  </si>
  <si>
    <t>Allocation</t>
  </si>
  <si>
    <t>Value</t>
  </si>
  <si>
    <t>Total Super Invested</t>
  </si>
  <si>
    <t>Super Value Currently</t>
  </si>
  <si>
    <t>Super Return On Investment</t>
  </si>
  <si>
    <t>Monthly Fees</t>
  </si>
  <si>
    <t>Flat Monthly</t>
  </si>
  <si>
    <t>% Monthly</t>
  </si>
  <si>
    <t>{0.28%}</t>
  </si>
  <si>
    <t>Code</t>
  </si>
  <si>
    <t>Order Type</t>
  </si>
  <si>
    <t>Quantity</t>
  </si>
  <si>
    <t>Value of the Order</t>
  </si>
  <si>
    <t>Per Share Value</t>
  </si>
  <si>
    <t>CBA</t>
  </si>
  <si>
    <t>BUY</t>
  </si>
  <si>
    <t>IOZ</t>
  </si>
  <si>
    <t>TLS</t>
  </si>
  <si>
    <t>WBC</t>
  </si>
  <si>
    <t>SELL</t>
  </si>
  <si>
    <t>Transaction</t>
  </si>
  <si>
    <t>Number of Shares</t>
  </si>
  <si>
    <t>Cost Basis</t>
  </si>
  <si>
    <t>Price P/S</t>
  </si>
  <si>
    <t>Count</t>
  </si>
  <si>
    <t>Unique ID</t>
  </si>
  <si>
    <t>Running Quantity</t>
  </si>
  <si>
    <t>Total Cost Basis</t>
  </si>
  <si>
    <t>P/S COST Price</t>
  </si>
  <si>
    <t>Realised P/L</t>
  </si>
  <si>
    <t>P/S Cost Price</t>
  </si>
  <si>
    <t>Company</t>
  </si>
  <si>
    <t>Entry Price P/S</t>
  </si>
  <si>
    <t>Last Price</t>
  </si>
  <si>
    <t>Price Change</t>
  </si>
  <si>
    <t>Daily Profit/Loss</t>
  </si>
  <si>
    <t>Total Cost</t>
  </si>
  <si>
    <t>Market Value</t>
  </si>
  <si>
    <t>Unrealised P/L</t>
  </si>
  <si>
    <t>DIV</t>
  </si>
  <si>
    <t>Total</t>
  </si>
  <si>
    <t>Cash</t>
  </si>
  <si>
    <t>AAPL</t>
  </si>
  <si>
    <t>AMZN</t>
  </si>
  <si>
    <t>ARKG</t>
  </si>
  <si>
    <t>ARKK</t>
  </si>
  <si>
    <t>GOOGL</t>
  </si>
  <si>
    <t>ICLN</t>
  </si>
  <si>
    <t>MSFT</t>
  </si>
  <si>
    <t>RIO</t>
  </si>
  <si>
    <t>SQ</t>
  </si>
  <si>
    <t>P/L Percentage</t>
  </si>
  <si>
    <t>Weight</t>
  </si>
  <si>
    <t>USD to AUD</t>
  </si>
  <si>
    <t>ASX Cost Base (AUD)</t>
  </si>
  <si>
    <t>ASX MV (AUD)</t>
  </si>
  <si>
    <t>Unrealised P/L (AUD)</t>
  </si>
  <si>
    <t>Realised P/L (AUD $)</t>
  </si>
  <si>
    <t>US Cost Base (AUD)</t>
  </si>
  <si>
    <t>US MV (AUD)</t>
  </si>
  <si>
    <t>Total Currently Invested (AUD)</t>
  </si>
  <si>
    <t>Total  MV (AUD)</t>
  </si>
  <si>
    <t>Total Unrealised P/L (AUD)</t>
  </si>
  <si>
    <t>Total Unrealised P/L (AUD %)</t>
  </si>
  <si>
    <t>Total Realised P/L (AUD)</t>
  </si>
  <si>
    <t>Yearly Equivalents</t>
  </si>
  <si>
    <t>Takehome</t>
  </si>
  <si>
    <t>Expenses</t>
  </si>
  <si>
    <t>Rent</t>
  </si>
  <si>
    <t>Phone Bill</t>
  </si>
  <si>
    <t>Internet</t>
  </si>
  <si>
    <t>Energy (approx)</t>
  </si>
  <si>
    <t>Gas (approx)</t>
  </si>
  <si>
    <t>Essential (monthly)</t>
  </si>
  <si>
    <t>Gym</t>
  </si>
  <si>
    <t>Spotify</t>
  </si>
  <si>
    <t>HelloFresh</t>
  </si>
  <si>
    <t>Remaining Take-Home</t>
  </si>
  <si>
    <t>Non-Essential (Monthly)</t>
  </si>
  <si>
    <t>AUD Cash</t>
  </si>
  <si>
    <t>USD Cash</t>
  </si>
  <si>
    <t>Total Cash (AUD)</t>
  </si>
  <si>
    <t>Transaction Value</t>
  </si>
  <si>
    <t>Category</t>
  </si>
  <si>
    <t>Bell Direct</t>
  </si>
  <si>
    <t>BFT Account</t>
  </si>
  <si>
    <t>Portfolio (AUD)</t>
  </si>
  <si>
    <t>Realised Gains</t>
  </si>
  <si>
    <t>Stake</t>
  </si>
  <si>
    <t>Total Market</t>
  </si>
  <si>
    <t>Cash (AUD)</t>
  </si>
  <si>
    <t>Cash Account (USD)</t>
  </si>
  <si>
    <t>Total Value (AUD)</t>
  </si>
  <si>
    <t>Investment Cash (AUD)</t>
  </si>
  <si>
    <t>Cost Base (AUD)</t>
  </si>
  <si>
    <t>Value over Investment</t>
  </si>
  <si>
    <t>Net Gain/Loss</t>
  </si>
  <si>
    <t>All Profits (unrel + rel)</t>
  </si>
  <si>
    <t>Margin Ratio</t>
  </si>
  <si>
    <t>3PL</t>
  </si>
  <si>
    <t>A200</t>
  </si>
  <si>
    <t>A2M</t>
  </si>
  <si>
    <t>AAC</t>
  </si>
  <si>
    <t>ABA</t>
  </si>
  <si>
    <t>ABC</t>
  </si>
  <si>
    <t>ABP</t>
  </si>
  <si>
    <t>ADH</t>
  </si>
  <si>
    <t>AFI</t>
  </si>
  <si>
    <t>AGI</t>
  </si>
  <si>
    <t>AGL</t>
  </si>
  <si>
    <t>AIA</t>
  </si>
  <si>
    <t>ALD</t>
  </si>
  <si>
    <t>ALG</t>
  </si>
  <si>
    <t>ALI</t>
  </si>
  <si>
    <t>ALL</t>
  </si>
  <si>
    <t>ALQ</t>
  </si>
  <si>
    <t>ALU</t>
  </si>
  <si>
    <t>ALX</t>
  </si>
  <si>
    <t>AMA</t>
  </si>
  <si>
    <t>AMC</t>
  </si>
  <si>
    <t>AMP</t>
  </si>
  <si>
    <t>AMPPA</t>
  </si>
  <si>
    <t>ANN</t>
  </si>
  <si>
    <t>ANZ</t>
  </si>
  <si>
    <t>ANZPD</t>
  </si>
  <si>
    <t>ANZPE</t>
  </si>
  <si>
    <t>ANZPF</t>
  </si>
  <si>
    <t>ANZPG</t>
  </si>
  <si>
    <t>APA</t>
  </si>
  <si>
    <t>APE</t>
  </si>
  <si>
    <t>API</t>
  </si>
  <si>
    <t>APT</t>
  </si>
  <si>
    <t>APX</t>
  </si>
  <si>
    <t>AQR</t>
  </si>
  <si>
    <t>ARB</t>
  </si>
  <si>
    <t>ARG</t>
  </si>
  <si>
    <t>ASB</t>
  </si>
  <si>
    <t>ASIA</t>
  </si>
  <si>
    <t>AST</t>
  </si>
  <si>
    <t>ASX</t>
  </si>
  <si>
    <t>AUB</t>
  </si>
  <si>
    <t>AVJ</t>
  </si>
  <si>
    <t>AVN</t>
  </si>
  <si>
    <t>AWC</t>
  </si>
  <si>
    <t>AX1</t>
  </si>
  <si>
    <t>AZJ</t>
  </si>
  <si>
    <t>BAP</t>
  </si>
  <si>
    <t>BBN</t>
  </si>
  <si>
    <t>BEN</t>
  </si>
  <si>
    <t>BENPF</t>
  </si>
  <si>
    <t>BENPG</t>
  </si>
  <si>
    <t>BENPH</t>
  </si>
  <si>
    <t>BGA</t>
  </si>
  <si>
    <t>BHP</t>
  </si>
  <si>
    <t>BIN</t>
  </si>
  <si>
    <t>BKL</t>
  </si>
  <si>
    <t>BKW</t>
  </si>
  <si>
    <t>BLD</t>
  </si>
  <si>
    <t>BNKS</t>
  </si>
  <si>
    <t>BOQ</t>
  </si>
  <si>
    <t>BPT</t>
  </si>
  <si>
    <t>BRG</t>
  </si>
  <si>
    <t>BSL</t>
  </si>
  <si>
    <t>BVS</t>
  </si>
  <si>
    <t>BWP</t>
  </si>
  <si>
    <t>BWX</t>
  </si>
  <si>
    <t>BXB</t>
  </si>
  <si>
    <t>CAJ</t>
  </si>
  <si>
    <t>CAR</t>
  </si>
  <si>
    <t>CBAPD</t>
  </si>
  <si>
    <t>CBAPE</t>
  </si>
  <si>
    <t>CBAPG</t>
  </si>
  <si>
    <t>CBAPH</t>
  </si>
  <si>
    <t>CBAPI</t>
  </si>
  <si>
    <t>CCP</t>
  </si>
  <si>
    <t>CCV</t>
  </si>
  <si>
    <t>CDA</t>
  </si>
  <si>
    <t>CDM</t>
  </si>
  <si>
    <t>CDP</t>
  </si>
  <si>
    <t>CGC</t>
  </si>
  <si>
    <t>CGF</t>
  </si>
  <si>
    <t>CGFPA</t>
  </si>
  <si>
    <t>CGFPB</t>
  </si>
  <si>
    <t>CGFPC</t>
  </si>
  <si>
    <t>CHC</t>
  </si>
  <si>
    <t>CIM</t>
  </si>
  <si>
    <t>CIP</t>
  </si>
  <si>
    <t>CKF</t>
  </si>
  <si>
    <t>CL1</t>
  </si>
  <si>
    <t>CLW</t>
  </si>
  <si>
    <t>CMW</t>
  </si>
  <si>
    <t>CNEW</t>
  </si>
  <si>
    <t>CNU</t>
  </si>
  <si>
    <t>COF</t>
  </si>
  <si>
    <t>COH</t>
  </si>
  <si>
    <t>COL</t>
  </si>
  <si>
    <t>CPU</t>
  </si>
  <si>
    <t>CQE</t>
  </si>
  <si>
    <t>CQR</t>
  </si>
  <si>
    <t>CRN</t>
  </si>
  <si>
    <t>CSL</t>
  </si>
  <si>
    <t>CSR</t>
  </si>
  <si>
    <t>CTD</t>
  </si>
  <si>
    <t>CWN</t>
  </si>
  <si>
    <t>CWNHB</t>
  </si>
  <si>
    <t>CWP</t>
  </si>
  <si>
    <t>CWY</t>
  </si>
  <si>
    <t>DHG</t>
  </si>
  <si>
    <t>DJRE</t>
  </si>
  <si>
    <t>DJW</t>
  </si>
  <si>
    <t>DMP</t>
  </si>
  <si>
    <t>DOW</t>
  </si>
  <si>
    <t>DRR</t>
  </si>
  <si>
    <t>DUI</t>
  </si>
  <si>
    <t>DXS</t>
  </si>
  <si>
    <t>ECX</t>
  </si>
  <si>
    <t>EHE</t>
  </si>
  <si>
    <t>EHL</t>
  </si>
  <si>
    <t>ELD</t>
  </si>
  <si>
    <t>EML</t>
  </si>
  <si>
    <t>EQT</t>
  </si>
  <si>
    <t>ETHI</t>
  </si>
  <si>
    <t>EVN</t>
  </si>
  <si>
    <t>EVT</t>
  </si>
  <si>
    <t>F100</t>
  </si>
  <si>
    <t>FBU</t>
  </si>
  <si>
    <t>FGG</t>
  </si>
  <si>
    <t>FGX</t>
  </si>
  <si>
    <t>FLT</t>
  </si>
  <si>
    <t>FMG</t>
  </si>
  <si>
    <t>FPH</t>
  </si>
  <si>
    <t>FWD</t>
  </si>
  <si>
    <t>GDI</t>
  </si>
  <si>
    <t>GDX</t>
  </si>
  <si>
    <t>GEM</t>
  </si>
  <si>
    <t>GMA</t>
  </si>
  <si>
    <t>GMG</t>
  </si>
  <si>
    <t>GNC</t>
  </si>
  <si>
    <t>GOLD</t>
  </si>
  <si>
    <t>GPT</t>
  </si>
  <si>
    <t>GUD</t>
  </si>
  <si>
    <t>GWA</t>
  </si>
  <si>
    <t>HACK</t>
  </si>
  <si>
    <t>HDN</t>
  </si>
  <si>
    <t>HJPN</t>
  </si>
  <si>
    <t>HLO</t>
  </si>
  <si>
    <t>HLS</t>
  </si>
  <si>
    <t>HM1</t>
  </si>
  <si>
    <t>HMC</t>
  </si>
  <si>
    <t>HPI</t>
  </si>
  <si>
    <t>HSN</t>
  </si>
  <si>
    <t>HT1</t>
  </si>
  <si>
    <t>HUB</t>
  </si>
  <si>
    <t>HUM</t>
  </si>
  <si>
    <t>HUO</t>
  </si>
  <si>
    <t>HVN</t>
  </si>
  <si>
    <t>HVST</t>
  </si>
  <si>
    <t>HYGG</t>
  </si>
  <si>
    <t>IAA</t>
  </si>
  <si>
    <t>IAF</t>
  </si>
  <si>
    <t>IAG</t>
  </si>
  <si>
    <t>IDX</t>
  </si>
  <si>
    <t>IEL</t>
  </si>
  <si>
    <t>IEM</t>
  </si>
  <si>
    <t>IEU</t>
  </si>
  <si>
    <t>IFL</t>
  </si>
  <si>
    <t>IFM</t>
  </si>
  <si>
    <t>IGL</t>
  </si>
  <si>
    <t>IGO</t>
  </si>
  <si>
    <t>IHD</t>
  </si>
  <si>
    <t>IHOO</t>
  </si>
  <si>
    <t>IJH</t>
  </si>
  <si>
    <t>IJP</t>
  </si>
  <si>
    <t>IJR</t>
  </si>
  <si>
    <t>IKO</t>
  </si>
  <si>
    <t>ILB</t>
  </si>
  <si>
    <t>ILC</t>
  </si>
  <si>
    <t>ILU</t>
  </si>
  <si>
    <t>INA</t>
  </si>
  <si>
    <t>ING</t>
  </si>
  <si>
    <t>IOO</t>
  </si>
  <si>
    <t>IPH</t>
  </si>
  <si>
    <t>IPL</t>
  </si>
  <si>
    <t>IRE</t>
  </si>
  <si>
    <t>IRI</t>
  </si>
  <si>
    <t>ISO</t>
  </si>
  <si>
    <t>IVC</t>
  </si>
  <si>
    <t>IVE</t>
  </si>
  <si>
    <t>IVV</t>
  </si>
  <si>
    <t>IXI</t>
  </si>
  <si>
    <t>IXJ</t>
  </si>
  <si>
    <t>IZZ</t>
  </si>
  <si>
    <t>JBH</t>
  </si>
  <si>
    <t>JHC</t>
  </si>
  <si>
    <t>JHG</t>
  </si>
  <si>
    <t>JHX</t>
  </si>
  <si>
    <t>KKC</t>
  </si>
  <si>
    <t>KMD</t>
  </si>
  <si>
    <t>LEP</t>
  </si>
  <si>
    <t>LLC</t>
  </si>
  <si>
    <t>LNK</t>
  </si>
  <si>
    <t>LOV</t>
  </si>
  <si>
    <t>MBLPC</t>
  </si>
  <si>
    <t>MFF</t>
  </si>
  <si>
    <t>MFG</t>
  </si>
  <si>
    <t>MGF</t>
  </si>
  <si>
    <t>MGOC</t>
  </si>
  <si>
    <t>MGR</t>
  </si>
  <si>
    <t>MGX</t>
  </si>
  <si>
    <t>MHG</t>
  </si>
  <si>
    <t>MHH</t>
  </si>
  <si>
    <t>MHJ</t>
  </si>
  <si>
    <t>MICH</t>
  </si>
  <si>
    <t>MIN</t>
  </si>
  <si>
    <t>MLT</t>
  </si>
  <si>
    <t>MMS</t>
  </si>
  <si>
    <t>MND</t>
  </si>
  <si>
    <t>MNF</t>
  </si>
  <si>
    <t>MNY</t>
  </si>
  <si>
    <t>MPL</t>
  </si>
  <si>
    <t>MQG</t>
  </si>
  <si>
    <t>MQGPC</t>
  </si>
  <si>
    <t>MQGPD</t>
  </si>
  <si>
    <t>MQGPE</t>
  </si>
  <si>
    <t>MTS</t>
  </si>
  <si>
    <t>MVF</t>
  </si>
  <si>
    <t>MVW</t>
  </si>
  <si>
    <t>MXT</t>
  </si>
  <si>
    <t>MYS</t>
  </si>
  <si>
    <t>MYX</t>
  </si>
  <si>
    <t>NAB</t>
  </si>
  <si>
    <t>NABPD</t>
  </si>
  <si>
    <t>NABPF</t>
  </si>
  <si>
    <t>NABPH</t>
  </si>
  <si>
    <t>NBI</t>
  </si>
  <si>
    <t>NCK</t>
  </si>
  <si>
    <t>NCM</t>
  </si>
  <si>
    <t>NDQ</t>
  </si>
  <si>
    <t>NEA</t>
  </si>
  <si>
    <t>NEC</t>
  </si>
  <si>
    <t>NFNG</t>
  </si>
  <si>
    <t>NGI</t>
  </si>
  <si>
    <t>NHC</t>
  </si>
  <si>
    <t>NHF</t>
  </si>
  <si>
    <t>NIC</t>
  </si>
  <si>
    <t>NSC</t>
  </si>
  <si>
    <t>NSR</t>
  </si>
  <si>
    <t>NST</t>
  </si>
  <si>
    <t>NUF</t>
  </si>
  <si>
    <t>NWL</t>
  </si>
  <si>
    <t>NWS</t>
  </si>
  <si>
    <t>NWSLV</t>
  </si>
  <si>
    <t>NXL</t>
  </si>
  <si>
    <t>NXT</t>
  </si>
  <si>
    <t>OBL</t>
  </si>
  <si>
    <t>OFX</t>
  </si>
  <si>
    <t>OGC</t>
  </si>
  <si>
    <t>OML</t>
  </si>
  <si>
    <t>OPH</t>
  </si>
  <si>
    <t>ORA</t>
  </si>
  <si>
    <t>ORG</t>
  </si>
  <si>
    <t>ORI</t>
  </si>
  <si>
    <t>OSH</t>
  </si>
  <si>
    <t>OZL</t>
  </si>
  <si>
    <t>PAC</t>
  </si>
  <si>
    <t>PAI</t>
  </si>
  <si>
    <t>PDL</t>
  </si>
  <si>
    <t>PFP</t>
  </si>
  <si>
    <t>PGF</t>
  </si>
  <si>
    <t>PGH</t>
  </si>
  <si>
    <t>PIA</t>
  </si>
  <si>
    <t>PIC</t>
  </si>
  <si>
    <t>PIXX</t>
  </si>
  <si>
    <t>PL8</t>
  </si>
  <si>
    <t>PMC</t>
  </si>
  <si>
    <t>PMV</t>
  </si>
  <si>
    <t>PNI</t>
  </si>
  <si>
    <t>PPC</t>
  </si>
  <si>
    <t>PPT</t>
  </si>
  <si>
    <t>PRN</t>
  </si>
  <si>
    <t>PSI</t>
  </si>
  <si>
    <t>PTM</t>
  </si>
  <si>
    <t>PWH</t>
  </si>
  <si>
    <t>QAN</t>
  </si>
  <si>
    <t>QBE</t>
  </si>
  <si>
    <t>QOZ</t>
  </si>
  <si>
    <t>QRI</t>
  </si>
  <si>
    <t>QUAL</t>
  </si>
  <si>
    <t>QUB</t>
  </si>
  <si>
    <t>QUBHA</t>
  </si>
  <si>
    <t>RDC</t>
  </si>
  <si>
    <t>RDV</t>
  </si>
  <si>
    <t>REA</t>
  </si>
  <si>
    <t>REG</t>
  </si>
  <si>
    <t>REH</t>
  </si>
  <si>
    <t>RFF</t>
  </si>
  <si>
    <t>RHC</t>
  </si>
  <si>
    <t>RHCPA</t>
  </si>
  <si>
    <t>RIC</t>
  </si>
  <si>
    <t>RMD</t>
  </si>
  <si>
    <t>RMS</t>
  </si>
  <si>
    <t>RRL</t>
  </si>
  <si>
    <t>RSG</t>
  </si>
  <si>
    <t>RWC</t>
  </si>
  <si>
    <t>S32</t>
  </si>
  <si>
    <t>SBKHB</t>
  </si>
  <si>
    <t>SBM</t>
  </si>
  <si>
    <t>SCG</t>
  </si>
  <si>
    <t>SCP</t>
  </si>
  <si>
    <t>SDG</t>
  </si>
  <si>
    <t>SEK</t>
  </si>
  <si>
    <t>SFY</t>
  </si>
  <si>
    <t>SGF</t>
  </si>
  <si>
    <t>SGM</t>
  </si>
  <si>
    <t>SGP</t>
  </si>
  <si>
    <t>SGR</t>
  </si>
  <si>
    <t>SHL</t>
  </si>
  <si>
    <t>SHV</t>
  </si>
  <si>
    <t>SIG</t>
  </si>
  <si>
    <t>SIQ</t>
  </si>
  <si>
    <t>SKC</t>
  </si>
  <si>
    <t>SKI</t>
  </si>
  <si>
    <t>SLF</t>
  </si>
  <si>
    <t>SLK</t>
  </si>
  <si>
    <t>SOL</t>
  </si>
  <si>
    <t>SPK</t>
  </si>
  <si>
    <t>SSM</t>
  </si>
  <si>
    <t>STO</t>
  </si>
  <si>
    <t>STW</t>
  </si>
  <si>
    <t>SUL</t>
  </si>
  <si>
    <t>SUN</t>
  </si>
  <si>
    <t>SUNPF</t>
  </si>
  <si>
    <t>SUNPH</t>
  </si>
  <si>
    <t>SVW</t>
  </si>
  <si>
    <t>SXL</t>
  </si>
  <si>
    <t>SXY</t>
  </si>
  <si>
    <t>SYD</t>
  </si>
  <si>
    <t>TAH</t>
  </si>
  <si>
    <t>TCL</t>
  </si>
  <si>
    <t>TGG</t>
  </si>
  <si>
    <t>TGP</t>
  </si>
  <si>
    <t>TNE</t>
  </si>
  <si>
    <t>TPG</t>
  </si>
  <si>
    <t>TWE</t>
  </si>
  <si>
    <t>TWR</t>
  </si>
  <si>
    <t>UMAX</t>
  </si>
  <si>
    <t>URW</t>
  </si>
  <si>
    <t>USD</t>
  </si>
  <si>
    <t>VAE</t>
  </si>
  <si>
    <t>VAF</t>
  </si>
  <si>
    <t>VAP</t>
  </si>
  <si>
    <t>VAS</t>
  </si>
  <si>
    <t>VCX</t>
  </si>
  <si>
    <t>VEA</t>
  </si>
  <si>
    <t>VEU</t>
  </si>
  <si>
    <t>VGAD</t>
  </si>
  <si>
    <t>VGB</t>
  </si>
  <si>
    <t>VGE</t>
  </si>
  <si>
    <t>VGS</t>
  </si>
  <si>
    <t>VHY</t>
  </si>
  <si>
    <t>VLC</t>
  </si>
  <si>
    <t>VRT</t>
  </si>
  <si>
    <t>VSO</t>
  </si>
  <si>
    <t>VTG</t>
  </si>
  <si>
    <t>VTH</t>
  </si>
  <si>
    <t>VTS</t>
  </si>
  <si>
    <t>VUK</t>
  </si>
  <si>
    <t>WAM</t>
  </si>
  <si>
    <t>WAX</t>
  </si>
  <si>
    <t>WBCPE</t>
  </si>
  <si>
    <t>WBCPG</t>
  </si>
  <si>
    <t>WBCPH</t>
  </si>
  <si>
    <t>WBCPI</t>
  </si>
  <si>
    <t>WBCPJ</t>
  </si>
  <si>
    <t>WDIV</t>
  </si>
  <si>
    <t>WEB</t>
  </si>
  <si>
    <t>WES</t>
  </si>
  <si>
    <t>WGB</t>
  </si>
  <si>
    <t>WGN</t>
  </si>
  <si>
    <t>WGX</t>
  </si>
  <si>
    <t>WHC</t>
  </si>
  <si>
    <t>WHF</t>
  </si>
  <si>
    <t>WLE</t>
  </si>
  <si>
    <t>WOR</t>
  </si>
  <si>
    <t>WSA</t>
  </si>
  <si>
    <t>WTC</t>
  </si>
  <si>
    <t>WXHG</t>
  </si>
  <si>
    <t>WXOZ</t>
  </si>
  <si>
    <t>XRO</t>
  </si>
  <si>
    <t>YMAX</t>
  </si>
  <si>
    <t>Gearing Ratio (Allowed)</t>
  </si>
  <si>
    <t>Gear Value</t>
  </si>
  <si>
    <t>Share Value Trfed In</t>
  </si>
  <si>
    <t>Cash Trfed In</t>
  </si>
  <si>
    <t>Totals</t>
  </si>
  <si>
    <t>Cost</t>
  </si>
  <si>
    <t>Gearing Allowed:</t>
  </si>
  <si>
    <t>At full LVR</t>
  </si>
  <si>
    <t>Current LVR</t>
  </si>
  <si>
    <t>Interest Rate</t>
  </si>
  <si>
    <t>Buying Power</t>
  </si>
  <si>
    <t>Discount</t>
  </si>
  <si>
    <t>Total Loans</t>
  </si>
  <si>
    <t>Surplus (full LVR)</t>
  </si>
  <si>
    <t>Credit Limit</t>
  </si>
  <si>
    <t>Unused Credit Limit</t>
  </si>
  <si>
    <t>Available Funds (trading)</t>
  </si>
  <si>
    <t>Client Equity</t>
  </si>
  <si>
    <t>Buffer Amount</t>
  </si>
  <si>
    <t>Charged Interest Rate</t>
  </si>
  <si>
    <t xml:space="preserve">Gearing Allowed at </t>
  </si>
  <si>
    <t>(3/4) max LVR</t>
  </si>
  <si>
    <t>Daily Interest Charged</t>
  </si>
  <si>
    <t>Available Cash</t>
  </si>
  <si>
    <t>Cash Used</t>
  </si>
  <si>
    <t>VDHG</t>
  </si>
  <si>
    <t>% Fall for Margin Call</t>
  </si>
  <si>
    <t>Loan Balance</t>
  </si>
  <si>
    <t>Margin Loan Balance</t>
  </si>
  <si>
    <t>Daily Interest ($)</t>
  </si>
  <si>
    <t>LVR</t>
  </si>
  <si>
    <t>{= Available funds (trading)/(1 - gearing ratio*(3/4)) (assuming 70%)</t>
  </si>
  <si>
    <t>Available to Trade</t>
  </si>
  <si>
    <t>Nasdaq Select</t>
  </si>
  <si>
    <t>US Niche ETFs</t>
  </si>
  <si>
    <t>Model Expected Returns</t>
  </si>
  <si>
    <t>Model Expected Dividend Coverage</t>
  </si>
  <si>
    <t>3 times</t>
  </si>
  <si>
    <t>13% p.a. last 2 years</t>
  </si>
  <si>
    <t>Quarterly</t>
  </si>
  <si>
    <t>Semi</t>
  </si>
  <si>
    <t>Approx Dividend</t>
  </si>
  <si>
    <t>Portfolio Value</t>
  </si>
  <si>
    <t>Year (July)</t>
  </si>
  <si>
    <t>Rate</t>
  </si>
  <si>
    <t>Div</t>
  </si>
  <si>
    <t>Loan</t>
  </si>
  <si>
    <t>New PV</t>
  </si>
  <si>
    <t>Contribution</t>
  </si>
  <si>
    <t>Starting from 14/07/2021</t>
  </si>
  <si>
    <t>Extra Food ("Food")</t>
  </si>
  <si>
    <t>Eating Out (Uber Eats "Eat Out")</t>
  </si>
  <si>
    <t>Drinking Out / Nights Out ("Drinks")</t>
  </si>
  <si>
    <t>Petrol ("Petrol")</t>
  </si>
  <si>
    <t>Extra Rent Month ("Rent")</t>
  </si>
  <si>
    <t>Uber ("Uber")</t>
  </si>
  <si>
    <t>XLF</t>
  </si>
  <si>
    <t>Yearly Interest</t>
  </si>
  <si>
    <t>Salary Breakdown</t>
  </si>
  <si>
    <t>Monthly Net Wage</t>
  </si>
  <si>
    <t>Essential Bills</t>
  </si>
  <si>
    <t>Non-Essential Bills</t>
  </si>
  <si>
    <t>Total in Fixed Recurring</t>
  </si>
  <si>
    <t>Goals</t>
  </si>
  <si>
    <t>Save 10% of Net Wage</t>
  </si>
  <si>
    <t>Invest 10% of Net Wage</t>
  </si>
  <si>
    <t>Total After Fixed Bills and Goals</t>
  </si>
  <si>
    <t>Saving Goals Total</t>
  </si>
  <si>
    <t>July</t>
  </si>
  <si>
    <t>Westpac Saving</t>
  </si>
  <si>
    <t>Macquarie Saving</t>
  </si>
  <si>
    <t>Macquarie Inv Saving</t>
  </si>
  <si>
    <t>Month (day before pay)</t>
  </si>
  <si>
    <t>Rules:</t>
  </si>
  <si>
    <t>Keep the invest saving in Inv Saving at MQ</t>
  </si>
  <si>
    <t>August</t>
  </si>
  <si>
    <t>Keep most of saving in Westpac except $600</t>
  </si>
  <si>
    <t>Keep $600 of general saving in MQ</t>
  </si>
  <si>
    <t>September</t>
  </si>
  <si>
    <t>October</t>
  </si>
  <si>
    <t>November</t>
  </si>
  <si>
    <t>December</t>
  </si>
  <si>
    <t>January</t>
  </si>
  <si>
    <t>Macquarie Left Overs</t>
  </si>
  <si>
    <t>Actual</t>
  </si>
  <si>
    <t>Remaining Take-Home after Goals</t>
  </si>
  <si>
    <t>February</t>
  </si>
  <si>
    <t>March</t>
  </si>
  <si>
    <t>April</t>
  </si>
  <si>
    <t>May</t>
  </si>
  <si>
    <t>June</t>
  </si>
  <si>
    <t>Saving</t>
  </si>
  <si>
    <t>Investing</t>
  </si>
  <si>
    <t>Play Money</t>
  </si>
  <si>
    <t>Money</t>
  </si>
  <si>
    <t>Clothes</t>
  </si>
  <si>
    <t>Clothes ("Clothes")</t>
  </si>
  <si>
    <t>Interest Charged</t>
  </si>
  <si>
    <t>Total Cash Savings Estimate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</si>
</sst>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7" formatCode="&quot;$&quot;#,##0.00;\-&quot;$&quot;#,##0.00"/>
    <numFmt numFmtId="8" formatCode="&quot;$&quot;#,##0.00;[Red]\-&quot;$&quot;#,##0.00"/>
    <numFmt numFmtId="44" formatCode="_-&quot;$&quot;* #,##0.00_-;\-&quot;$&quot;* #,##0.00_-;_-&quot;$&quot;* &quot;-&quot;??_-;_-@_-"/>
    <numFmt numFmtId="165" formatCode="_-[$$-C09]* #,##0.00_-;\-[$$-C09]* #,##0.00_-;_-[$$-C09]* &quot;-&quot;??_-;_-@_-"/>
    <numFmt numFmtId="168" formatCode="[$-809]dd\ mmmm\ yyyy;@"/>
    <numFmt numFmtId="169" formatCode="0.000%"/>
    <numFmt numFmtId="170" formatCode="_-&quot;$&quot;* #,##0.000_-;\-&quot;$&quot;* #,##0.000_-;_-&quot;$&quot;* &quot;-&quot;??_-;_-@_-"/>
    <numFmt numFmtId="171" formatCode="0.000"/>
    <numFmt numFmtId="172" formatCode="[$-F800]dddd\,\ mmmm\ dd\,\ yyyy;@"/>
  </numFmts>
  <fonts count="8" x14ac:knownFonts="1">
    <font>
      <sz val="11"/>
      <color theme="1"/>
      <name val="Calibri"/>
      <family val="2"/>
      <scheme val="minor"/>
    </font>
    <font>
      <b/>
      <sz val="11"/>
      <color theme="1"/>
      <name val="Calibri"/>
      <family val="2"/>
      <scheme val="minor"/>
    </font>
    <font>
      <u/>
      <sz val="14"/>
      <color theme="1"/>
      <name val="Georgia"/>
      <family val="1"/>
    </font>
    <font>
      <b/>
      <u/>
      <sz val="11"/>
      <color theme="1"/>
      <name val="Calibri"/>
      <family val="2"/>
      <scheme val="minor"/>
    </font>
    <font>
      <u/>
      <sz val="11"/>
      <color theme="1"/>
      <name val="Calibri"/>
      <family val="2"/>
      <scheme val="minor"/>
    </font>
    <font>
      <b/>
      <sz val="10"/>
      <name val="Arial"/>
      <family val="2"/>
    </font>
    <font>
      <sz val="11"/>
      <color theme="1"/>
      <name val="Calibri"/>
      <family val="2"/>
      <scheme val="minor"/>
    </font>
    <font>
      <sz val="8"/>
      <name val="Calibri"/>
      <family val="2"/>
      <scheme val="minor"/>
    </font>
  </fonts>
  <fills count="4">
    <fill>
      <patternFill patternType="none"/>
    </fill>
    <fill>
      <patternFill patternType="gray125"/>
    </fill>
    <fill>
      <patternFill patternType="solid">
        <fgColor rgb="FFEAEAEA"/>
        <bgColor indexed="64"/>
      </patternFill>
    </fill>
    <fill>
      <patternFill patternType="solid">
        <fgColor theme="1"/>
        <bgColor indexed="64"/>
      </patternFill>
    </fill>
  </fills>
  <borders count="1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9" fontId="6" fillId="0" borderId="0" applyFont="0" applyFill="0" applyBorder="0" applyAlignment="0" applyProtection="0"/>
  </cellStyleXfs>
  <cellXfs count="100">
    <xf numFmtId="0" fontId="0" fillId="0" borderId="0" xfId="0"/>
    <xf numFmtId="0" fontId="0" fillId="2" borderId="0" xfId="0" applyFill="1"/>
    <xf numFmtId="0" fontId="2" fillId="2" borderId="0" xfId="0" applyFont="1" applyFill="1" applyAlignment="1">
      <alignment horizontal="center" vertical="center"/>
    </xf>
    <xf numFmtId="44" fontId="0" fillId="2" borderId="0" xfId="0" applyNumberFormat="1" applyFill="1"/>
    <xf numFmtId="169" fontId="0" fillId="2" borderId="0" xfId="0" applyNumberFormat="1" applyFill="1"/>
    <xf numFmtId="0" fontId="3" fillId="2" borderId="0" xfId="0" applyFont="1" applyFill="1" applyAlignment="1">
      <alignment vertical="center"/>
    </xf>
    <xf numFmtId="0" fontId="1" fillId="2" borderId="0" xfId="0" applyFont="1" applyFill="1" applyAlignment="1">
      <alignment horizontal="center" vertical="center"/>
    </xf>
    <xf numFmtId="9" fontId="0" fillId="2" borderId="0" xfId="0" applyNumberFormat="1" applyFill="1" applyAlignment="1">
      <alignment horizontal="center"/>
    </xf>
    <xf numFmtId="0" fontId="0" fillId="2" borderId="0" xfId="0" applyFill="1" applyAlignment="1">
      <alignment horizontal="center"/>
    </xf>
    <xf numFmtId="0" fontId="0" fillId="2" borderId="0" xfId="0" applyFill="1" applyAlignment="1">
      <alignment vertical="center"/>
    </xf>
    <xf numFmtId="44" fontId="0" fillId="2" borderId="0" xfId="0" applyNumberFormat="1" applyFill="1" applyAlignment="1">
      <alignment vertical="center"/>
    </xf>
    <xf numFmtId="0" fontId="0" fillId="2" borderId="0" xfId="0" applyFill="1" applyAlignment="1">
      <alignment horizontal="center" vertical="center"/>
    </xf>
    <xf numFmtId="168" fontId="0" fillId="2" borderId="0" xfId="0" applyNumberFormat="1" applyFill="1" applyAlignment="1">
      <alignment horizontal="center" vertical="center"/>
    </xf>
    <xf numFmtId="10" fontId="0" fillId="2" borderId="0" xfId="0" applyNumberFormat="1" applyFill="1" applyAlignment="1">
      <alignment horizontal="center"/>
    </xf>
    <xf numFmtId="44" fontId="0" fillId="2" borderId="0" xfId="0" applyNumberFormat="1" applyFill="1" applyBorder="1"/>
    <xf numFmtId="0" fontId="1" fillId="2" borderId="0" xfId="0" applyFont="1" applyFill="1"/>
    <xf numFmtId="0" fontId="4" fillId="2" borderId="0" xfId="0" applyFont="1" applyFill="1"/>
    <xf numFmtId="170" fontId="0" fillId="2" borderId="0" xfId="0" applyNumberFormat="1" applyFill="1"/>
    <xf numFmtId="10" fontId="0" fillId="2" borderId="0" xfId="0" applyNumberFormat="1" applyFill="1"/>
    <xf numFmtId="0" fontId="0" fillId="2" borderId="0" xfId="0" applyNumberFormat="1" applyFill="1" applyAlignment="1">
      <alignment horizontal="center"/>
    </xf>
    <xf numFmtId="0" fontId="1" fillId="3" borderId="11" xfId="0" applyFont="1" applyFill="1" applyBorder="1"/>
    <xf numFmtId="0" fontId="0" fillId="3" borderId="2" xfId="0" applyFill="1" applyBorder="1"/>
    <xf numFmtId="0" fontId="0" fillId="3" borderId="0" xfId="0" applyFill="1"/>
    <xf numFmtId="0" fontId="0" fillId="3" borderId="8" xfId="0" applyFill="1" applyBorder="1"/>
    <xf numFmtId="0" fontId="5" fillId="2" borderId="10" xfId="0" applyFont="1" applyFill="1" applyBorder="1"/>
    <xf numFmtId="0" fontId="5" fillId="2" borderId="11" xfId="0" applyFont="1" applyFill="1" applyBorder="1"/>
    <xf numFmtId="0" fontId="5" fillId="2" borderId="12" xfId="0" applyFont="1" applyFill="1" applyBorder="1"/>
    <xf numFmtId="0" fontId="0" fillId="2" borderId="5" xfId="0" applyFill="1" applyBorder="1"/>
    <xf numFmtId="0" fontId="0" fillId="2" borderId="0" xfId="0" applyFill="1" applyBorder="1"/>
    <xf numFmtId="171" fontId="0" fillId="2" borderId="6" xfId="0" applyNumberFormat="1" applyFill="1" applyBorder="1"/>
    <xf numFmtId="0" fontId="0" fillId="2" borderId="7" xfId="0" applyFill="1" applyBorder="1"/>
    <xf numFmtId="0" fontId="0" fillId="2" borderId="8" xfId="0" applyFill="1" applyBorder="1"/>
    <xf numFmtId="171" fontId="0" fillId="2" borderId="9" xfId="0" applyNumberFormat="1" applyFill="1" applyBorder="1"/>
    <xf numFmtId="0" fontId="0" fillId="3" borderId="0" xfId="0" applyFill="1" applyBorder="1"/>
    <xf numFmtId="0" fontId="1" fillId="2" borderId="10" xfId="0" applyFont="1" applyFill="1" applyBorder="1"/>
    <xf numFmtId="0" fontId="1" fillId="2" borderId="11" xfId="0" applyFont="1" applyFill="1" applyBorder="1"/>
    <xf numFmtId="0" fontId="1" fillId="2" borderId="12" xfId="0" applyFont="1" applyFill="1" applyBorder="1"/>
    <xf numFmtId="0" fontId="1" fillId="2" borderId="1" xfId="0" applyFont="1" applyFill="1" applyBorder="1"/>
    <xf numFmtId="0" fontId="1" fillId="2" borderId="2" xfId="0" applyFont="1" applyFill="1" applyBorder="1"/>
    <xf numFmtId="0" fontId="1" fillId="2" borderId="3" xfId="0" applyFont="1" applyFill="1" applyBorder="1"/>
    <xf numFmtId="0" fontId="0" fillId="2" borderId="1" xfId="0" applyFill="1" applyBorder="1"/>
    <xf numFmtId="0" fontId="0" fillId="2" borderId="2" xfId="0" applyFill="1" applyBorder="1"/>
    <xf numFmtId="2" fontId="0" fillId="2" borderId="2" xfId="0" applyNumberFormat="1" applyFill="1" applyBorder="1"/>
    <xf numFmtId="2" fontId="0" fillId="2" borderId="3" xfId="0" applyNumberFormat="1" applyFill="1" applyBorder="1"/>
    <xf numFmtId="0" fontId="0" fillId="2" borderId="3" xfId="0" applyFill="1" applyBorder="1"/>
    <xf numFmtId="2" fontId="0" fillId="2" borderId="0" xfId="0" applyNumberFormat="1" applyFill="1" applyBorder="1"/>
    <xf numFmtId="2" fontId="0" fillId="2" borderId="6" xfId="0" applyNumberFormat="1" applyFill="1" applyBorder="1"/>
    <xf numFmtId="0" fontId="0" fillId="2" borderId="6" xfId="0" applyFill="1" applyBorder="1"/>
    <xf numFmtId="2" fontId="0" fillId="2" borderId="9" xfId="0" applyNumberFormat="1" applyFill="1" applyBorder="1"/>
    <xf numFmtId="0" fontId="0" fillId="2" borderId="9" xfId="0" applyFill="1" applyBorder="1"/>
    <xf numFmtId="2" fontId="0" fillId="2" borderId="8" xfId="0" applyNumberFormat="1" applyFill="1" applyBorder="1"/>
    <xf numFmtId="171" fontId="0" fillId="2" borderId="2" xfId="0" applyNumberFormat="1" applyFill="1" applyBorder="1"/>
    <xf numFmtId="165" fontId="0" fillId="2" borderId="2" xfId="0" applyNumberFormat="1" applyFill="1" applyBorder="1"/>
    <xf numFmtId="44" fontId="0" fillId="2" borderId="2" xfId="0" applyNumberFormat="1" applyFill="1" applyBorder="1"/>
    <xf numFmtId="44" fontId="0" fillId="2" borderId="3" xfId="0" applyNumberFormat="1" applyFill="1" applyBorder="1"/>
    <xf numFmtId="171" fontId="0" fillId="2" borderId="0" xfId="0" applyNumberFormat="1" applyFill="1" applyBorder="1"/>
    <xf numFmtId="165" fontId="0" fillId="2" borderId="0" xfId="0" applyNumberFormat="1" applyFill="1" applyBorder="1"/>
    <xf numFmtId="44" fontId="0" fillId="2" borderId="6" xfId="0" applyNumberFormat="1" applyFill="1" applyBorder="1"/>
    <xf numFmtId="171" fontId="0" fillId="2" borderId="8" xfId="0" applyNumberFormat="1" applyFill="1" applyBorder="1"/>
    <xf numFmtId="165" fontId="0" fillId="2" borderId="8" xfId="0" applyNumberFormat="1" applyFill="1" applyBorder="1"/>
    <xf numFmtId="44" fontId="0" fillId="2" borderId="8" xfId="0" applyNumberFormat="1" applyFill="1" applyBorder="1"/>
    <xf numFmtId="44" fontId="0" fillId="2" borderId="9" xfId="0" applyNumberFormat="1" applyFill="1" applyBorder="1"/>
    <xf numFmtId="165" fontId="0" fillId="2" borderId="9" xfId="0" applyNumberFormat="1" applyFill="1" applyBorder="1"/>
    <xf numFmtId="4" fontId="0" fillId="2" borderId="0" xfId="0" applyNumberFormat="1" applyFill="1"/>
    <xf numFmtId="8" fontId="0" fillId="2" borderId="0" xfId="0" applyNumberFormat="1" applyFill="1"/>
    <xf numFmtId="0" fontId="0" fillId="2" borderId="10" xfId="0" applyFill="1" applyBorder="1"/>
    <xf numFmtId="165" fontId="0" fillId="2" borderId="11" xfId="0" applyNumberFormat="1" applyFill="1" applyBorder="1"/>
    <xf numFmtId="165" fontId="0" fillId="2" borderId="12" xfId="0" applyNumberFormat="1" applyFill="1" applyBorder="1"/>
    <xf numFmtId="2" fontId="0" fillId="2" borderId="10" xfId="0" applyNumberFormat="1" applyFill="1" applyBorder="1"/>
    <xf numFmtId="165" fontId="0" fillId="2" borderId="4" xfId="0" applyNumberFormat="1" applyFill="1" applyBorder="1"/>
    <xf numFmtId="0" fontId="3" fillId="2" borderId="0" xfId="0" applyFont="1" applyFill="1" applyAlignment="1">
      <alignment horizontal="center" vertical="center"/>
    </xf>
    <xf numFmtId="0" fontId="4" fillId="2" borderId="0" xfId="0" applyFont="1" applyFill="1" applyAlignment="1">
      <alignment horizontal="center"/>
    </xf>
    <xf numFmtId="172" fontId="0" fillId="2" borderId="0" xfId="0" applyNumberFormat="1" applyFill="1"/>
    <xf numFmtId="44" fontId="1" fillId="2" borderId="0" xfId="0" applyNumberFormat="1" applyFont="1" applyFill="1"/>
    <xf numFmtId="7" fontId="0" fillId="2" borderId="0" xfId="0" applyNumberFormat="1" applyFill="1"/>
    <xf numFmtId="14" fontId="0" fillId="2" borderId="0" xfId="0" applyNumberFormat="1" applyFill="1"/>
    <xf numFmtId="0" fontId="0" fillId="2" borderId="0" xfId="0" applyNumberFormat="1" applyFill="1"/>
    <xf numFmtId="7" fontId="0" fillId="2" borderId="0" xfId="1" applyNumberFormat="1" applyFont="1" applyFill="1"/>
    <xf numFmtId="9" fontId="0" fillId="2" borderId="0" xfId="0" applyNumberFormat="1" applyFill="1"/>
    <xf numFmtId="10" fontId="0" fillId="2" borderId="0" xfId="0" applyNumberFormat="1" applyFill="1" applyBorder="1"/>
    <xf numFmtId="165" fontId="0" fillId="2" borderId="0" xfId="0" applyNumberFormat="1" applyFill="1"/>
    <xf numFmtId="0" fontId="0" fillId="2" borderId="0" xfId="0" applyFill="1" applyAlignment="1">
      <alignment horizontal="right"/>
    </xf>
    <xf numFmtId="10" fontId="0" fillId="2" borderId="2" xfId="0" applyNumberFormat="1" applyFill="1" applyBorder="1"/>
    <xf numFmtId="2" fontId="1" fillId="2" borderId="8" xfId="0" applyNumberFormat="1" applyFont="1" applyFill="1" applyBorder="1" applyAlignment="1">
      <alignment horizontal="center"/>
    </xf>
    <xf numFmtId="165" fontId="1" fillId="2" borderId="8" xfId="0" applyNumberFormat="1" applyFont="1" applyFill="1" applyBorder="1" applyAlignment="1">
      <alignment horizontal="center"/>
    </xf>
    <xf numFmtId="10" fontId="1" fillId="2" borderId="8" xfId="0" applyNumberFormat="1" applyFont="1" applyFill="1" applyBorder="1" applyAlignment="1">
      <alignment horizontal="right"/>
    </xf>
    <xf numFmtId="44" fontId="1" fillId="2" borderId="8" xfId="0" applyNumberFormat="1" applyFont="1" applyFill="1" applyBorder="1" applyAlignment="1">
      <alignment horizontal="center"/>
    </xf>
    <xf numFmtId="10" fontId="1" fillId="2" borderId="0" xfId="0" applyNumberFormat="1" applyFont="1" applyFill="1"/>
    <xf numFmtId="169" fontId="0" fillId="2" borderId="6" xfId="0" applyNumberFormat="1" applyFill="1" applyBorder="1"/>
    <xf numFmtId="170" fontId="0" fillId="2" borderId="6" xfId="0" applyNumberFormat="1" applyFill="1" applyBorder="1"/>
    <xf numFmtId="10" fontId="0" fillId="2" borderId="6" xfId="0" applyNumberFormat="1" applyFill="1" applyBorder="1"/>
    <xf numFmtId="10" fontId="0" fillId="2" borderId="9" xfId="0" applyNumberFormat="1" applyFill="1" applyBorder="1"/>
    <xf numFmtId="44" fontId="0" fillId="2" borderId="3" xfId="0" applyNumberFormat="1" applyFill="1" applyBorder="1" applyAlignment="1">
      <alignment horizontal="center"/>
    </xf>
    <xf numFmtId="44" fontId="0" fillId="2" borderId="6" xfId="0" applyNumberFormat="1" applyFill="1" applyBorder="1" applyAlignment="1">
      <alignment horizontal="center"/>
    </xf>
    <xf numFmtId="0" fontId="3" fillId="2" borderId="0" xfId="0" applyFont="1" applyFill="1" applyAlignment="1">
      <alignment horizontal="center" vertical="center"/>
    </xf>
    <xf numFmtId="10" fontId="0" fillId="2" borderId="0" xfId="0" applyNumberFormat="1" applyFill="1" applyAlignment="1">
      <alignment vertical="center"/>
    </xf>
    <xf numFmtId="0" fontId="3" fillId="2" borderId="0" xfId="0" applyFont="1" applyFill="1"/>
    <xf numFmtId="0" fontId="0" fillId="2" borderId="0" xfId="0" applyFill="1" applyAlignment="1">
      <alignment horizontal="center" vertical="center"/>
    </xf>
    <xf numFmtId="0" fontId="2" fillId="2" borderId="0" xfId="0" applyFont="1" applyFill="1" applyAlignment="1">
      <alignment horizontal="center" vertical="center"/>
    </xf>
    <xf numFmtId="0" fontId="3" fillId="2" borderId="0" xfId="0" applyFont="1" applyFill="1" applyAlignment="1">
      <alignment horizontal="center" vertical="center"/>
    </xf>
  </cellXfs>
  <cellStyles count="2">
    <cellStyle name="Normal" xfId="0" builtinId="0"/>
    <cellStyle name="Percent" xfId="1" builtinId="5"/>
  </cellStyles>
  <dxfs count="36">
    <dxf>
      <font>
        <color rgb="FF9C0006"/>
      </font>
      <fill>
        <patternFill>
          <bgColor rgb="FFFFC7CE"/>
        </patternFill>
      </fill>
    </dxf>
    <dxf>
      <font>
        <color rgb="FF9C0006"/>
      </font>
      <fill>
        <patternFill>
          <bgColor rgb="FFFFC7CE"/>
        </patternFill>
      </fill>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EAEAEA"/>
      <color rgb="FFE0E2F0"/>
      <color rgb="FFEDE5E3"/>
      <color rgb="FFEEE4E2"/>
      <color rgb="FFFFE9D1"/>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ichStyles" Target="richData/rich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 Target="richData/rdrichvalue.xml"/><Relationship Id="rId28"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17/06/relationships/rdSupportingPropertyBag" Target="richData/rdsupportingpropertybag.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tx>
            <c:strRef>
              <c:f>Wealth!$A$8</c:f>
              <c:strCache>
                <c:ptCount val="1"/>
                <c:pt idx="0">
                  <c:v>Total Value (AUD)</c:v>
                </c:pt>
              </c:strCache>
            </c:strRef>
          </c:tx>
          <c:spPr>
            <a:ln w="34925" cap="rnd">
              <a:solidFill>
                <a:schemeClr val="lt1"/>
              </a:solidFill>
              <a:round/>
            </a:ln>
            <a:effectLst>
              <a:outerShdw dist="25400" dir="2700000" algn="tl" rotWithShape="0">
                <a:schemeClr val="accent1"/>
              </a:outerShdw>
            </a:effectLst>
          </c:spPr>
          <c:marker>
            <c:symbol val="none"/>
          </c:marker>
          <c:cat>
            <c:numRef>
              <c:f>[0]!DateLabel</c:f>
              <c:numCache>
                <c:formatCode>m/d/yyyy</c:formatCode>
                <c:ptCount val="29"/>
                <c:pt idx="0">
                  <c:v>44373</c:v>
                </c:pt>
                <c:pt idx="1">
                  <c:v>44374</c:v>
                </c:pt>
                <c:pt idx="2">
                  <c:v>44375</c:v>
                </c:pt>
                <c:pt idx="3">
                  <c:v>44376</c:v>
                </c:pt>
                <c:pt idx="4">
                  <c:v>44377</c:v>
                </c:pt>
                <c:pt idx="5">
                  <c:v>44378</c:v>
                </c:pt>
                <c:pt idx="6">
                  <c:v>44385</c:v>
                </c:pt>
                <c:pt idx="7">
                  <c:v>44389</c:v>
                </c:pt>
                <c:pt idx="8">
                  <c:v>44390</c:v>
                </c:pt>
                <c:pt idx="9">
                  <c:v>44391</c:v>
                </c:pt>
                <c:pt idx="10">
                  <c:v>44392</c:v>
                </c:pt>
                <c:pt idx="11">
                  <c:v>44393</c:v>
                </c:pt>
                <c:pt idx="12">
                  <c:v>44397</c:v>
                </c:pt>
                <c:pt idx="13">
                  <c:v>44399</c:v>
                </c:pt>
                <c:pt idx="14">
                  <c:v>44400</c:v>
                </c:pt>
                <c:pt idx="15">
                  <c:v>44403</c:v>
                </c:pt>
                <c:pt idx="16">
                  <c:v>44404</c:v>
                </c:pt>
                <c:pt idx="17">
                  <c:v>44405</c:v>
                </c:pt>
                <c:pt idx="18">
                  <c:v>44406</c:v>
                </c:pt>
                <c:pt idx="19">
                  <c:v>44410</c:v>
                </c:pt>
                <c:pt idx="20">
                  <c:v>44411</c:v>
                </c:pt>
                <c:pt idx="21">
                  <c:v>44412</c:v>
                </c:pt>
                <c:pt idx="22">
                  <c:v>44414</c:v>
                </c:pt>
                <c:pt idx="23">
                  <c:v>44416</c:v>
                </c:pt>
                <c:pt idx="24">
                  <c:v>44417</c:v>
                </c:pt>
                <c:pt idx="25">
                  <c:v>44419</c:v>
                </c:pt>
                <c:pt idx="26">
                  <c:v>44420</c:v>
                </c:pt>
                <c:pt idx="27">
                  <c:v>44422</c:v>
                </c:pt>
              </c:numCache>
            </c:numRef>
          </c:cat>
          <c:val>
            <c:numRef>
              <c:f>[0]!TotValLabel</c:f>
              <c:numCache>
                <c:formatCode>"$"#,##0.00_);\("$"#,##0.00\)</c:formatCode>
                <c:ptCount val="29"/>
                <c:pt idx="0">
                  <c:v>10528.79</c:v>
                </c:pt>
                <c:pt idx="1">
                  <c:v>10451.129999999999</c:v>
                </c:pt>
                <c:pt idx="2">
                  <c:v>10449.73</c:v>
                </c:pt>
                <c:pt idx="3" formatCode="General">
                  <c:v>10521.44</c:v>
                </c:pt>
                <c:pt idx="4">
                  <c:v>10588.35</c:v>
                </c:pt>
                <c:pt idx="5">
                  <c:v>10551.41</c:v>
                </c:pt>
                <c:pt idx="6">
                  <c:v>10661.66</c:v>
                </c:pt>
                <c:pt idx="7">
                  <c:v>10675.34</c:v>
                </c:pt>
                <c:pt idx="8">
                  <c:v>10695.57</c:v>
                </c:pt>
                <c:pt idx="9">
                  <c:v>10735.67</c:v>
                </c:pt>
                <c:pt idx="10">
                  <c:v>10699.16</c:v>
                </c:pt>
                <c:pt idx="11">
                  <c:v>10657.57</c:v>
                </c:pt>
                <c:pt idx="12">
                  <c:v>10568.72</c:v>
                </c:pt>
                <c:pt idx="13">
                  <c:v>10809.37</c:v>
                </c:pt>
                <c:pt idx="14">
                  <c:v>10896.32</c:v>
                </c:pt>
                <c:pt idx="15">
                  <c:v>11001.6</c:v>
                </c:pt>
                <c:pt idx="16">
                  <c:v>11024.4</c:v>
                </c:pt>
                <c:pt idx="17">
                  <c:v>10901.37</c:v>
                </c:pt>
                <c:pt idx="18">
                  <c:v>10959.25</c:v>
                </c:pt>
                <c:pt idx="19">
                  <c:v>10976.53</c:v>
                </c:pt>
                <c:pt idx="20">
                  <c:v>11046.65</c:v>
                </c:pt>
                <c:pt idx="21">
                  <c:v>11057.88</c:v>
                </c:pt>
                <c:pt idx="22">
                  <c:v>11151.8</c:v>
                </c:pt>
                <c:pt idx="23">
                  <c:v>11112.26</c:v>
                </c:pt>
                <c:pt idx="24">
                  <c:v>11128.29</c:v>
                </c:pt>
                <c:pt idx="25">
                  <c:v>11142.1</c:v>
                </c:pt>
                <c:pt idx="26">
                  <c:v>11141.85</c:v>
                </c:pt>
                <c:pt idx="27">
                  <c:v>11226.12</c:v>
                </c:pt>
              </c:numCache>
            </c:numRef>
          </c:val>
          <c:smooth val="0"/>
          <c:extLst>
            <c:ext xmlns:c16="http://schemas.microsoft.com/office/drawing/2014/chart" uri="{C3380CC4-5D6E-409C-BE32-E72D297353CC}">
              <c16:uniqueId val="{00000000-D137-429C-B004-E0D40A1CBA76}"/>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1124453776"/>
        <c:axId val="1124451696"/>
      </c:lineChart>
      <c:dateAx>
        <c:axId val="1124453776"/>
        <c:scaling>
          <c:orientation val="minMax"/>
        </c:scaling>
        <c:delete val="0"/>
        <c:axPos val="b"/>
        <c:numFmt formatCode="m/d/yyyy"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124451696"/>
        <c:crosses val="autoZero"/>
        <c:auto val="1"/>
        <c:lblOffset val="100"/>
        <c:baseTimeUnit val="days"/>
      </c:dateAx>
      <c:valAx>
        <c:axId val="1124451696"/>
        <c:scaling>
          <c:orientation val="minMax"/>
        </c:scaling>
        <c:delete val="0"/>
        <c:axPos val="l"/>
        <c:numFmt formatCode="&quot;$&quot;#,##0.00_);\(&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244537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tx>
            <c:strRef>
              <c:f>Wealth!$A$6</c:f>
              <c:strCache>
                <c:ptCount val="1"/>
                <c:pt idx="0">
                  <c:v>All Profits (unrel + rel)</c:v>
                </c:pt>
              </c:strCache>
            </c:strRef>
          </c:tx>
          <c:spPr>
            <a:ln w="34925" cap="rnd">
              <a:solidFill>
                <a:schemeClr val="lt1"/>
              </a:solidFill>
              <a:round/>
            </a:ln>
            <a:effectLst>
              <a:outerShdw dist="25400" dir="2700000" algn="tl" rotWithShape="0">
                <a:schemeClr val="accent1"/>
              </a:outerShdw>
            </a:effectLst>
          </c:spPr>
          <c:marker>
            <c:symbol val="none"/>
          </c:marker>
          <c:cat>
            <c:numRef>
              <c:f>[0]!DateLabel</c:f>
              <c:numCache>
                <c:formatCode>m/d/yyyy</c:formatCode>
                <c:ptCount val="29"/>
                <c:pt idx="0">
                  <c:v>44373</c:v>
                </c:pt>
                <c:pt idx="1">
                  <c:v>44374</c:v>
                </c:pt>
                <c:pt idx="2">
                  <c:v>44375</c:v>
                </c:pt>
                <c:pt idx="3">
                  <c:v>44376</c:v>
                </c:pt>
                <c:pt idx="4">
                  <c:v>44377</c:v>
                </c:pt>
                <c:pt idx="5">
                  <c:v>44378</c:v>
                </c:pt>
                <c:pt idx="6">
                  <c:v>44385</c:v>
                </c:pt>
                <c:pt idx="7">
                  <c:v>44389</c:v>
                </c:pt>
                <c:pt idx="8">
                  <c:v>44390</c:v>
                </c:pt>
                <c:pt idx="9">
                  <c:v>44391</c:v>
                </c:pt>
                <c:pt idx="10">
                  <c:v>44392</c:v>
                </c:pt>
                <c:pt idx="11">
                  <c:v>44393</c:v>
                </c:pt>
                <c:pt idx="12">
                  <c:v>44397</c:v>
                </c:pt>
                <c:pt idx="13">
                  <c:v>44399</c:v>
                </c:pt>
                <c:pt idx="14">
                  <c:v>44400</c:v>
                </c:pt>
                <c:pt idx="15">
                  <c:v>44403</c:v>
                </c:pt>
                <c:pt idx="16">
                  <c:v>44404</c:v>
                </c:pt>
                <c:pt idx="17">
                  <c:v>44405</c:v>
                </c:pt>
                <c:pt idx="18">
                  <c:v>44406</c:v>
                </c:pt>
                <c:pt idx="19">
                  <c:v>44410</c:v>
                </c:pt>
                <c:pt idx="20">
                  <c:v>44411</c:v>
                </c:pt>
                <c:pt idx="21">
                  <c:v>44412</c:v>
                </c:pt>
                <c:pt idx="22">
                  <c:v>44414</c:v>
                </c:pt>
                <c:pt idx="23">
                  <c:v>44416</c:v>
                </c:pt>
                <c:pt idx="24">
                  <c:v>44417</c:v>
                </c:pt>
                <c:pt idx="25">
                  <c:v>44419</c:v>
                </c:pt>
                <c:pt idx="26">
                  <c:v>44420</c:v>
                </c:pt>
                <c:pt idx="27">
                  <c:v>44422</c:v>
                </c:pt>
              </c:numCache>
            </c:numRef>
          </c:cat>
          <c:val>
            <c:numRef>
              <c:f>[0]!ProfLabel</c:f>
              <c:numCache>
                <c:formatCode>"$"#,##0.00_);\("$"#,##0.00\)</c:formatCode>
                <c:ptCount val="29"/>
                <c:pt idx="0">
                  <c:v>2725.13</c:v>
                </c:pt>
                <c:pt idx="1">
                  <c:v>2703.44</c:v>
                </c:pt>
                <c:pt idx="2">
                  <c:v>2702.04</c:v>
                </c:pt>
                <c:pt idx="3">
                  <c:v>2773.75</c:v>
                </c:pt>
                <c:pt idx="4" formatCode="0.000%">
                  <c:v>2812.68</c:v>
                </c:pt>
                <c:pt idx="5">
                  <c:v>2774.81</c:v>
                </c:pt>
                <c:pt idx="6">
                  <c:v>2857.08</c:v>
                </c:pt>
                <c:pt idx="7">
                  <c:v>2870.75</c:v>
                </c:pt>
                <c:pt idx="8">
                  <c:v>2878.84</c:v>
                </c:pt>
                <c:pt idx="9">
                  <c:v>2900.4</c:v>
                </c:pt>
                <c:pt idx="10">
                  <c:v>2882.43</c:v>
                </c:pt>
                <c:pt idx="11">
                  <c:v>2840.84</c:v>
                </c:pt>
                <c:pt idx="12">
                  <c:v>2751.99</c:v>
                </c:pt>
                <c:pt idx="13">
                  <c:v>2935.95</c:v>
                </c:pt>
                <c:pt idx="14">
                  <c:v>3051.24</c:v>
                </c:pt>
                <c:pt idx="15">
                  <c:v>3156.52</c:v>
                </c:pt>
                <c:pt idx="16">
                  <c:v>3179.32</c:v>
                </c:pt>
                <c:pt idx="17">
                  <c:v>3027.95</c:v>
                </c:pt>
                <c:pt idx="18">
                  <c:v>3085.83</c:v>
                </c:pt>
                <c:pt idx="19">
                  <c:v>3103.11</c:v>
                </c:pt>
                <c:pt idx="20">
                  <c:v>3173.23</c:v>
                </c:pt>
                <c:pt idx="21">
                  <c:v>3184.46</c:v>
                </c:pt>
                <c:pt idx="22">
                  <c:v>3316.72</c:v>
                </c:pt>
                <c:pt idx="23">
                  <c:v>3277.18</c:v>
                </c:pt>
                <c:pt idx="24">
                  <c:v>3293.21</c:v>
                </c:pt>
                <c:pt idx="25">
                  <c:v>3307.02</c:v>
                </c:pt>
                <c:pt idx="26">
                  <c:v>3306.77</c:v>
                </c:pt>
                <c:pt idx="27">
                  <c:v>3391.04</c:v>
                </c:pt>
              </c:numCache>
            </c:numRef>
          </c:val>
          <c:smooth val="0"/>
          <c:extLst>
            <c:ext xmlns:c16="http://schemas.microsoft.com/office/drawing/2014/chart" uri="{C3380CC4-5D6E-409C-BE32-E72D297353CC}">
              <c16:uniqueId val="{00000000-E6B1-4849-8DA0-DC6DE72C7478}"/>
            </c:ext>
          </c:extLst>
        </c:ser>
        <c:dLbls>
          <c:showLegendKey val="0"/>
          <c:showVal val="0"/>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1124452112"/>
        <c:axId val="1124453360"/>
      </c:lineChart>
      <c:dateAx>
        <c:axId val="1124452112"/>
        <c:scaling>
          <c:orientation val="minMax"/>
        </c:scaling>
        <c:delete val="0"/>
        <c:axPos val="b"/>
        <c:numFmt formatCode="m/d/yyyy" sourceLinked="1"/>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en-US"/>
          </a:p>
        </c:txPr>
        <c:crossAx val="1124453360"/>
        <c:crosses val="autoZero"/>
        <c:auto val="1"/>
        <c:lblOffset val="100"/>
        <c:baseTimeUnit val="days"/>
      </c:dateAx>
      <c:valAx>
        <c:axId val="1124453360"/>
        <c:scaling>
          <c:orientation val="minMax"/>
        </c:scaling>
        <c:delete val="0"/>
        <c:axPos val="l"/>
        <c:numFmt formatCode="&quot;$&quot;#,##0.00_);\(&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24452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pieChart>
        <c:varyColors val="1"/>
        <c:ser>
          <c:idx val="0"/>
          <c:order val="0"/>
          <c:tx>
            <c:strRef>
              <c:f>'Joint Portfolio'!$AE$1</c:f>
              <c:strCache>
                <c:ptCount val="1"/>
                <c:pt idx="0">
                  <c:v>Market Value</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3-7BB3-4649-AF2E-0E8C8E8D370D}"/>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4-7BB3-4649-AF2E-0E8C8E8D370D}"/>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7BB3-4649-AF2E-0E8C8E8D370D}"/>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6-7BB3-4649-AF2E-0E8C8E8D370D}"/>
              </c:ext>
            </c:extLst>
          </c:dPt>
          <c:dPt>
            <c:idx val="4"/>
            <c:bubble3D val="0"/>
            <c:spPr>
              <a:pattFill prst="ltUpDiag">
                <a:fgClr>
                  <a:schemeClr val="accent5"/>
                </a:fgClr>
                <a:bgClr>
                  <a:schemeClr val="accent5">
                    <a:lumMod val="20000"/>
                    <a:lumOff val="80000"/>
                  </a:schemeClr>
                </a:bgClr>
              </a:pattFill>
              <a:ln w="19050">
                <a:solidFill>
                  <a:schemeClr val="lt1"/>
                </a:solidFill>
              </a:ln>
              <a:effectLst>
                <a:innerShdw blurRad="114300">
                  <a:schemeClr val="accent5"/>
                </a:innerShdw>
              </a:effectLst>
            </c:spPr>
            <c:extLst>
              <c:ext xmlns:c16="http://schemas.microsoft.com/office/drawing/2014/chart" uri="{C3380CC4-5D6E-409C-BE32-E72D297353CC}">
                <c16:uniqueId val="{00000007-7BB3-4649-AF2E-0E8C8E8D370D}"/>
              </c:ext>
            </c:extLst>
          </c:dPt>
          <c:dPt>
            <c:idx val="5"/>
            <c:bubble3D val="0"/>
            <c:spPr>
              <a:pattFill prst="ltUpDiag">
                <a:fgClr>
                  <a:schemeClr val="accent6"/>
                </a:fgClr>
                <a:bgClr>
                  <a:schemeClr val="accent6">
                    <a:lumMod val="20000"/>
                    <a:lumOff val="80000"/>
                  </a:schemeClr>
                </a:bgClr>
              </a:pattFill>
              <a:ln w="19050">
                <a:solidFill>
                  <a:schemeClr val="lt1"/>
                </a:solidFill>
              </a:ln>
              <a:effectLst>
                <a:innerShdw blurRad="114300">
                  <a:schemeClr val="accent6"/>
                </a:innerShdw>
              </a:effectLst>
            </c:spPr>
            <c:extLst>
              <c:ext xmlns:c16="http://schemas.microsoft.com/office/drawing/2014/chart" uri="{C3380CC4-5D6E-409C-BE32-E72D297353CC}">
                <c16:uniqueId val="{00000008-7BB3-4649-AF2E-0E8C8E8D370D}"/>
              </c:ext>
            </c:extLst>
          </c:dPt>
          <c:dPt>
            <c:idx val="6"/>
            <c:bubble3D val="0"/>
            <c:spPr>
              <a:pattFill prst="ltUpDiag">
                <a:fgClr>
                  <a:schemeClr val="accent1">
                    <a:lumMod val="60000"/>
                  </a:schemeClr>
                </a:fgClr>
                <a:bgClr>
                  <a:schemeClr val="accent1">
                    <a:lumMod val="60000"/>
                    <a:lumMod val="20000"/>
                    <a:lumOff val="80000"/>
                  </a:schemeClr>
                </a:bgClr>
              </a:pattFill>
              <a:ln w="19050">
                <a:solidFill>
                  <a:schemeClr val="lt1"/>
                </a:solidFill>
              </a:ln>
              <a:effectLst>
                <a:innerShdw blurRad="114300">
                  <a:schemeClr val="accent1">
                    <a:lumMod val="60000"/>
                  </a:schemeClr>
                </a:innerShdw>
              </a:effectLst>
            </c:spPr>
            <c:extLst>
              <c:ext xmlns:c16="http://schemas.microsoft.com/office/drawing/2014/chart" uri="{C3380CC4-5D6E-409C-BE32-E72D297353CC}">
                <c16:uniqueId val="{00000009-7BB3-4649-AF2E-0E8C8E8D370D}"/>
              </c:ext>
            </c:extLst>
          </c:dPt>
          <c:dLbls>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'Joint Portfolio'!$AC$2:$AC$8</c:f>
              <c:strCache>
                <c:ptCount val="7"/>
                <c:pt idx="0">
                  <c:v>Nasdaq Select</c:v>
                </c:pt>
                <c:pt idx="1">
                  <c:v>US Niche ETFs</c:v>
                </c:pt>
                <c:pt idx="2">
                  <c:v>IOZ</c:v>
                </c:pt>
                <c:pt idx="3">
                  <c:v>VEU</c:v>
                </c:pt>
                <c:pt idx="4">
                  <c:v>VDHG</c:v>
                </c:pt>
                <c:pt idx="5">
                  <c:v>VHY</c:v>
                </c:pt>
                <c:pt idx="6">
                  <c:v>ETHI</c:v>
                </c:pt>
              </c:strCache>
            </c:strRef>
          </c:cat>
          <c:val>
            <c:numRef>
              <c:f>'Joint Portfolio'!$AE$2:$AE$8</c:f>
              <c:numCache>
                <c:formatCode>General</c:formatCode>
                <c:ptCount val="7"/>
                <c:pt idx="0">
                  <c:v>9221.7099999999991</c:v>
                </c:pt>
                <c:pt idx="1">
                  <c:v>1098.42</c:v>
                </c:pt>
                <c:pt idx="2">
                  <c:v>2348.25</c:v>
                </c:pt>
                <c:pt idx="3">
                  <c:v>1292.0999999999999</c:v>
                </c:pt>
                <c:pt idx="4">
                  <c:v>2471.6</c:v>
                </c:pt>
                <c:pt idx="5">
                  <c:v>2287.56</c:v>
                </c:pt>
                <c:pt idx="6">
                  <c:v>3765</c:v>
                </c:pt>
              </c:numCache>
            </c:numRef>
          </c:val>
          <c:extLst>
            <c:ext xmlns:c16="http://schemas.microsoft.com/office/drawing/2014/chart" uri="{C3380CC4-5D6E-409C-BE32-E72D297353CC}">
              <c16:uniqueId val="{00000002-7BB3-4649-AF2E-0E8C8E8D370D}"/>
            </c:ext>
          </c:extLst>
        </c:ser>
        <c:dLbls>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pieChart>
        <c:varyColors val="1"/>
        <c:ser>
          <c:idx val="0"/>
          <c:order val="0"/>
          <c:tx>
            <c:strRef>
              <c:f>'Salary &amp; Spend'!$Q$1</c:f>
              <c:strCache>
                <c:ptCount val="1"/>
                <c:pt idx="0">
                  <c:v>Salary Breakdown</c:v>
                </c:pt>
              </c:strCache>
            </c:strRef>
          </c:tx>
          <c:dPt>
            <c:idx val="0"/>
            <c:bubble3D val="0"/>
            <c:spPr>
              <a:pattFill prst="ltUpDiag">
                <a:fgClr>
                  <a:schemeClr val="accent1"/>
                </a:fgClr>
                <a:bgClr>
                  <a:schemeClr val="accent1">
                    <a:lumMod val="20000"/>
                    <a:lumOff val="80000"/>
                  </a:schemeClr>
                </a:bgClr>
              </a:pattFill>
              <a:ln w="19050">
                <a:solidFill>
                  <a:schemeClr val="lt1"/>
                </a:solidFill>
              </a:ln>
              <a:effectLst>
                <a:innerShdw blurRad="114300">
                  <a:schemeClr val="accent1"/>
                </a:innerShdw>
              </a:effectLst>
            </c:spPr>
            <c:extLst>
              <c:ext xmlns:c16="http://schemas.microsoft.com/office/drawing/2014/chart" uri="{C3380CC4-5D6E-409C-BE32-E72D297353CC}">
                <c16:uniqueId val="{00000001-DB0D-44E4-8D06-96DAB5E782E9}"/>
              </c:ext>
            </c:extLst>
          </c:dPt>
          <c:dPt>
            <c:idx val="1"/>
            <c:bubble3D val="0"/>
            <c:spPr>
              <a:pattFill prst="ltUpDiag">
                <a:fgClr>
                  <a:schemeClr val="accent2"/>
                </a:fgClr>
                <a:bgClr>
                  <a:schemeClr val="accent2">
                    <a:lumMod val="20000"/>
                    <a:lumOff val="80000"/>
                  </a:schemeClr>
                </a:bgClr>
              </a:pattFill>
              <a:ln w="19050">
                <a:solidFill>
                  <a:schemeClr val="lt1"/>
                </a:solidFill>
              </a:ln>
              <a:effectLst>
                <a:innerShdw blurRad="114300">
                  <a:schemeClr val="accent2"/>
                </a:innerShdw>
              </a:effectLst>
            </c:spPr>
            <c:extLst>
              <c:ext xmlns:c16="http://schemas.microsoft.com/office/drawing/2014/chart" uri="{C3380CC4-5D6E-409C-BE32-E72D297353CC}">
                <c16:uniqueId val="{00000002-FE84-4736-9E83-92761A427E82}"/>
              </c:ext>
            </c:extLst>
          </c:dPt>
          <c:dPt>
            <c:idx val="2"/>
            <c:bubble3D val="0"/>
            <c:spPr>
              <a:pattFill prst="ltUpDiag">
                <a:fgClr>
                  <a:schemeClr val="accent3"/>
                </a:fgClr>
                <a:bgClr>
                  <a:schemeClr val="accent3">
                    <a:lumMod val="20000"/>
                    <a:lumOff val="80000"/>
                  </a:schemeClr>
                </a:bgClr>
              </a:pattFill>
              <a:ln w="19050">
                <a:solidFill>
                  <a:schemeClr val="lt1"/>
                </a:solidFill>
              </a:ln>
              <a:effectLst>
                <a:innerShdw blurRad="114300">
                  <a:schemeClr val="accent3"/>
                </a:innerShdw>
              </a:effectLst>
            </c:spPr>
            <c:extLst>
              <c:ext xmlns:c16="http://schemas.microsoft.com/office/drawing/2014/chart" uri="{C3380CC4-5D6E-409C-BE32-E72D297353CC}">
                <c16:uniqueId val="{00000005-DB0D-44E4-8D06-96DAB5E782E9}"/>
              </c:ext>
            </c:extLst>
          </c:dPt>
          <c:dPt>
            <c:idx val="3"/>
            <c:bubble3D val="0"/>
            <c:spPr>
              <a:pattFill prst="ltUpDiag">
                <a:fgClr>
                  <a:schemeClr val="accent4"/>
                </a:fgClr>
                <a:bgClr>
                  <a:schemeClr val="accent4">
                    <a:lumMod val="20000"/>
                    <a:lumOff val="80000"/>
                  </a:schemeClr>
                </a:bgClr>
              </a:pattFill>
              <a:ln w="19050">
                <a:solidFill>
                  <a:schemeClr val="lt1"/>
                </a:solidFill>
              </a:ln>
              <a:effectLst>
                <a:innerShdw blurRad="114300">
                  <a:schemeClr val="accent4"/>
                </a:innerShdw>
              </a:effectLst>
            </c:spPr>
            <c:extLst>
              <c:ext xmlns:c16="http://schemas.microsoft.com/office/drawing/2014/chart" uri="{C3380CC4-5D6E-409C-BE32-E72D297353CC}">
                <c16:uniqueId val="{00000007-DB0D-44E4-8D06-96DAB5E782E9}"/>
              </c:ext>
            </c:extLst>
          </c:dPt>
          <c:dPt>
            <c:idx val="4"/>
            <c:bubble3D val="0"/>
            <c:spPr>
              <a:pattFill prst="ltUpDiag">
                <a:fgClr>
                  <a:schemeClr val="accent5"/>
                </a:fgClr>
                <a:bgClr>
                  <a:schemeClr val="accent5">
                    <a:lumMod val="20000"/>
                    <a:lumOff val="80000"/>
                  </a:schemeClr>
                </a:bgClr>
              </a:pattFill>
              <a:ln w="19050">
                <a:solidFill>
                  <a:schemeClr val="lt1"/>
                </a:solidFill>
              </a:ln>
              <a:effectLst>
                <a:innerShdw blurRad="114300">
                  <a:schemeClr val="accent5"/>
                </a:innerShdw>
              </a:effectLst>
            </c:spPr>
            <c:extLst>
              <c:ext xmlns:c16="http://schemas.microsoft.com/office/drawing/2014/chart" uri="{C3380CC4-5D6E-409C-BE32-E72D297353CC}">
                <c16:uniqueId val="{00000009-DB0D-44E4-8D06-96DAB5E782E9}"/>
              </c:ext>
            </c:extLst>
          </c:dPt>
          <c:dPt>
            <c:idx val="5"/>
            <c:bubble3D val="0"/>
            <c:spPr>
              <a:pattFill prst="ltUpDiag">
                <a:fgClr>
                  <a:schemeClr val="accent6"/>
                </a:fgClr>
                <a:bgClr>
                  <a:schemeClr val="accent6">
                    <a:lumMod val="20000"/>
                    <a:lumOff val="80000"/>
                  </a:schemeClr>
                </a:bgClr>
              </a:pattFill>
              <a:ln w="19050">
                <a:solidFill>
                  <a:schemeClr val="lt1"/>
                </a:solidFill>
              </a:ln>
              <a:effectLst>
                <a:innerShdw blurRad="114300">
                  <a:schemeClr val="accent6"/>
                </a:innerShdw>
              </a:effectLst>
            </c:spPr>
            <c:extLst>
              <c:ext xmlns:c16="http://schemas.microsoft.com/office/drawing/2014/chart" uri="{C3380CC4-5D6E-409C-BE32-E72D297353CC}">
                <c16:uniqueId val="{0000000B-DB0D-44E4-8D06-96DAB5E782E9}"/>
              </c:ext>
            </c:extLst>
          </c:dPt>
          <c:dLbls>
            <c:dLbl>
              <c:idx val="1"/>
              <c:layout>
                <c:manualLayout>
                  <c:x val="1.9444444444444344E-2"/>
                  <c:y val="-2.642007926023761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FE84-4736-9E83-92761A427E8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'Salary &amp; Spend'!$Q$2:$Q$7</c:f>
              <c:strCache>
                <c:ptCount val="6"/>
                <c:pt idx="0">
                  <c:v>Rent</c:v>
                </c:pt>
                <c:pt idx="1">
                  <c:v>Essential Bills</c:v>
                </c:pt>
                <c:pt idx="2">
                  <c:v>Non-Essential Bills</c:v>
                </c:pt>
                <c:pt idx="3">
                  <c:v>Saving</c:v>
                </c:pt>
                <c:pt idx="4">
                  <c:v>Investing</c:v>
                </c:pt>
                <c:pt idx="5">
                  <c:v>Play Money</c:v>
                </c:pt>
              </c:strCache>
            </c:strRef>
          </c:cat>
          <c:val>
            <c:numRef>
              <c:f>'Salary &amp; Spend'!$R$2:$R$7</c:f>
              <c:numCache>
                <c:formatCode>_("$"* #,##0.00_);_("$"* \(#,##0.00\);_("$"* "-"??_);_(@_)</c:formatCode>
                <c:ptCount val="6"/>
                <c:pt idx="0">
                  <c:v>1080</c:v>
                </c:pt>
                <c:pt idx="1">
                  <c:v>222.66666666666666</c:v>
                </c:pt>
                <c:pt idx="2">
                  <c:v>392</c:v>
                </c:pt>
                <c:pt idx="3">
                  <c:v>349.26099999999997</c:v>
                </c:pt>
                <c:pt idx="4">
                  <c:v>349.26099999999997</c:v>
                </c:pt>
                <c:pt idx="5">
                  <c:v>996.14466666666681</c:v>
                </c:pt>
              </c:numCache>
            </c:numRef>
          </c:val>
          <c:extLst>
            <c:ext xmlns:c16="http://schemas.microsoft.com/office/drawing/2014/chart" uri="{C3380CC4-5D6E-409C-BE32-E72D297353CC}">
              <c16:uniqueId val="{00000000-FE84-4736-9E83-92761A427E82}"/>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a:t>Holding</a:t>
            </a:r>
            <a:r>
              <a:rPr lang="en-AU" baseline="0"/>
              <a:t> Breakdown</a:t>
            </a:r>
          </a:p>
          <a:p>
            <a:pPr>
              <a:defRPr/>
            </a:pPr>
            <a:endParaRPr lang="en-A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'Joint Portfolio'!$V$1</c:f>
              <c:strCache>
                <c:ptCount val="1"/>
                <c:pt idx="0">
                  <c:v>Market Value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A3E-4305-B067-7233DB9509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A3E-4305-B067-7233DB95096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A3E-4305-B067-7233DB95096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A3E-4305-B067-7233DB95096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A3E-4305-B067-7233DB95096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A3E-4305-B067-7233DB95096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8A3E-4305-B067-7233DB95096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8A3E-4305-B067-7233DB95096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8A3E-4305-B067-7233DB95096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8A3E-4305-B067-7233DB95096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1CB3-44D7-B7AE-9844A01BA01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1CB3-44D7-B7AE-9844A01BA01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1CB3-44D7-B7AE-9844A01BA01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1CB3-44D7-B7AE-9844A01BA01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[0]!CodeLabel</c:f>
              <c:strCache>
                <c:ptCount val="14"/>
                <c:pt idx="0">
                  <c:v>AAPL</c:v>
                </c:pt>
                <c:pt idx="1">
                  <c:v>AMZN</c:v>
                </c:pt>
                <c:pt idx="2">
                  <c:v>ARKG</c:v>
                </c:pt>
                <c:pt idx="3">
                  <c:v>ARKK</c:v>
                </c:pt>
                <c:pt idx="4">
                  <c:v>GOOGL</c:v>
                </c:pt>
                <c:pt idx="5">
                  <c:v>ICLN</c:v>
                </c:pt>
                <c:pt idx="6">
                  <c:v>MSFT</c:v>
                </c:pt>
                <c:pt idx="7">
                  <c:v>SQ</c:v>
                </c:pt>
                <c:pt idx="8">
                  <c:v>XLF</c:v>
                </c:pt>
                <c:pt idx="9">
                  <c:v>IOZ</c:v>
                </c:pt>
                <c:pt idx="10">
                  <c:v>VEU</c:v>
                </c:pt>
                <c:pt idx="11">
                  <c:v>VDHG</c:v>
                </c:pt>
                <c:pt idx="12">
                  <c:v>VHY</c:v>
                </c:pt>
                <c:pt idx="13">
                  <c:v>ETHI</c:v>
                </c:pt>
              </c:strCache>
            </c:strRef>
          </c:cat>
          <c:val>
            <c:numRef>
              <c:f>[0]!MarketValLabel</c:f>
              <c:numCache>
                <c:formatCode>General</c:formatCode>
                <c:ptCount val="14"/>
                <c:pt idx="0">
                  <c:v>1491</c:v>
                </c:pt>
                <c:pt idx="1">
                  <c:v>3293.97</c:v>
                </c:pt>
                <c:pt idx="2">
                  <c:v>246.42000000000002</c:v>
                </c:pt>
                <c:pt idx="3">
                  <c:v>240.2</c:v>
                </c:pt>
                <c:pt idx="4">
                  <c:v>2754.55</c:v>
                </c:pt>
                <c:pt idx="5">
                  <c:v>226</c:v>
                </c:pt>
                <c:pt idx="6">
                  <c:v>878.55000000000007</c:v>
                </c:pt>
                <c:pt idx="7">
                  <c:v>803.64</c:v>
                </c:pt>
                <c:pt idx="8">
                  <c:v>385.79999999999995</c:v>
                </c:pt>
                <c:pt idx="9">
                  <c:v>2348.25</c:v>
                </c:pt>
                <c:pt idx="10">
                  <c:v>1292.0999999999999</c:v>
                </c:pt>
                <c:pt idx="11">
                  <c:v>2471.6</c:v>
                </c:pt>
                <c:pt idx="12">
                  <c:v>2287.56</c:v>
                </c:pt>
                <c:pt idx="13">
                  <c:v>3765</c:v>
                </c:pt>
              </c:numCache>
            </c:numRef>
          </c:val>
          <c:extLst>
            <c:ext xmlns:c16="http://schemas.microsoft.com/office/drawing/2014/chart" uri="{C3380CC4-5D6E-409C-BE32-E72D297353CC}">
              <c16:uniqueId val="{00000000-E8C1-4687-932E-2F79D3317DB2}"/>
            </c:ext>
          </c:extLst>
        </c:ser>
        <c:dLbls>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barChart>
        <c:barDir val="col"/>
        <c:grouping val="clustered"/>
        <c:varyColors val="0"/>
        <c:ser>
          <c:idx val="0"/>
          <c:order val="0"/>
          <c:tx>
            <c:strRef>
              <c:f>'Joint Portfolio'!$Z$1</c:f>
              <c:strCache>
                <c:ptCount val="1"/>
                <c:pt idx="0">
                  <c:v>P/L Percentage</c:v>
                </c:pt>
              </c:strCache>
            </c:strRef>
          </c:tx>
          <c:spPr>
            <a:pattFill prst="ltUpDiag">
              <a:fgClr>
                <a:schemeClr val="accent1"/>
              </a:fgClr>
              <a:bgClr>
                <a:schemeClr val="lt1"/>
              </a:bgClr>
            </a:pattFill>
            <a:ln>
              <a:noFill/>
            </a:ln>
            <a:effectLst/>
          </c:spPr>
          <c:invertIfNegative val="0"/>
          <c:cat>
            <c:strRef>
              <c:f>[0]!CodeLabel</c:f>
              <c:strCache>
                <c:ptCount val="14"/>
                <c:pt idx="0">
                  <c:v>AAPL</c:v>
                </c:pt>
                <c:pt idx="1">
                  <c:v>AMZN</c:v>
                </c:pt>
                <c:pt idx="2">
                  <c:v>ARKG</c:v>
                </c:pt>
                <c:pt idx="3">
                  <c:v>ARKK</c:v>
                </c:pt>
                <c:pt idx="4">
                  <c:v>GOOGL</c:v>
                </c:pt>
                <c:pt idx="5">
                  <c:v>ICLN</c:v>
                </c:pt>
                <c:pt idx="6">
                  <c:v>MSFT</c:v>
                </c:pt>
                <c:pt idx="7">
                  <c:v>SQ</c:v>
                </c:pt>
                <c:pt idx="8">
                  <c:v>XLF</c:v>
                </c:pt>
                <c:pt idx="9">
                  <c:v>IOZ</c:v>
                </c:pt>
                <c:pt idx="10">
                  <c:v>VEU</c:v>
                </c:pt>
                <c:pt idx="11">
                  <c:v>VDHG</c:v>
                </c:pt>
                <c:pt idx="12">
                  <c:v>VHY</c:v>
                </c:pt>
                <c:pt idx="13">
                  <c:v>ETHI</c:v>
                </c:pt>
              </c:strCache>
            </c:strRef>
          </c:cat>
          <c:val>
            <c:numRef>
              <c:f>[0]!PercentProfLabel</c:f>
              <c:numCache>
                <c:formatCode>0.00%</c:formatCode>
                <c:ptCount val="14"/>
                <c:pt idx="0">
                  <c:v>2.0605716063936597</c:v>
                </c:pt>
                <c:pt idx="1">
                  <c:v>6.1744639032314135</c:v>
                </c:pt>
                <c:pt idx="2">
                  <c:v>0.75658451878908162</c:v>
                </c:pt>
                <c:pt idx="3">
                  <c:v>0.62293130311519007</c:v>
                </c:pt>
                <c:pt idx="4">
                  <c:v>5.3424044149425223</c:v>
                </c:pt>
                <c:pt idx="5">
                  <c:v>0.33272397576329393</c:v>
                </c:pt>
                <c:pt idx="6">
                  <c:v>1.1689797018754624</c:v>
                </c:pt>
                <c:pt idx="7">
                  <c:v>1.6732192093639178</c:v>
                </c:pt>
                <c:pt idx="8">
                  <c:v>0.32956542716338677</c:v>
                </c:pt>
                <c:pt idx="9">
                  <c:v>0.40784062159018691</c:v>
                </c:pt>
                <c:pt idx="10">
                  <c:v>0.27501480165778563</c:v>
                </c:pt>
                <c:pt idx="11">
                  <c:v>0.24599849770370472</c:v>
                </c:pt>
                <c:pt idx="12">
                  <c:v>0.13554728220402082</c:v>
                </c:pt>
                <c:pt idx="13">
                  <c:v>0.16058630415684091</c:v>
                </c:pt>
              </c:numCache>
            </c:numRef>
          </c:val>
          <c:extLst>
            <c:ext xmlns:c16="http://schemas.microsoft.com/office/drawing/2014/chart" uri="{C3380CC4-5D6E-409C-BE32-E72D297353CC}">
              <c16:uniqueId val="{00000000-1335-4C20-8332-9F19E4E4580E}"/>
            </c:ext>
          </c:extLst>
        </c:ser>
        <c:dLbls>
          <c:showLegendKey val="0"/>
          <c:showVal val="0"/>
          <c:showCatName val="0"/>
          <c:showSerName val="0"/>
          <c:showPercent val="0"/>
          <c:showBubbleSize val="0"/>
        </c:dLbls>
        <c:gapWidth val="269"/>
        <c:overlap val="-20"/>
        <c:axId val="893590456"/>
        <c:axId val="893589472"/>
      </c:barChart>
      <c:catAx>
        <c:axId val="893590456"/>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low"/>
        <c:spPr>
          <a:noFill/>
          <a:ln w="3175" cap="flat" cmpd="sng" algn="ctr">
            <a:solidFill>
              <a:schemeClr val="accent1">
                <a:lumMod val="60000"/>
                <a:lumOff val="40000"/>
              </a:schemeClr>
            </a:solidFill>
            <a:round/>
          </a:ln>
          <a:effectLst/>
        </c:spPr>
        <c:txPr>
          <a:bodyPr rot="-2700000" spcFirstLastPara="1" vertOverflow="ellipsis"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893589472"/>
        <c:crosses val="autoZero"/>
        <c:auto val="1"/>
        <c:lblAlgn val="ctr"/>
        <c:lblOffset val="100"/>
        <c:noMultiLvlLbl val="0"/>
      </c:catAx>
      <c:valAx>
        <c:axId val="893589472"/>
        <c:scaling>
          <c:orientation val="minMax"/>
        </c:scaling>
        <c:delete val="0"/>
        <c:axPos val="l"/>
        <c:majorGridlines>
          <c:spPr>
            <a:ln w="9525" cap="flat" cmpd="sng" algn="ctr">
              <a:solidFill>
                <a:schemeClr val="lt1">
                  <a:alpha val="2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93590456"/>
        <c:crosses val="autoZero"/>
        <c:crossBetween val="between"/>
      </c:valAx>
      <c:spPr>
        <a:noFill/>
        <a:ln>
          <a:noFill/>
        </a:ln>
        <a:effectLst/>
      </c:spPr>
    </c:plotArea>
    <c:plotVisOnly val="1"/>
    <c:dispBlanksAs val="gap"/>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GB"/>
              <a:t>Superfund Investment Portfolio</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lotArea>
      <c:layout/>
      <c:pieChart>
        <c:varyColors val="1"/>
        <c:ser>
          <c:idx val="0"/>
          <c:order val="0"/>
          <c:tx>
            <c:strRef>
              <c:f>'Super Investment'!$D$11</c:f>
              <c:strCache>
                <c:ptCount val="1"/>
                <c:pt idx="0">
                  <c:v>Value</c:v>
                </c:pt>
              </c:strCache>
            </c:strRef>
          </c:tx>
          <c:dPt>
            <c:idx val="0"/>
            <c:bubble3D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extLst>
              <c:ext xmlns:c16="http://schemas.microsoft.com/office/drawing/2014/chart" uri="{C3380CC4-5D6E-409C-BE32-E72D297353CC}">
                <c16:uniqueId val="{00000001-3C1A-4FAA-86A7-9A3248964621}"/>
              </c:ext>
            </c:extLst>
          </c:dPt>
          <c:dPt>
            <c:idx val="1"/>
            <c:bubble3D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extLst>
              <c:ext xmlns:c16="http://schemas.microsoft.com/office/drawing/2014/chart" uri="{C3380CC4-5D6E-409C-BE32-E72D297353CC}">
                <c16:uniqueId val="{00000003-3C1A-4FAA-86A7-9A3248964621}"/>
              </c:ext>
            </c:extLst>
          </c:dPt>
          <c:dPt>
            <c:idx val="2"/>
            <c:bubble3D val="0"/>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extLst>
              <c:ext xmlns:c16="http://schemas.microsoft.com/office/drawing/2014/chart" uri="{C3380CC4-5D6E-409C-BE32-E72D297353CC}">
                <c16:uniqueId val="{00000005-3C1A-4FAA-86A7-9A3248964621}"/>
              </c:ext>
            </c:extLst>
          </c:dPt>
          <c:dPt>
            <c:idx val="3"/>
            <c:bubble3D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extLst>
              <c:ext xmlns:c16="http://schemas.microsoft.com/office/drawing/2014/chart" uri="{C3380CC4-5D6E-409C-BE32-E72D297353CC}">
                <c16:uniqueId val="{00000007-3C1A-4FAA-86A7-9A3248964621}"/>
              </c:ext>
            </c:extLst>
          </c:dPt>
          <c:dPt>
            <c:idx val="4"/>
            <c:bubble3D val="0"/>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extLst>
              <c:ext xmlns:c16="http://schemas.microsoft.com/office/drawing/2014/chart" uri="{C3380CC4-5D6E-409C-BE32-E72D297353CC}">
                <c16:uniqueId val="{00000009-3C1A-4FAA-86A7-9A3248964621}"/>
              </c:ext>
            </c:extLst>
          </c:dPt>
          <c:dPt>
            <c:idx val="5"/>
            <c:bubble3D val="0"/>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9525" cap="flat" cmpd="sng" algn="ctr">
                <a:solidFill>
                  <a:schemeClr val="accent6">
                    <a:shade val="95000"/>
                  </a:schemeClr>
                </a:solidFill>
                <a:round/>
              </a:ln>
              <a:effectLst/>
            </c:spPr>
            <c:extLst>
              <c:ext xmlns:c16="http://schemas.microsoft.com/office/drawing/2014/chart" uri="{C3380CC4-5D6E-409C-BE32-E72D297353CC}">
                <c16:uniqueId val="{0000000B-3C1A-4FAA-86A7-9A324896462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'Super Investment'!$A$12:$A$17</c:f>
              <c:strCache>
                <c:ptCount val="6"/>
                <c:pt idx="0">
                  <c:v>Pendal Sustainable Balanced</c:v>
                </c:pt>
                <c:pt idx="1">
                  <c:v>Active Australian Shares</c:v>
                </c:pt>
                <c:pt idx="2">
                  <c:v>Active International Shares</c:v>
                </c:pt>
                <c:pt idx="3">
                  <c:v>Pendal Aus Property</c:v>
                </c:pt>
                <c:pt idx="4">
                  <c:v>Pendal Int Property</c:v>
                </c:pt>
                <c:pt idx="5">
                  <c:v>Franklin Multisector Bonds</c:v>
                </c:pt>
              </c:strCache>
            </c:strRef>
          </c:cat>
          <c:val>
            <c:numRef>
              <c:f>'Super Investment'!$D$12:$D$17</c:f>
              <c:numCache>
                <c:formatCode>_("$"* #,##0.00_);_("$"* \(#,##0.00\);_("$"* "-"??_);_(@_)</c:formatCode>
                <c:ptCount val="6"/>
                <c:pt idx="0">
                  <c:v>3000</c:v>
                </c:pt>
                <c:pt idx="1">
                  <c:v>4500</c:v>
                </c:pt>
                <c:pt idx="2">
                  <c:v>4500</c:v>
                </c:pt>
                <c:pt idx="3">
                  <c:v>750</c:v>
                </c:pt>
                <c:pt idx="4">
                  <c:v>750</c:v>
                </c:pt>
                <c:pt idx="5">
                  <c:v>1500</c:v>
                </c:pt>
              </c:numCache>
            </c:numRef>
          </c:val>
          <c:extLst>
            <c:ext xmlns:c16="http://schemas.microsoft.com/office/drawing/2014/chart" uri="{C3380CC4-5D6E-409C-BE32-E72D297353CC}">
              <c16:uniqueId val="{00000000-E008-4740-A9DA-F36926362411}"/>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2">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
  <cs:dataPoint3D>
    <cs:lnRef idx="0"/>
    <cs:fillRef idx="0">
      <cs:styleClr val="auto"/>
    </cs:fillRef>
    <cs:effectRef idx="0"/>
    <cs:fontRef idx="minor">
      <a:schemeClr val="dk1"/>
    </cs:fontRef>
    <cs:spPr>
      <a:pattFill prst="ltUpDiag">
        <a:fgClr>
          <a:schemeClr val="phClr"/>
        </a:fgClr>
        <a:bgClr>
          <a:schemeClr val="phClr">
            <a:lumMod val="20000"/>
            <a:lumOff val="80000"/>
          </a:schemeClr>
        </a:bgClr>
      </a:pattFill>
      <a:ln w="19050">
        <a:solidFill>
          <a:schemeClr val="lt1"/>
        </a:solidFill>
      </a:ln>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4">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fillRef idx="2">
      <cs:styleClr val="auto"/>
    </cs:fillRef>
    <cs:effectRef idx="1"/>
    <cs:fontRef idx="minor">
      <a:schemeClr val="dk1"/>
    </cs:fontRef>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495300</xdr:colOff>
          <xdr:row>21</xdr:row>
          <xdr:rowOff>30480</xdr:rowOff>
        </xdr:from>
        <xdr:to>
          <xdr:col>1</xdr:col>
          <xdr:colOff>38100</xdr:colOff>
          <xdr:row>24</xdr:row>
          <xdr:rowOff>68580</xdr:rowOff>
        </xdr:to>
        <xdr:sp macro="" textlink="">
          <xdr:nvSpPr>
            <xdr:cNvPr id="21505" name="CommandButton1" hidden="1">
              <a:extLst>
                <a:ext uri="{63B3BB69-23CF-44E3-9099-C40C66FF867C}">
                  <a14:compatExt spid="_x0000_s21505"/>
                </a:ext>
                <a:ext uri="{FF2B5EF4-FFF2-40B4-BE49-F238E27FC236}">
                  <a16:creationId xmlns:a16="http://schemas.microsoft.com/office/drawing/2014/main" id="{00000000-0008-0000-0000-000001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525780</xdr:colOff>
          <xdr:row>21</xdr:row>
          <xdr:rowOff>22860</xdr:rowOff>
        </xdr:from>
        <xdr:to>
          <xdr:col>2</xdr:col>
          <xdr:colOff>419100</xdr:colOff>
          <xdr:row>24</xdr:row>
          <xdr:rowOff>91440</xdr:rowOff>
        </xdr:to>
        <xdr:sp macro="" textlink="">
          <xdr:nvSpPr>
            <xdr:cNvPr id="21506" name="CommandButton2" hidden="1">
              <a:extLst>
                <a:ext uri="{63B3BB69-23CF-44E3-9099-C40C66FF867C}">
                  <a14:compatExt spid="_x0000_s21506"/>
                </a:ext>
                <a:ext uri="{FF2B5EF4-FFF2-40B4-BE49-F238E27FC236}">
                  <a16:creationId xmlns:a16="http://schemas.microsoft.com/office/drawing/2014/main" id="{00000000-0008-0000-00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365760</xdr:colOff>
      <xdr:row>1</xdr:row>
      <xdr:rowOff>3810</xdr:rowOff>
    </xdr:from>
    <xdr:to>
      <xdr:col>12</xdr:col>
      <xdr:colOff>549910</xdr:colOff>
      <xdr:row>13</xdr:row>
      <xdr:rowOff>7620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114300</xdr:colOff>
      <xdr:row>1</xdr:row>
      <xdr:rowOff>3810</xdr:rowOff>
    </xdr:from>
    <xdr:to>
      <xdr:col>19</xdr:col>
      <xdr:colOff>312420</xdr:colOff>
      <xdr:row>13</xdr:row>
      <xdr:rowOff>16002</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358140</xdr:colOff>
      <xdr:row>13</xdr:row>
      <xdr:rowOff>49530</xdr:rowOff>
    </xdr:from>
    <xdr:to>
      <xdr:col>12</xdr:col>
      <xdr:colOff>502920</xdr:colOff>
      <xdr:row>28</xdr:row>
      <xdr:rowOff>49530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13</xdr:row>
      <xdr:rowOff>57150</xdr:rowOff>
    </xdr:from>
    <xdr:to>
      <xdr:col>19</xdr:col>
      <xdr:colOff>396240</xdr:colOff>
      <xdr:row>27</xdr:row>
      <xdr:rowOff>160020</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365760</xdr:colOff>
          <xdr:row>3</xdr:row>
          <xdr:rowOff>106680</xdr:rowOff>
        </xdr:from>
        <xdr:to>
          <xdr:col>7</xdr:col>
          <xdr:colOff>480060</xdr:colOff>
          <xdr:row>6</xdr:row>
          <xdr:rowOff>160020</xdr:rowOff>
        </xdr:to>
        <xdr:sp macro="" textlink="">
          <xdr:nvSpPr>
            <xdr:cNvPr id="17409" name="CommandButton1" hidden="1">
              <a:extLst>
                <a:ext uri="{63B3BB69-23CF-44E3-9099-C40C66FF867C}">
                  <a14:compatExt spid="_x0000_s17409"/>
                </a:ext>
                <a:ext uri="{FF2B5EF4-FFF2-40B4-BE49-F238E27FC236}">
                  <a16:creationId xmlns:a16="http://schemas.microsoft.com/office/drawing/2014/main" id="{00000000-0008-0000-02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3</xdr:row>
          <xdr:rowOff>121920</xdr:rowOff>
        </xdr:from>
        <xdr:to>
          <xdr:col>7</xdr:col>
          <xdr:colOff>121920</xdr:colOff>
          <xdr:row>7</xdr:row>
          <xdr:rowOff>83820</xdr:rowOff>
        </xdr:to>
        <xdr:sp macro="" textlink="">
          <xdr:nvSpPr>
            <xdr:cNvPr id="13313" name="CommandButton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14</xdr:col>
      <xdr:colOff>158750</xdr:colOff>
      <xdr:row>1</xdr:row>
      <xdr:rowOff>85090</xdr:rowOff>
    </xdr:from>
    <xdr:to>
      <xdr:col>21</xdr:col>
      <xdr:colOff>514350</xdr:colOff>
      <xdr:row>20</xdr:row>
      <xdr:rowOff>181610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228600</xdr:colOff>
          <xdr:row>9</xdr:row>
          <xdr:rowOff>60960</xdr:rowOff>
        </xdr:from>
        <xdr:to>
          <xdr:col>4</xdr:col>
          <xdr:colOff>327660</xdr:colOff>
          <xdr:row>12</xdr:row>
          <xdr:rowOff>175260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251460</xdr:colOff>
          <xdr:row>13</xdr:row>
          <xdr:rowOff>160020</xdr:rowOff>
        </xdr:from>
        <xdr:to>
          <xdr:col>4</xdr:col>
          <xdr:colOff>388620</xdr:colOff>
          <xdr:row>17</xdr:row>
          <xdr:rowOff>22860</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412431</xdr:colOff>
      <xdr:row>1</xdr:row>
      <xdr:rowOff>80961</xdr:rowOff>
    </xdr:from>
    <xdr:to>
      <xdr:col>13</xdr:col>
      <xdr:colOff>607694</xdr:colOff>
      <xdr:row>20</xdr:row>
      <xdr:rowOff>142874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228600</xdr:colOff>
          <xdr:row>18</xdr:row>
          <xdr:rowOff>60960</xdr:rowOff>
        </xdr:from>
        <xdr:to>
          <xdr:col>4</xdr:col>
          <xdr:colOff>388620</xdr:colOff>
          <xdr:row>21</xdr:row>
          <xdr:rowOff>167640</xdr:rowOff>
        </xdr:to>
        <xdr:sp macro="" textlink="">
          <xdr:nvSpPr>
            <xdr:cNvPr id="3075" name="CommandButton3" hidden="1">
              <a:extLst>
                <a:ext uri="{63B3BB69-23CF-44E3-9099-C40C66FF867C}">
                  <a14:compatExt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137160</xdr:colOff>
          <xdr:row>22</xdr:row>
          <xdr:rowOff>7620</xdr:rowOff>
        </xdr:from>
        <xdr:to>
          <xdr:col>4</xdr:col>
          <xdr:colOff>510540</xdr:colOff>
          <xdr:row>25</xdr:row>
          <xdr:rowOff>114300</xdr:rowOff>
        </xdr:to>
        <xdr:sp macro="" textlink="">
          <xdr:nvSpPr>
            <xdr:cNvPr id="32769" name="TransferButton" hidden="1">
              <a:extLst>
                <a:ext uri="{63B3BB69-23CF-44E3-9099-C40C66FF867C}">
                  <a14:compatExt spid="_x0000_s32769"/>
                </a:ext>
                <a:ext uri="{FF2B5EF4-FFF2-40B4-BE49-F238E27FC236}">
                  <a16:creationId xmlns:a16="http://schemas.microsoft.com/office/drawing/2014/main" id="{00000000-0008-0000-0B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297180</xdr:colOff>
          <xdr:row>13</xdr:row>
          <xdr:rowOff>152400</xdr:rowOff>
        </xdr:from>
        <xdr:to>
          <xdr:col>9</xdr:col>
          <xdr:colOff>22860</xdr:colOff>
          <xdr:row>17</xdr:row>
          <xdr:rowOff>175260</xdr:rowOff>
        </xdr:to>
        <xdr:sp macro="" textlink="">
          <xdr:nvSpPr>
            <xdr:cNvPr id="43009" name="CommandButton1" hidden="1">
              <a:extLst>
                <a:ext uri="{63B3BB69-23CF-44E3-9099-C40C66FF867C}">
                  <a14:compatExt spid="_x0000_s43009"/>
                </a:ext>
                <a:ext uri="{FF2B5EF4-FFF2-40B4-BE49-F238E27FC236}">
                  <a16:creationId xmlns:a16="http://schemas.microsoft.com/office/drawing/2014/main" id="{00000000-0008-0000-0E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266700</xdr:colOff>
          <xdr:row>13</xdr:row>
          <xdr:rowOff>175260</xdr:rowOff>
        </xdr:from>
        <xdr:to>
          <xdr:col>10</xdr:col>
          <xdr:colOff>175260</xdr:colOff>
          <xdr:row>18</xdr:row>
          <xdr:rowOff>7620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E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4</xdr:col>
      <xdr:colOff>207644</xdr:colOff>
      <xdr:row>9</xdr:row>
      <xdr:rowOff>56197</xdr:rowOff>
    </xdr:from>
    <xdr:to>
      <xdr:col>13</xdr:col>
      <xdr:colOff>167957</xdr:colOff>
      <xdr:row>26</xdr:row>
      <xdr:rowOff>148590</xdr:rowOff>
    </xdr:to>
    <xdr:graphicFrame macro="">
      <xdr:nvGraphicFramePr>
        <xdr:cNvPr id="4" name="Chart 3">
          <a:extLst>
            <a:ext uri="{FF2B5EF4-FFF2-40B4-BE49-F238E27FC236}">
              <a16:creationId xmlns:a16="http://schemas.microsoft.com/office/drawing/2014/main" id="{00000000-0008-0000-1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7620</xdr:colOff>
          <xdr:row>2</xdr:row>
          <xdr:rowOff>160020</xdr:rowOff>
        </xdr:from>
        <xdr:to>
          <xdr:col>8</xdr:col>
          <xdr:colOff>114300</xdr:colOff>
          <xdr:row>5</xdr:row>
          <xdr:rowOff>144780</xdr:rowOff>
        </xdr:to>
        <xdr:sp macro="" textlink="">
          <xdr:nvSpPr>
            <xdr:cNvPr id="1025" name="IncreaseSuper" hidden="1">
              <a:extLst>
                <a:ext uri="{63B3BB69-23CF-44E3-9099-C40C66FF867C}">
                  <a14:compatExt spid="_x0000_s1025"/>
                </a:ext>
                <a:ext uri="{FF2B5EF4-FFF2-40B4-BE49-F238E27FC236}">
                  <a16:creationId xmlns:a16="http://schemas.microsoft.com/office/drawing/2014/main" id="{00000000-0008-0000-1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55">
  <rv s="0">
    <v>http://en.wikipedia.org/wiki/Public_domain</v>
    <v>Public domain</v>
  </rv>
  <rv s="0">
    <v>http://nl.wikipedia.org/wiki/Apple_Inc.</v>
    <v>Wikipedia</v>
  </rv>
  <rv s="1">
    <v>0</v>
    <v>1</v>
  </rv>
  <rv s="2">
    <v>6</v>
    <v>https://www.bing.com/th?id=AMMS_5bc8393c85a56e6bb6524ea7b3970bad&amp;qlt=95</v>
    <v>2</v>
    <v>0</v>
    <v>https://www.bing.com/images/search?form=xlimg&amp;q=apple+inc</v>
    <v>Image of APPLE INC.</v>
  </rv>
  <rv s="0">
    <v>https://www.bing.com/financeapi/forcetrigger?t=a1mou2&amp;q=XNAS%3aAAPL&amp;form=skydnc</v>
    <v>Learn more on Bing</v>
  </rv>
  <rv s="3">
    <v>en-US</v>
    <v>a1mou2</v>
    <v>268435456</v>
    <v>1</v>
    <v>Powered by Refinitiv</v>
    <v>0</v>
    <v>APPLE INC. (XNAS:AAPL)</v>
    <v>3</v>
    <v>4</v>
    <v>Finance</v>
    <v>5</v>
    <v>150</v>
    <v>103.1</v>
    <v>1.2024999999999999</v>
    <v>0.21</v>
    <v>-1.2740000000000002E-3</v>
    <v>1.4099999999999998E-3</v>
    <v>-0.19</v>
    <v>USD</v>
    <v>Apple Inc. designs, manufactures and markets smartphones, personal computers, tablets, wearables and accessories, and sells a variety of related services. The Company’s products include iPhone, Mac, iPad, and Wearables, Home and Accessories. iPhone is the Company’s line of smartphones based on its iOS operating system. Mac is the Company’s line of personal computers based on its macOS operating system. iPad is the Company’s line of multi-purpose tablets based on its iPadOS operating system. Wearables, Home and Accessories includes AirPods, Apple TV, Apple Watch, Beats products, HomePod, iPod touch and other Apple-branded and third-party accessories. AirPods are the Company’s wireless headphones that interact with Siri. Apple Watch is the Company’s line of smart watches. Its services include Advertising, AppleCare, Cloud Services, Digital Content and Payment Services. Its customers are primarily in the consumer, small and mid-sized business, education, enterprise and government markets.</v>
    <v>147000</v>
    <v>Nasdaq Stock Market</v>
    <v>XNAS</v>
    <v>XNAS</v>
    <v>1 Apple Park Way, CUPERTINO, CA, 95014-0642 US</v>
    <v>149.4444</v>
    <v>3</v>
    <v>Computers, Phones &amp; Household Electronics</v>
    <v>Stock</v>
    <v>44421.999487916408</v>
    <v>4</v>
    <v>148.27000000000001</v>
    <v>2464648347000</v>
    <v>APPLE INC.</v>
    <v>APPLE INC.</v>
    <v>148.97</v>
    <v>28.5657</v>
    <v>148.88999999999999</v>
    <v>149.1</v>
    <v>148.91</v>
    <v>16530170000</v>
    <v>AAPL</v>
    <v>APPLE INC. (XNAS:AAPL)</v>
    <v>59375009</v>
    <v>83280235</v>
    <v>1977</v>
  </rv>
  <rv s="4">
    <v>5</v>
  </rv>
  <rv s="0">
    <v>https://www.bing.com/financeapi/forcetrigger?t=a1nhlh&amp;q=XNAS%3aAMZN&amp;form=skydnc</v>
    <v>Learn more on Bing</v>
  </rv>
  <rv s="5">
    <v>en-US</v>
    <v>a1nhlh</v>
    <v>268435456</v>
    <v>1</v>
    <v>Powered by Refinitiv</v>
    <v>7</v>
    <v>AMAZON.COM, INC. (XNAS:AMZN)</v>
    <v>8</v>
    <v>9</v>
    <v>Finance</v>
    <v>10</v>
    <v>3773.0781999999999</v>
    <v>2871</v>
    <v>1.1431</v>
    <v>-9.5299999999999994</v>
    <v>-1.3109999999999999E-3</v>
    <v>-2.885E-3</v>
    <v>-4.32</v>
    <v>USD</v>
    <v>Amazon.com, Inc. offers a range of products and services through its Websites. The Company's products include merchandise and content that it purchases for resale from vendors and those offered by third-party sellers. It also manufactures and sells electronic devices, including Kindle, Fire tablet, Fire TV, Echo, Ring, and other devices and it develops and produce media content. It operates through three segments: North America, International and Amazon Web Services (AWS). AWS offers a set of technology services, including compute, storage, database, analytics, and machine learning. In addition, the Company provides services, such as advertising to sellers, vendors, publishers, authors, and others, through programs such as sponsored ads, display, and video advertising. It also offers Amazon Prime, a membership program that includes free shipping, access to streaming of various movies and television (TV) episodes, including Amazon Original content.</v>
    <v>1335000</v>
    <v>Nasdaq Stock Market</v>
    <v>XNAS</v>
    <v>XNAS</v>
    <v>410 Terry Ave N, SEATTLE, WA, 98109-5210 US</v>
    <v>3306.0650000000001</v>
    <v>Diversified Retail</v>
    <v>Stock</v>
    <v>44421.999954907034</v>
    <v>7</v>
    <v>3283</v>
    <v>1668199813785</v>
    <v>AMAZON.COM, INC.</v>
    <v>AMAZON.COM, INC.</v>
    <v>3305.67</v>
    <v>57.573700000000002</v>
    <v>3303.5</v>
    <v>3293.97</v>
    <v>3289.65</v>
    <v>506440500</v>
    <v>AMZN</v>
    <v>AMAZON.COM, INC. (XNAS:AMZN)</v>
    <v>2056699</v>
    <v>3434693</v>
    <v>1996</v>
  </rv>
  <rv s="4">
    <v>8</v>
  </rv>
  <rv s="0">
    <v>https://www.bing.com/financeapi/forcetrigger?t=a1nq3m&amp;q=BATS%3aARKG&amp;form=skydnc</v>
    <v>Learn more on Bing</v>
  </rv>
  <rv s="6">
    <v>en-US</v>
    <v>a1nq3m</v>
    <v>268435456</v>
    <v>1</v>
    <v>Powered by Refinitiv</v>
    <v>11</v>
    <v>ARK Genomic Revolution (BATS:ARKG)</v>
    <v>12</v>
    <v>13</v>
    <v>Finance</v>
    <v>14</v>
    <v>115.15</v>
    <v>52.8</v>
    <v>1.4176</v>
    <v>-1.49</v>
    <v>2.9189999999999997E-3</v>
    <v>-1.7817E-2</v>
    <v>0.24</v>
    <v>USD</v>
    <v>CBOE BZX Exchange</v>
    <v>BATS</v>
    <v>7.4999999999999997E-3</v>
    <v>83.85</v>
    <v>ETF</v>
    <v>44421.999359733592</v>
    <v>10</v>
    <v>82.05</v>
    <v>8587834995.9519997</v>
    <v>ARK Genomic Revolution</v>
    <v>83.7</v>
    <v>83.63</v>
    <v>82.14</v>
    <v>82.45</v>
    <v>ARKG</v>
    <v>ARK Genomic Revolution (BATS:ARKG)</v>
    <v>1257608</v>
    <v>2449501</v>
  </rv>
  <rv s="4">
    <v>11</v>
  </rv>
  <rv s="0">
    <v>https://www.bing.com/financeapi/forcetrigger?t=a1nq6h&amp;q=ARCX%3aARKK&amp;form=skydnc</v>
    <v>Learn more on Bing</v>
  </rv>
  <rv s="6">
    <v>en-US</v>
    <v>a1nq6h</v>
    <v>268435456</v>
    <v>1</v>
    <v>Powered by Refinitiv</v>
    <v>11</v>
    <v>ARK Innovation (ARCX:ARKK)</v>
    <v>12</v>
    <v>13</v>
    <v>Finance</v>
    <v>15</v>
    <v>159.69999999999999</v>
    <v>81.33</v>
    <v>0.90949999999999998</v>
    <v>-1.75</v>
    <v>-4.1629999999999998E-4</v>
    <v>-1.4362E-2</v>
    <v>-0.05</v>
    <v>USD</v>
    <v>NYSE Arca</v>
    <v>ARCX</v>
    <v>7.4999999999999997E-3</v>
    <v>122.1</v>
    <v>ETF</v>
    <v>44422.000000022657</v>
    <v>13</v>
    <v>119.91</v>
    <v>22494961954.136002</v>
    <v>ARK Innovation</v>
    <v>121.96</v>
    <v>121.85</v>
    <v>120.1</v>
    <v>120.05</v>
    <v>ARKK</v>
    <v>ARK Innovation (ARCX:ARKK)</v>
    <v>3973460</v>
    <v>6426429</v>
  </rv>
  <rv s="4">
    <v>14</v>
  </rv>
  <rv s="0">
    <v>http://en.wikipedia.org/wiki/Alphabet_Inc.</v>
    <v>Wikipedia</v>
  </rv>
  <rv s="1">
    <v>0</v>
    <v>16</v>
  </rv>
  <rv s="2">
    <v>6</v>
    <v>https://www.bing.com/th?id=AMMS_91f59ff6c9305ce24b1cf0389cd856f8&amp;qlt=95</v>
    <v>17</v>
    <v>0</v>
    <v>https://www.bing.com/images/search?form=xlimg&amp;q=alphabet+inc.</v>
    <v>Image of ALPHABET INC.</v>
  </rv>
  <rv s="0">
    <v>https://www.bing.com/financeapi/forcetrigger?t=a1u3rw&amp;q=XNAS%3aGOOGL&amp;form=skydnc</v>
    <v>Learn more on Bing</v>
  </rv>
  <rv s="3">
    <v>en-US</v>
    <v>a1u3rw</v>
    <v>268435456</v>
    <v>1</v>
    <v>Powered by Refinitiv</v>
    <v>0</v>
    <v>ALPHABET INC. (XNAS:GOOGL)</v>
    <v>3</v>
    <v>4</v>
    <v>Finance</v>
    <v>10</v>
    <v>2765.94</v>
    <v>1402.15</v>
    <v>0.99909999999999999</v>
    <v>10.67</v>
    <v>1.0889999999999999E-5</v>
    <v>3.8890000000000001E-3</v>
    <v>0.03</v>
    <v>USD</v>
    <v>Alphabet Inc. is a holding company. The Company's segments include Google and Other Bets. The Company's Google segment includes Google Services and Google Cloud. Its Google Services products and platforms include Android, Chrome, Gmail, Google Drive, Google Maps, Google Photos, Google Play, Search, and YouTube. Its Google Cloud provides enterprise-ready cloud services, including Google Cloud Platform and Google Workspace. Its Google Cloud Platform enables developers to build, test, and deploy applications on its infrastructure. Its Google Workspace collaboration tools include applications like Gmail, Docs, Drive, Calendar, Meet. The Google segment is engaged in advertising, sales of digital content, applications and cloud offerings. Its hardware products include Pixel phones, Chromecast with Google TV and the Google Nest Hub smart display. The Other Bets segment is engaged in the sales of Internet and television services, licensing and research and development (R&amp;D) services.</v>
    <v>144056</v>
    <v>Nasdaq Stock Market</v>
    <v>XNAS</v>
    <v>XNAS</v>
    <v>1600 Amphitheatre Pkwy, MOUNTAIN VIEW, CA, 94043-1351 US</v>
    <v>2757.13</v>
    <v>18</v>
    <v>Software &amp; IT Services</v>
    <v>Stock</v>
    <v>44421.999659073437</v>
    <v>19</v>
    <v>2740.66</v>
    <v>1837151000000</v>
    <v>ALPHABET INC.</v>
    <v>ALPHABET INC.</v>
    <v>2745</v>
    <v>29.758800000000001</v>
    <v>2743.88</v>
    <v>2754.55</v>
    <v>2754.58</v>
    <v>666754900</v>
    <v>GOOGL</v>
    <v>ALPHABET INC. (XNAS:GOOGL)</v>
    <v>797372</v>
    <v>1323914</v>
    <v>2015</v>
  </rv>
  <rv s="4">
    <v>20</v>
  </rv>
  <rv s="0">
    <v>https://www.bing.com/financeapi/forcetrigger?t=a1v8rw&amp;q=XNAS%3aICLN&amp;form=skydnc</v>
    <v>Learn more on Bing</v>
  </rv>
  <rv s="6">
    <v>en-US</v>
    <v>a1v8rw</v>
    <v>268435456</v>
    <v>1</v>
    <v>Powered by Refinitiv</v>
    <v>11</v>
    <v>iShares:Gl Cl Energy (XNAS:ICLN)</v>
    <v>12</v>
    <v>13</v>
    <v>Finance</v>
    <v>15</v>
    <v>34.25</v>
    <v>15.33</v>
    <v>0.999</v>
    <v>-0.22</v>
    <v>4.4250000000000001E-3</v>
    <v>-9.6410000000000003E-3</v>
    <v>0.1</v>
    <v>USD</v>
    <v>Nasdaq Stock Market</v>
    <v>XNAS</v>
    <v>4.1999999999999997E-3</v>
    <v>22.93</v>
    <v>ETF</v>
    <v>44421.977332418748</v>
    <v>22</v>
    <v>22.58</v>
    <v>6050235889.1700001</v>
    <v>iShares:Gl Cl Energy</v>
    <v>22.91</v>
    <v>22.82</v>
    <v>22.6</v>
    <v>22.7</v>
    <v>ICLN</v>
    <v>iShares:Gl Cl Energy (XNAS:ICLN)</v>
    <v>3042082</v>
    <v>3937571</v>
  </rv>
  <rv s="4">
    <v>23</v>
  </rv>
  <rv s="0">
    <v>https://en.wikipedia.org/wiki/Microsoft</v>
    <v>Wikipedia</v>
  </rv>
  <rv s="1">
    <v>0</v>
    <v>25</v>
  </rv>
  <rv s="2">
    <v>6</v>
    <v>https://www.bing.com/th?id=AMMS_1435b697418eae5bfbed034f46c28dc4&amp;qlt=95</v>
    <v>26</v>
    <v>0</v>
    <v>https://www.bing.com/images/search?form=xlimg&amp;q=microsoft</v>
    <v>Image of MICROSOFT CORPORATION</v>
  </rv>
  <rv s="0">
    <v>https://www.bing.com/financeapi/forcetrigger?t=a1xzim&amp;q=XNAS%3aMSFT&amp;form=skydnc</v>
    <v>Learn more on Bing</v>
  </rv>
  <rv s="3">
    <v>en-US</v>
    <v>a1xzim</v>
    <v>268435456</v>
    <v>1</v>
    <v>Powered by Refinitiv</v>
    <v>0</v>
    <v>MICROSOFT CORPORATION (XNAS:MSFT)</v>
    <v>3</v>
    <v>4</v>
    <v>Finance</v>
    <v>10</v>
    <v>292.89999999999998</v>
    <v>196.25</v>
    <v>0.77590000000000003</v>
    <v>3.04</v>
    <v>8.5369999999999999E-4</v>
    <v>1.0489999999999999E-2</v>
    <v>0.25</v>
    <v>USD</v>
    <v>Microsoft Corporation is a technology company. The Company develops and supports a range of software products, services, devices, and solutions. The Company's segments include Productivity and Business Processes, Intelligent Cloud, and More Personal Computing. The Company's products include operating systems; cross-device productivity applications; server applications; business solution applications; desktop and server management tools; software development tools; and video games. It also designs, manufactures, and sells devices, including personal computers (PCs), tablets, gaming and entertainment consoles, other intelligent devices, and related accessories. It offers an array of services, including cloud-based solutions that provide customers with software, services, platforms, and content, and it provides solution support and consulting services. It markets and distributes its products and services through original equipment manufacturers, direct, and distributors and resellers.</v>
    <v>181000</v>
    <v>Nasdaq Stock Market</v>
    <v>XNAS</v>
    <v>XNAS</v>
    <v>1 Microsoft Way, REDMOND, WA, 98052-6399 US</v>
    <v>292.89999999999998</v>
    <v>27</v>
    <v>Software &amp; IT Services</v>
    <v>Stock</v>
    <v>44421.999952800783</v>
    <v>28</v>
    <v>289.3</v>
    <v>2200735829350</v>
    <v>MICROSOFT CORPORATION</v>
    <v>MICROSOFT CORPORATION</v>
    <v>289.48</v>
    <v>35.9786</v>
    <v>289.81</v>
    <v>292.85000000000002</v>
    <v>293.10000000000002</v>
    <v>7514891000</v>
    <v>MSFT</v>
    <v>MICROSOFT CORPORATION (XNAS:MSFT)</v>
    <v>18249046</v>
    <v>21765317</v>
    <v>1993</v>
  </rv>
  <rv s="4">
    <v>29</v>
  </rv>
  <rv s="0">
    <v>http://en.wikipedia.org/wiki/Square,_Inc.</v>
    <v>Wikipedia</v>
  </rv>
  <rv s="1">
    <v>0</v>
    <v>31</v>
  </rv>
  <rv s="2">
    <v>6</v>
    <v>https://www.bing.com/th?id=AMMS_878826beb4f985541f4b3b62b4e00be4&amp;qlt=95</v>
    <v>32</v>
    <v>0</v>
    <v>https://www.bing.com/images/search?form=xlimg&amp;q=square</v>
    <v>Image of SQUARE, INC.</v>
  </rv>
  <rv s="0">
    <v>https://www.bing.com/financeapi/forcetrigger?t=a23i8m&amp;q=XNYS%3aSQ&amp;form=skydnc</v>
    <v>Learn more on Bing</v>
  </rv>
  <rv s="3">
    <v>en-US</v>
    <v>a23i8m</v>
    <v>268435456</v>
    <v>1</v>
    <v>Powered by Refinitiv</v>
    <v>0</v>
    <v>SQUARE, INC. (XNYS:SQ)</v>
    <v>3</v>
    <v>4</v>
    <v>Finance</v>
    <v>10</v>
    <v>289.23</v>
    <v>134</v>
    <v>2.4264999999999999</v>
    <v>-0.71</v>
    <v>-8.5860000000000005E-4</v>
    <v>-2.643E-3</v>
    <v>-0.23</v>
    <v>USD</v>
    <v>Square, Inc. (Square) is a commerce ecosystem. The Company enables its sellers to accept card payments. The Company has two reportable segments: Seller and Cash App. Seller includes managed payment services, software solutions, hardware and financial services products offered to sellers. The Company's seller ecosystem consists of over 30 software, hardware, and financial services products. Cash App includes financial tools available to individuals such as peer-to-peer payments, Cash Card transactions, bitcoin and stock investing that enable customers to easily send, spend, and store money. With its offering, a seller can accept payments in person through swipe, dip, or tap of a card or online via Square Invoices, Square Virtual Terminal, or the seller's Website. Square also provides hardware to facilitate commerce for sellers, which includes magstripe readers, contactless and chip readers, Square Stand, Square Register, Square Terminal, and third-party peripherals.</v>
    <v>5477</v>
    <v>New York Stock Exchange</v>
    <v>XNYS</v>
    <v>XNYS</v>
    <v>1455 Market Street, Suite 600, SAN FRANCISCO, CA, 94103 US</v>
    <v>271.91000000000003</v>
    <v>33</v>
    <v>Professional &amp; Commercial Services</v>
    <v>Stock</v>
    <v>44421.99994787031</v>
    <v>34</v>
    <v>266.45999999999998</v>
    <v>123143873452</v>
    <v>SQUARE, INC.</v>
    <v>SQUARE, INC.</v>
    <v>269.95</v>
    <v>261.4803</v>
    <v>268.58999999999997</v>
    <v>267.88</v>
    <v>267.64999999999998</v>
    <v>459697900</v>
    <v>SQ</v>
    <v>SQUARE, INC. (XNYS:SQ)</v>
    <v>4267542</v>
    <v>9778231</v>
    <v>2009</v>
  </rv>
  <rv s="4">
    <v>35</v>
  </rv>
  <rv s="0">
    <v>https://www.bing.com/financeapi/forcetrigger?t=a267r7&amp;q=ARCX%3aXLF&amp;form=skydnc</v>
    <v>Learn more on Bing</v>
  </rv>
  <rv s="6">
    <v>en-US</v>
    <v>a267r7</v>
    <v>268435456</v>
    <v>1</v>
    <v>Powered by Refinitiv</v>
    <v>11</v>
    <v>Sel Sector:Finl S SPDR (ARCX:XLF)</v>
    <v>12</v>
    <v>16</v>
    <v>Finance</v>
    <v>15</v>
    <v>38.950000000000003</v>
    <v>22.94</v>
    <v>0.99670000000000003</v>
    <v>-0.28999999999999998</v>
    <v>0</v>
    <v>-7.4609999999999998E-3</v>
    <v>0</v>
    <v>USD</v>
    <v>NYSE Arca</v>
    <v>ARCX</v>
    <v>1.2999999999999999E-3</v>
    <v>38.950000000000003</v>
    <v>ETF</v>
    <v>44422</v>
    <v>37</v>
    <v>38.49</v>
    <v>39819071432.75</v>
    <v>Sel Sector:Finl S SPDR</v>
    <v>38.9</v>
    <v>38.869999999999997</v>
    <v>38.58</v>
    <v>38.58</v>
    <v>XLF</v>
    <v>Sel Sector:Finl S SPDR (ARCX:XLF)</v>
    <v>43077193</v>
    <v>50830397</v>
  </rv>
  <rv s="4">
    <v>38</v>
  </rv>
  <rv s="0">
    <v>https://www.bing.com/financeapi/forcetrigger?t=aa72mw&amp;q=XASX%3aIOZ&amp;form=skydnc</v>
    <v>Learn more on Bing</v>
  </rv>
  <rv s="7">
    <v>en-US</v>
    <v>aa72mw</v>
    <v>268435456</v>
    <v>1</v>
    <v>Powered by Refinitiv</v>
    <v>17</v>
    <v>iShares Core S&amp;P/ASX 200 ETF (XASX:IOZ)</v>
    <v>12</v>
    <v>18</v>
    <v>Finance</v>
    <v>19</v>
    <v>31.34</v>
    <v>23.75</v>
    <v>0.97640000000000005</v>
    <v>0.19</v>
    <v>6.1050000000000002E-3</v>
    <v>AUD</v>
    <v>Australian Securities Exchange</v>
    <v>XASX</v>
    <v>8.9999999999999998E-4</v>
    <v>31.34</v>
    <v>ETF</v>
    <v>44421.375</v>
    <v>40</v>
    <v>31.22</v>
    <v>3909568734</v>
    <v>iShares Core S&amp;P/ASX 200 ETF</v>
    <v>31.22</v>
    <v>31.12</v>
    <v>31.31</v>
    <v>IOZ</v>
    <v>iShares Core S&amp;P/ASX 200 ETF (XASX:IOZ)</v>
    <v>401349</v>
  </rv>
  <rv s="4">
    <v>41</v>
  </rv>
  <rv s="0">
    <v>https://www.bing.com/financeapi/forcetrigger?t=aaa7a2&amp;q=XASX%3aVEU&amp;form=skydnc</v>
    <v>Learn more on Bing</v>
  </rv>
  <rv s="8">
    <v>en-US</v>
    <v>aaa7a2</v>
    <v>268435456</v>
    <v>1</v>
    <v>Powered by Refinitiv</v>
    <v>20</v>
    <v>Vang AllWorldexUSShsIdxETF AUD (XASX:VEU)</v>
    <v>12</v>
    <v>21</v>
    <v>Finance</v>
    <v>19</v>
    <v>86.86</v>
    <v>68.58</v>
    <v>0.95269999999999999</v>
    <v>0.04</v>
    <v>4.6460000000000002E-4</v>
    <v>AUD</v>
    <v>Australian Securities Exchange</v>
    <v>XASX</v>
    <v>8.0000000000000004E-4</v>
    <v>86.37</v>
    <v>ETF</v>
    <v>44421.375</v>
    <v>43</v>
    <v>86.06</v>
    <v>Vang AllWorldexUSShsIdxETF AUD</v>
    <v>86.37</v>
    <v>86.1</v>
    <v>86.14</v>
    <v>VEU</v>
    <v>Vang AllWorldexUSShsIdxETF AUD (XASX:VEU)</v>
    <v>25207</v>
  </rv>
  <rv s="4">
    <v>44</v>
  </rv>
  <rv s="0">
    <v>https://www.bing.com/financeapi/forcetrigger?t=awqaz2&amp;q=XASX%3aVDHG&amp;form=skydnc</v>
    <v>Learn more on Bing</v>
  </rv>
  <rv s="7">
    <v>en-US</v>
    <v>awqaz2</v>
    <v>268435456</v>
    <v>1</v>
    <v>Powered by Refinitiv</v>
    <v>17</v>
    <v>Vanguard Dvrs High Gwth Idx (XASX:VDHG)</v>
    <v>12</v>
    <v>18</v>
    <v>Finance</v>
    <v>19</v>
    <v>62</v>
    <v>51.88</v>
    <v>1.3086</v>
    <v>0.17</v>
    <v>2.7589999999999997E-3</v>
    <v>AUD</v>
    <v>Australian Securities Exchange</v>
    <v>XASX</v>
    <v>2.7000000000000001E-3</v>
    <v>61.81</v>
    <v>ETF</v>
    <v>44421.375</v>
    <v>46</v>
    <v>61.68</v>
    <v>1112240000</v>
    <v>Vanguard Dvrs High Gwth Idx</v>
    <v>61.68</v>
    <v>61.62</v>
    <v>61.79</v>
    <v>VDHG</v>
    <v>Vanguard Dvrs High Gwth Idx (XASX:VDHG)</v>
    <v>46684</v>
  </rv>
  <rv s="4">
    <v>47</v>
  </rv>
  <rv s="0">
    <v>https://www.bing.com/financeapi/forcetrigger?t=aaa7u2&amp;q=XASX%3aVHY&amp;form=skydnc</v>
    <v>Learn more on Bing</v>
  </rv>
  <rv s="7">
    <v>en-US</v>
    <v>aaa7u2</v>
    <v>268435456</v>
    <v>1</v>
    <v>Powered by Refinitiv</v>
    <v>17</v>
    <v>Vanguard Aust Shs High Yld ETF (XASX:VHY)</v>
    <v>12</v>
    <v>18</v>
    <v>Finance</v>
    <v>19</v>
    <v>69.5</v>
    <v>49.3</v>
    <v>0.99619999999999997</v>
    <v>0.37</v>
    <v>5.3659999999999992E-3</v>
    <v>AUD</v>
    <v>Australian Securities Exchange</v>
    <v>XASX</v>
    <v>2.5000000000000001E-3</v>
    <v>69.5</v>
    <v>ETF</v>
    <v>44421.375</v>
    <v>49</v>
    <v>69.099999999999994</v>
    <v>1872870000</v>
    <v>Vanguard Aust Shs High Yld ETF</v>
    <v>69.5</v>
    <v>68.95</v>
    <v>69.319999999999993</v>
    <v>VHY</v>
    <v>Vanguard Aust Shs High Yld ETF (XASX:VHY)</v>
    <v>21117</v>
  </rv>
  <rv s="4">
    <v>50</v>
  </rv>
  <rv s="0">
    <v>https://www.bing.com/financeapi/forcetrigger?t=aa66xm&amp;q=XASX%3aETHI&amp;form=skydnc</v>
    <v>Learn more on Bing</v>
  </rv>
  <rv s="7">
    <v>en-US</v>
    <v>aa66xm</v>
    <v>268435456</v>
    <v>1</v>
    <v>Powered by Refinitiv</v>
    <v>17</v>
    <v>BetaShares GBL Sustain ETF (XASX:ETHI)</v>
    <v>12</v>
    <v>18</v>
    <v>Finance</v>
    <v>19</v>
    <v>12.79</v>
    <v>9.8000000000000007</v>
    <v>0.92190000000000005</v>
    <v>7.0000000000000007E-2</v>
    <v>5.6089999999999994E-3</v>
    <v>AUD</v>
    <v>Australian Securities Exchange</v>
    <v>XASX</v>
    <v>5.8999999999999999E-3</v>
    <v>12.56</v>
    <v>ETF</v>
    <v>44421.375</v>
    <v>52</v>
    <v>12.53</v>
    <v>1636660273</v>
    <v>BetaShares GBL Sustain ETF</v>
    <v>12.54</v>
    <v>12.48</v>
    <v>12.55</v>
    <v>ETHI</v>
    <v>BetaShares GBL Sustain ETF (XASX:ETHI)</v>
    <v>314431</v>
  </rv>
  <rv s="4">
    <v>53</v>
  </rv>
</rvData>
</file>

<file path=xl/richData/rdrichvaluestructure.xml><?xml version="1.0" encoding="utf-8"?>
<rvStructures xmlns="http://schemas.microsoft.com/office/spreadsheetml/2017/richdata" count="9">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Name" t="s"/>
    <k n="Open"/>
    <k n="Previous close"/>
    <k n="Price"/>
    <k n="Ticker symbol" t="s"/>
    <k n="UniqueName" t="s"/>
    <k n="Volume"/>
  </s>
</rvStructures>
</file>

<file path=xl/richData/rdsupportingpropertybag.xml><?xml version="1.0" encoding="utf-8"?>
<supportingPropertyBags xmlns="http://schemas.microsoft.com/office/spreadsheetml/2017/richdata2">
  <spbArrays count="5">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32">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Beta</v>
      <v t="s">Instrument type</v>
      <v t="s">_Flags</v>
      <v t="s">UniqueName</v>
      <v t="s">_DisplayString</v>
      <v t="s">LearnMoreOnLink</v>
      <v t="s">%ProviderInfo</v>
    </a>
  </spbArrays>
  <spbData count="22">
    <spb s="0">
      <v>0</v>
      <v>Name</v>
      <v>LearnMoreOnLink</v>
    </spb>
    <spb s="1">
      <v>0</v>
      <v>0</v>
    </spb>
    <spb s="2">
      <v>0</v>
      <v>0</v>
      <v>0</v>
    </spb>
    <spb s="3">
      <v>1</v>
      <v>2</v>
      <v>2</v>
      <v>2</v>
      <v>2</v>
    </spb>
    <spb s="4">
      <v>1</v>
      <v>2</v>
      <v>2</v>
      <v>1</v>
      <v>3</v>
      <v>1</v>
      <v>4</v>
      <v>1</v>
      <v>1</v>
      <v>5</v>
      <v>5</v>
      <v>6</v>
      <v>7</v>
      <v>1</v>
      <v>1</v>
      <v>1</v>
      <v>5</v>
      <v>8</v>
      <v>9</v>
      <v>10</v>
      <v>5</v>
      <v>1</v>
      <v>1</v>
      <v>6</v>
    </spb>
    <spb s="5">
      <v>at close</v>
      <v>from previous close</v>
      <v>from previous close</v>
      <v>Source: Nasdaq Last Sale</v>
      <v>GMT</v>
      <v>Real-Time Nasdaq Last Sale</v>
      <v>from close</v>
      <v>from close</v>
    </spb>
    <spb s="6">
      <v>Powered by Refinitiv</v>
    </spb>
    <spb s="0">
      <v>1</v>
      <v>Name</v>
      <v>LearnMoreOnLink</v>
    </spb>
    <spb s="7">
      <v>2</v>
      <v>2</v>
      <v>2</v>
      <v>2</v>
    </spb>
    <spb s="8">
      <v>1</v>
      <v>2</v>
      <v>2</v>
      <v>1</v>
      <v>3</v>
      <v>1</v>
      <v>1</v>
      <v>1</v>
      <v>5</v>
      <v>5</v>
      <v>6</v>
      <v>7</v>
      <v>1</v>
      <v>1</v>
      <v>1</v>
      <v>5</v>
      <v>8</v>
      <v>9</v>
      <v>10</v>
      <v>5</v>
      <v>1</v>
      <v>1</v>
      <v>6</v>
    </spb>
    <spb s="5">
      <v>at close</v>
      <v>from previous close</v>
      <v>from previous close</v>
      <v>Source: Nasdaq</v>
      <v>GMT</v>
      <v>Delayed 15 minutes</v>
      <v>from close</v>
      <v>from close</v>
    </spb>
    <spb s="0">
      <v>2</v>
      <v>Name</v>
      <v>LearnMoreOnLink</v>
    </spb>
    <spb s="9">
      <v>2</v>
      <v>2</v>
      <v>2</v>
    </spb>
    <spb s="10">
      <v>1</v>
      <v>2</v>
      <v>1</v>
      <v>3</v>
      <v>1</v>
      <v>1</v>
      <v>1</v>
      <v>5</v>
      <v>6</v>
      <v>7</v>
      <v>1</v>
      <v>1</v>
      <v>6</v>
      <v>1</v>
      <v>5</v>
      <v>8</v>
      <v>10</v>
      <v>1</v>
      <v>1</v>
      <v>6</v>
    </spb>
    <spb s="11">
      <v>at close</v>
      <v>from previous close</v>
      <v>Source: Nasdaq Last Sale</v>
      <v>from previous close</v>
      <v>GMT</v>
      <v>Real-Time Nasdaq Last Sale</v>
      <v>from close</v>
      <v>from close</v>
    </spb>
    <spb s="11">
      <v>at close</v>
      <v>from previous close</v>
      <v>Source: Nasdaq</v>
      <v>from previous close</v>
      <v>GMT</v>
      <v>Delayed 15 minutes</v>
      <v>from close</v>
      <v>from close</v>
    </spb>
    <spb s="10">
      <v>1</v>
      <v>2</v>
      <v>1</v>
      <v>3</v>
      <v>1</v>
      <v>1</v>
      <v>1</v>
      <v>5</v>
      <v>6</v>
      <v>7</v>
      <v>1</v>
      <v>1</v>
      <v>6</v>
      <v>1</v>
      <v>5</v>
      <v>11</v>
      <v>10</v>
      <v>1</v>
      <v>1</v>
      <v>6</v>
    </spb>
    <spb s="0">
      <v>3</v>
      <v>Name</v>
      <v>LearnMoreOnLink</v>
    </spb>
    <spb s="12">
      <v>12</v>
      <v>2</v>
      <v>12</v>
      <v>3</v>
      <v>12</v>
      <v>12</v>
      <v>12</v>
      <v>5</v>
      <v>6</v>
      <v>13</v>
      <v>12</v>
      <v>12</v>
      <v>6</v>
      <v>12</v>
      <v>8</v>
      <v>10</v>
    </spb>
    <spb s="13">
      <v>Delayed 20 minutes</v>
      <v>from previous close</v>
      <v>from previous close</v>
      <v>GMT</v>
    </spb>
    <spb s="0">
      <v>4</v>
      <v>Name</v>
      <v>LearnMoreOnLink</v>
    </spb>
    <spb s="14">
      <v>12</v>
      <v>2</v>
      <v>12</v>
      <v>3</v>
      <v>12</v>
      <v>12</v>
      <v>12</v>
      <v>5</v>
      <v>6</v>
      <v>12</v>
      <v>12</v>
      <v>6</v>
      <v>12</v>
      <v>8</v>
      <v>10</v>
    </spb>
  </spbData>
</supportingPropertyBags>
</file>

<file path=xl/richData/rdsupportingpropertybagstructure.xml><?xml version="1.0" encoding="utf-8"?>
<spbStructures xmlns="http://schemas.microsoft.com/office/spreadsheetml/2017/richdata2" count="15">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na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Change (%)" t="s"/>
    <k n="Last trade time" t="s"/>
  </s>
  <s>
    <k n="Low" t="i"/>
    <k n="Beta" t="i"/>
    <k n="High" t="i"/>
    <k n="Name" t="i"/>
    <k n="Open" t="i"/>
    <k n="Price" t="i"/>
    <k n="Change" t="i"/>
    <k n="Volume" t="i"/>
    <k n="Change (%)" t="i"/>
    <k n="52 week low" t="i"/>
    <k n="52 week high" t="i"/>
    <k n="Expense ratio" t="i"/>
    <k n="Previous close" t="i"/>
    <k n="Last trade time" t="i"/>
    <k n="`%EntityServiceId"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1">
    <x:dxf>
      <x:numFmt numFmtId="167" formatCode="_([$$-409]* #,##0.00_);_([$$-409]* \(#,##0.00\);_([$$-409]* &quot;-&quot;??_);_(@_)"/>
    </x:dxf>
    <x:dxf>
      <x:numFmt numFmtId="4" formatCode="#,##0.00"/>
    </x:dxf>
    <x:dxf>
      <x:numFmt numFmtId="3" formatCode="#,##0"/>
    </x:dxf>
    <x:dxf>
      <x:numFmt numFmtId="14" formatCode="0.00%"/>
    </x:dxf>
    <x:dxf>
      <x:numFmt numFmtId="166" formatCode="_([$$-409]* #,##0_);_([$$-409]* \(#,##0\);_([$$-409]* &quot;-&quot;_);_(@_)"/>
    </x:dxf>
    <x:dxf>
      <x:numFmt numFmtId="27" formatCode="d/mm/yyyy\ h:mm"/>
    </x:dxf>
    <x:dxf>
      <x:numFmt numFmtId="1" formatCode="0"/>
    </x:dxf>
    <x:dxf>
      <x:numFmt numFmtId="2" formatCode="0.00"/>
    </x:dxf>
    <x:dxf>
      <x:numFmt numFmtId="19" formatCode="d/mm/yyyy"/>
    </x:dxf>
    <x:dxf>
      <x:numFmt numFmtId="165" formatCode="_-[$$-C09]* #,##0.00_-;\-[$$-C09]* #,##0.00_-;_-[$$-C09]* &quot;-&quot;??_-;_-@_-"/>
    </x:dxf>
    <x:dxf>
      <x:numFmt numFmtId="164" formatCode="_-[$$-C09]* #,##0_-;\-[$$-C09]* #,##0_-;_-[$$-C09]* &quot;-&quot;_-;_-@_-"/>
    </x:dxf>
  </dxfs>
  <richProperties>
    <rPr n="IsTitleField" t="b"/>
    <rPr n="IsHeroField" t="b"/>
  </richProperties>
  <richStyles>
    <rSty dxfid="0"/>
    <rSty dxfid="1"/>
    <rSty>
      <rpv i="0">1</rpv>
    </rSty>
    <rSty>
      <rpv i="1">1</rpv>
    </rSty>
    <rSty dxfid="2"/>
    <rSty dxfid="3"/>
    <rSty dxfid="4"/>
    <rSty dxfid="5"/>
    <rSty dxfid="6"/>
    <rSty dxfid="7"/>
    <rSty dxfid="8"/>
    <rSty dxfid="9"/>
    <rSty dxfid="10"/>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ontrol" Target="../activeX/activeX5.xml"/><Relationship Id="rId7" Type="http://schemas.openxmlformats.org/officeDocument/2006/relationships/control" Target="../activeX/activeX7.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6.emf"/><Relationship Id="rId5" Type="http://schemas.openxmlformats.org/officeDocument/2006/relationships/control" Target="../activeX/activeX6.xml"/><Relationship Id="rId4" Type="http://schemas.openxmlformats.org/officeDocument/2006/relationships/image" Target="../media/image5.emf"/></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8.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9.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image" Target="../media/image10.emf"/><Relationship Id="rId5" Type="http://schemas.openxmlformats.org/officeDocument/2006/relationships/control" Target="../activeX/activeX10.xml"/><Relationship Id="rId4" Type="http://schemas.openxmlformats.org/officeDocument/2006/relationships/image" Target="../media/image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image" Target="../media/image1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C0295-E25D-411D-B84E-72C8DB9805DA}">
  <sheetPr codeName="Sheet1"/>
  <dimension ref="A1:G28"/>
  <sheetViews>
    <sheetView tabSelected="1" workbookViewId="0">
      <selection activeCell="X6" sqref="X6"/>
    </sheetView>
  </sheetViews>
  <sheetFormatPr defaultColWidth="8.88671875" defaultRowHeight="14.4" x14ac:dyDescent="0.3"/>
  <cols>
    <col min="1" max="2" width="20.44140625" style="1" customWidth="1"/>
    <col min="3" max="3" width="12.88671875" style="1" bestFit="1" customWidth="1"/>
    <col min="4" max="4" width="8.88671875" style="1"/>
    <col min="5" max="5" width="20" style="1" customWidth="1"/>
    <col min="6" max="6" width="13.5546875" style="1" customWidth="1"/>
    <col min="7" max="16384" width="8.88671875" style="1"/>
  </cols>
  <sheetData>
    <row r="1" spans="1:7" x14ac:dyDescent="0.3">
      <c r="A1" s="98" t="s">
        <v>0</v>
      </c>
      <c r="B1" s="98"/>
      <c r="C1" s="98"/>
      <c r="D1" s="98"/>
      <c r="E1" s="98"/>
      <c r="F1" s="98"/>
      <c r="G1" s="98"/>
    </row>
    <row r="2" spans="1:7" x14ac:dyDescent="0.3">
      <c r="A2" s="98"/>
      <c r="B2" s="98"/>
      <c r="C2" s="98"/>
      <c r="D2" s="98"/>
      <c r="E2" s="98"/>
      <c r="F2" s="98"/>
      <c r="G2" s="98"/>
    </row>
    <row r="3" spans="1:7" x14ac:dyDescent="0.3">
      <c r="A3" s="11" t="s">
        <v>15</v>
      </c>
      <c r="B3" s="12">
        <f ca="1">TODAY()</f>
        <v>44422</v>
      </c>
    </row>
    <row r="4" spans="1:7" s="9" customFormat="1" ht="18.75" customHeight="1" x14ac:dyDescent="0.3">
      <c r="A4" s="1"/>
      <c r="B4" s="1"/>
      <c r="C4" s="1"/>
      <c r="D4" s="1"/>
      <c r="E4" s="1"/>
      <c r="F4" s="1"/>
      <c r="G4" s="1"/>
    </row>
    <row r="5" spans="1:7" x14ac:dyDescent="0.3">
      <c r="A5" s="97" t="s">
        <v>1</v>
      </c>
      <c r="B5" s="97"/>
      <c r="C5" s="9" t="s">
        <v>12</v>
      </c>
      <c r="D5" s="9"/>
      <c r="E5" s="97" t="s">
        <v>120</v>
      </c>
      <c r="F5" s="97"/>
      <c r="G5" s="9"/>
    </row>
    <row r="6" spans="1:7" x14ac:dyDescent="0.3">
      <c r="A6" s="1" t="s">
        <v>2</v>
      </c>
      <c r="B6" s="3">
        <v>150</v>
      </c>
      <c r="C6" s="13">
        <v>0</v>
      </c>
      <c r="E6" s="1" t="s">
        <v>121</v>
      </c>
      <c r="F6" s="3">
        <v>0</v>
      </c>
    </row>
    <row r="7" spans="1:7" x14ac:dyDescent="0.3">
      <c r="A7" s="1" t="s">
        <v>3</v>
      </c>
      <c r="B7" s="3">
        <v>11000</v>
      </c>
      <c r="C7" s="13">
        <v>0.03</v>
      </c>
      <c r="E7" s="1" t="s">
        <v>122</v>
      </c>
      <c r="F7" s="3">
        <f>'Personal Investment'!B6</f>
        <v>12164.51</v>
      </c>
    </row>
    <row r="8" spans="1:7" x14ac:dyDescent="0.3">
      <c r="A8" s="1" t="s">
        <v>4</v>
      </c>
      <c r="B8" s="3">
        <v>15000</v>
      </c>
      <c r="C8" s="8" t="s">
        <v>13</v>
      </c>
      <c r="E8" s="1" t="s">
        <v>123</v>
      </c>
      <c r="F8" s="3">
        <f>'Personal Investment'!B8</f>
        <v>933.0999999999998</v>
      </c>
    </row>
    <row r="9" spans="1:7" s="9" customFormat="1" x14ac:dyDescent="0.3">
      <c r="A9" s="1"/>
      <c r="B9" s="1"/>
      <c r="C9" s="1"/>
      <c r="D9" s="1"/>
      <c r="E9" s="1" t="s">
        <v>553</v>
      </c>
      <c r="F9" s="3">
        <f>'Personal Investment'!B21</f>
        <v>4945.920000000001</v>
      </c>
      <c r="G9" s="1"/>
    </row>
    <row r="10" spans="1:7" x14ac:dyDescent="0.3">
      <c r="A10" s="97" t="s">
        <v>5</v>
      </c>
      <c r="B10" s="97"/>
      <c r="C10" s="9"/>
      <c r="D10" s="9"/>
      <c r="G10" s="9"/>
    </row>
    <row r="11" spans="1:7" x14ac:dyDescent="0.3">
      <c r="A11" s="1" t="s">
        <v>8</v>
      </c>
      <c r="B11" s="3">
        <v>100</v>
      </c>
      <c r="C11" s="13">
        <v>2E-3</v>
      </c>
      <c r="E11" s="97" t="s">
        <v>124</v>
      </c>
      <c r="F11" s="97"/>
    </row>
    <row r="12" spans="1:7" x14ac:dyDescent="0.3">
      <c r="A12" s="1" t="s">
        <v>6</v>
      </c>
      <c r="B12" s="3">
        <v>1000</v>
      </c>
      <c r="C12" s="13">
        <v>9.4999999999999998E-3</v>
      </c>
      <c r="E12" s="1" t="s">
        <v>127</v>
      </c>
      <c r="F12" s="3">
        <f>'Personal Investment'!E6</f>
        <v>0</v>
      </c>
    </row>
    <row r="13" spans="1:7" x14ac:dyDescent="0.3">
      <c r="A13" s="1" t="s">
        <v>7</v>
      </c>
      <c r="B13" s="3">
        <v>1500</v>
      </c>
      <c r="C13" s="13">
        <v>9.4999999999999998E-3</v>
      </c>
      <c r="E13" s="1" t="s">
        <v>122</v>
      </c>
      <c r="F13" s="3">
        <f>'Personal Investment'!B11</f>
        <v>13932.175499999998</v>
      </c>
    </row>
    <row r="14" spans="1:7" s="9" customFormat="1" x14ac:dyDescent="0.3">
      <c r="A14" s="1"/>
      <c r="B14" s="1"/>
      <c r="C14" s="13"/>
      <c r="D14" s="1"/>
      <c r="E14" s="1" t="s">
        <v>123</v>
      </c>
      <c r="F14" s="3">
        <f>'Personal Investment'!B13</f>
        <v>-19.381200000000021</v>
      </c>
      <c r="G14" s="1"/>
    </row>
    <row r="15" spans="1:7" x14ac:dyDescent="0.3">
      <c r="A15" s="97" t="s">
        <v>9</v>
      </c>
      <c r="B15" s="97"/>
      <c r="C15" s="9"/>
      <c r="D15" s="9"/>
      <c r="G15" s="9"/>
    </row>
    <row r="16" spans="1:7" x14ac:dyDescent="0.3">
      <c r="A16" s="1" t="s">
        <v>10</v>
      </c>
      <c r="B16" s="14">
        <v>0</v>
      </c>
      <c r="C16" s="13">
        <v>0</v>
      </c>
      <c r="E16" s="97" t="s">
        <v>125</v>
      </c>
      <c r="F16" s="97"/>
    </row>
    <row r="17" spans="1:6" x14ac:dyDescent="0.3">
      <c r="A17" s="1" t="s">
        <v>11</v>
      </c>
      <c r="B17" s="14">
        <v>0</v>
      </c>
      <c r="C17" s="13">
        <v>5.0000000000000001E-4</v>
      </c>
      <c r="E17" s="1" t="s">
        <v>126</v>
      </c>
      <c r="F17" s="3">
        <f>F6+F12*'Personal Investment'!B3</f>
        <v>0</v>
      </c>
    </row>
    <row r="18" spans="1:6" x14ac:dyDescent="0.3">
      <c r="E18" s="1" t="s">
        <v>122</v>
      </c>
      <c r="F18" s="3">
        <f>F7+F13</f>
        <v>26096.6855</v>
      </c>
    </row>
    <row r="19" spans="1:6" x14ac:dyDescent="0.3">
      <c r="A19" s="15" t="s">
        <v>14</v>
      </c>
      <c r="B19" s="14">
        <f>B6+B7+B11+B12+B16+B17+B13</f>
        <v>13750</v>
      </c>
      <c r="E19" s="1" t="s">
        <v>130</v>
      </c>
      <c r="F19" s="3">
        <f>'Personal Investment'!B15</f>
        <v>13749.876340000003</v>
      </c>
    </row>
    <row r="20" spans="1:6" x14ac:dyDescent="0.3">
      <c r="A20" s="1" t="s">
        <v>583</v>
      </c>
      <c r="B20" s="3">
        <f>B6*C6+B7*C7+B11*C11+B12*C12+B13*C13</f>
        <v>353.95</v>
      </c>
      <c r="D20" s="3"/>
      <c r="E20" s="1" t="s">
        <v>131</v>
      </c>
      <c r="F20" s="4">
        <f>(F18-F19)/F19</f>
        <v>0.89795783283386199</v>
      </c>
    </row>
    <row r="21" spans="1:6" x14ac:dyDescent="0.3">
      <c r="E21" s="1" t="s">
        <v>132</v>
      </c>
      <c r="F21" s="3">
        <f>F8+F14</f>
        <v>913.71879999999976</v>
      </c>
    </row>
    <row r="22" spans="1:6" x14ac:dyDescent="0.3">
      <c r="E22" s="15" t="s">
        <v>128</v>
      </c>
      <c r="F22" s="3">
        <f>F17+F18-F9</f>
        <v>21150.765499999998</v>
      </c>
    </row>
    <row r="27" spans="1:6" x14ac:dyDescent="0.3">
      <c r="B27" s="17"/>
    </row>
    <row r="28" spans="1:6" x14ac:dyDescent="0.3">
      <c r="B28" s="3"/>
    </row>
  </sheetData>
  <mergeCells count="7">
    <mergeCell ref="E16:F16"/>
    <mergeCell ref="A1:G2"/>
    <mergeCell ref="A5:B5"/>
    <mergeCell ref="A10:B10"/>
    <mergeCell ref="A15:B15"/>
    <mergeCell ref="E5:F5"/>
    <mergeCell ref="E11:F11"/>
  </mergeCell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21506" r:id="rId4" name="CommandButton2">
          <controlPr defaultSize="0" autoLine="0" r:id="rId5">
            <anchor moveWithCells="1">
              <from>
                <xdr:col>1</xdr:col>
                <xdr:colOff>525780</xdr:colOff>
                <xdr:row>21</xdr:row>
                <xdr:rowOff>22860</xdr:rowOff>
              </from>
              <to>
                <xdr:col>2</xdr:col>
                <xdr:colOff>419100</xdr:colOff>
                <xdr:row>24</xdr:row>
                <xdr:rowOff>91440</xdr:rowOff>
              </to>
            </anchor>
          </controlPr>
        </control>
      </mc:Choice>
      <mc:Fallback>
        <control shapeId="21506" r:id="rId4" name="CommandButton2"/>
      </mc:Fallback>
    </mc:AlternateContent>
    <mc:AlternateContent xmlns:mc="http://schemas.openxmlformats.org/markup-compatibility/2006">
      <mc:Choice Requires="x14">
        <control shapeId="21505" r:id="rId6" name="CommandButton1">
          <controlPr defaultSize="0" autoLine="0" autoPict="0" r:id="rId7">
            <anchor moveWithCells="1">
              <from>
                <xdr:col>0</xdr:col>
                <xdr:colOff>495300</xdr:colOff>
                <xdr:row>21</xdr:row>
                <xdr:rowOff>30480</xdr:rowOff>
              </from>
              <to>
                <xdr:col>1</xdr:col>
                <xdr:colOff>38100</xdr:colOff>
                <xdr:row>24</xdr:row>
                <xdr:rowOff>68580</xdr:rowOff>
              </to>
            </anchor>
          </controlPr>
        </control>
      </mc:Choice>
      <mc:Fallback>
        <control shapeId="21505" r:id="rId6"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F7EFA-745B-4F9A-824A-B54620678A02}">
  <sheetPr codeName="Sheet13"/>
  <dimension ref="A1:AC8"/>
  <sheetViews>
    <sheetView workbookViewId="0">
      <selection activeCell="B8" sqref="B8"/>
    </sheetView>
  </sheetViews>
  <sheetFormatPr defaultColWidth="8.88671875" defaultRowHeight="14.4" x14ac:dyDescent="0.3"/>
  <cols>
    <col min="1" max="1" width="25" style="1" bestFit="1" customWidth="1"/>
    <col min="2" max="3" width="12.44140625" style="76" customWidth="1"/>
    <col min="4" max="4" width="11.44140625" style="76" customWidth="1"/>
    <col min="5" max="5" width="13.109375" style="1" bestFit="1" customWidth="1"/>
    <col min="6" max="6" width="10.6640625" style="1" customWidth="1"/>
    <col min="7" max="7" width="10" style="1" bestFit="1" customWidth="1"/>
    <col min="8" max="8" width="8.88671875" style="1"/>
    <col min="9" max="9" width="13.33203125" style="1" customWidth="1"/>
    <col min="10" max="16384" width="8.88671875" style="1"/>
  </cols>
  <sheetData>
    <row r="1" spans="1:29" x14ac:dyDescent="0.3">
      <c r="A1" s="1" t="s">
        <v>15</v>
      </c>
      <c r="B1" s="75">
        <v>44373</v>
      </c>
      <c r="C1" s="75">
        <v>44374</v>
      </c>
      <c r="D1" s="75">
        <v>44375</v>
      </c>
      <c r="E1" s="75">
        <v>44376</v>
      </c>
      <c r="F1" s="75">
        <v>44377</v>
      </c>
      <c r="G1" s="75">
        <v>44378</v>
      </c>
      <c r="H1" s="75">
        <v>44385</v>
      </c>
      <c r="I1" s="75">
        <v>44389</v>
      </c>
      <c r="J1" s="75">
        <v>44390</v>
      </c>
      <c r="K1" s="75">
        <v>44391</v>
      </c>
      <c r="L1" s="75">
        <v>44392</v>
      </c>
      <c r="M1" s="75">
        <v>44393</v>
      </c>
      <c r="N1" s="75">
        <v>44397</v>
      </c>
      <c r="O1" s="75">
        <v>44399</v>
      </c>
      <c r="P1" s="75">
        <v>44400</v>
      </c>
      <c r="Q1" s="75">
        <v>44403</v>
      </c>
      <c r="R1" s="75">
        <v>44404</v>
      </c>
      <c r="S1" s="75">
        <v>44405</v>
      </c>
      <c r="T1" s="75">
        <v>44406</v>
      </c>
      <c r="U1" s="75">
        <v>44410</v>
      </c>
      <c r="V1" s="75">
        <v>44411</v>
      </c>
      <c r="W1" s="75">
        <v>44412</v>
      </c>
      <c r="X1" s="75">
        <v>44414</v>
      </c>
      <c r="Y1" s="75">
        <v>44416</v>
      </c>
      <c r="Z1" s="75">
        <v>44417</v>
      </c>
      <c r="AA1" s="75">
        <v>44419</v>
      </c>
      <c r="AB1" s="75">
        <v>44420</v>
      </c>
      <c r="AC1" s="75">
        <v>44422</v>
      </c>
    </row>
    <row r="2" spans="1:29" x14ac:dyDescent="0.3">
      <c r="A2" s="1" t="s">
        <v>126</v>
      </c>
      <c r="B2" s="74">
        <v>3780.62</v>
      </c>
      <c r="C2" s="74">
        <v>3780.62</v>
      </c>
      <c r="D2" s="74">
        <v>3429.25</v>
      </c>
      <c r="E2" s="74">
        <v>3429.25</v>
      </c>
      <c r="F2" s="74">
        <v>3429.25</v>
      </c>
      <c r="G2" s="74">
        <v>3326.31</v>
      </c>
      <c r="H2" s="74">
        <v>3326.31</v>
      </c>
      <c r="I2" s="74">
        <v>1962.67</v>
      </c>
      <c r="J2" s="74">
        <v>2014.67</v>
      </c>
      <c r="K2" s="74">
        <v>5277.74</v>
      </c>
      <c r="L2" s="74">
        <v>5296.28</v>
      </c>
      <c r="M2" s="74">
        <v>5296.28</v>
      </c>
      <c r="N2" s="74">
        <v>4979.91</v>
      </c>
      <c r="O2" s="74">
        <v>4490.91</v>
      </c>
      <c r="P2" s="74">
        <v>4490.91</v>
      </c>
      <c r="Q2" s="74">
        <v>4490.91</v>
      </c>
      <c r="R2" s="74">
        <v>4490.91</v>
      </c>
      <c r="S2" s="74">
        <v>4029.12</v>
      </c>
      <c r="T2" s="74">
        <v>4029.12</v>
      </c>
      <c r="U2" s="74">
        <v>4029.12</v>
      </c>
      <c r="V2" s="74">
        <v>4029.12</v>
      </c>
      <c r="W2" s="74">
        <v>4029.12</v>
      </c>
      <c r="X2" s="74">
        <v>3152.01</v>
      </c>
      <c r="Y2" s="74">
        <v>3152.01</v>
      </c>
      <c r="Z2" s="74">
        <v>3152.01</v>
      </c>
      <c r="AA2" s="74">
        <v>2920.04</v>
      </c>
      <c r="AB2" s="74">
        <v>2920.04</v>
      </c>
      <c r="AC2" s="74">
        <v>2690.5</v>
      </c>
    </row>
    <row r="3" spans="1:29" x14ac:dyDescent="0.3">
      <c r="A3" s="1" t="s">
        <v>129</v>
      </c>
      <c r="B3" s="74">
        <v>3916.5</v>
      </c>
      <c r="C3" s="74">
        <v>3913.62</v>
      </c>
      <c r="D3" s="74">
        <v>3913.62</v>
      </c>
      <c r="E3" s="74">
        <v>3913.62</v>
      </c>
      <c r="F3" s="74">
        <v>3915.06</v>
      </c>
      <c r="G3" s="74">
        <v>3915.99</v>
      </c>
      <c r="H3" s="74">
        <v>193.07</v>
      </c>
      <c r="I3" s="74">
        <v>193.07</v>
      </c>
      <c r="J3" s="74">
        <v>0</v>
      </c>
      <c r="K3" s="74">
        <v>18.54</v>
      </c>
      <c r="L3" s="74">
        <v>0</v>
      </c>
      <c r="M3" s="74">
        <v>0</v>
      </c>
      <c r="N3" s="74">
        <v>0</v>
      </c>
      <c r="O3" s="74">
        <v>0</v>
      </c>
      <c r="P3" s="74">
        <v>0</v>
      </c>
      <c r="Q3" s="74">
        <v>0</v>
      </c>
      <c r="R3" s="74">
        <v>0</v>
      </c>
      <c r="S3" s="74">
        <v>0</v>
      </c>
      <c r="T3" s="74">
        <v>0</v>
      </c>
      <c r="U3" s="74">
        <v>0</v>
      </c>
      <c r="V3" s="74">
        <v>0</v>
      </c>
      <c r="W3" s="74">
        <v>0</v>
      </c>
      <c r="X3" s="74">
        <v>0</v>
      </c>
      <c r="Y3" s="74">
        <v>0</v>
      </c>
      <c r="Z3" s="74">
        <v>0</v>
      </c>
      <c r="AA3" s="74">
        <v>0</v>
      </c>
      <c r="AB3" s="74">
        <v>0</v>
      </c>
      <c r="AC3" s="74">
        <v>0</v>
      </c>
    </row>
    <row r="4" spans="1:29" x14ac:dyDescent="0.3">
      <c r="A4" s="1" t="s">
        <v>122</v>
      </c>
      <c r="B4" s="74">
        <v>6612.29</v>
      </c>
      <c r="C4" s="74">
        <v>6537.51</v>
      </c>
      <c r="D4" s="74">
        <v>6536.11</v>
      </c>
      <c r="E4" s="74">
        <v>6607.82</v>
      </c>
      <c r="F4" s="74">
        <v>6673.29</v>
      </c>
      <c r="G4" s="74">
        <v>6635.42</v>
      </c>
      <c r="H4" s="74">
        <v>15454.52</v>
      </c>
      <c r="I4" s="74">
        <v>15468.19</v>
      </c>
      <c r="J4" s="74">
        <v>15681.49</v>
      </c>
      <c r="K4" s="74">
        <v>15703.05</v>
      </c>
      <c r="L4" s="74">
        <v>15685.08</v>
      </c>
      <c r="M4" s="74">
        <v>15643.49</v>
      </c>
      <c r="N4" s="74">
        <v>15554.64</v>
      </c>
      <c r="O4" s="74">
        <v>15795.29</v>
      </c>
      <c r="P4" s="74">
        <v>15882.24</v>
      </c>
      <c r="Q4" s="74">
        <v>15987.52</v>
      </c>
      <c r="R4" s="74">
        <v>16010.32</v>
      </c>
      <c r="S4" s="74">
        <v>15887.29</v>
      </c>
      <c r="T4" s="74">
        <v>15945.17</v>
      </c>
      <c r="U4" s="74">
        <v>15962.45</v>
      </c>
      <c r="V4" s="74">
        <v>16032.57</v>
      </c>
      <c r="W4" s="74">
        <v>16043.8</v>
      </c>
      <c r="X4" s="74">
        <v>16097.72</v>
      </c>
      <c r="Y4" s="74">
        <v>16058.18</v>
      </c>
      <c r="Z4" s="74">
        <v>16074.21</v>
      </c>
      <c r="AA4" s="74">
        <v>16088.02</v>
      </c>
      <c r="AB4" s="74">
        <v>16087.77</v>
      </c>
      <c r="AC4" s="74">
        <v>16172.04</v>
      </c>
    </row>
    <row r="5" spans="1:29" x14ac:dyDescent="0.3">
      <c r="A5" s="1" t="s">
        <v>130</v>
      </c>
      <c r="B5" s="74">
        <v>4915.07</v>
      </c>
      <c r="C5" s="74">
        <v>4861.9799999999996</v>
      </c>
      <c r="D5" s="74">
        <v>4861.9799999999996</v>
      </c>
      <c r="E5" s="74">
        <v>4861.9799999999996</v>
      </c>
      <c r="F5" s="74">
        <v>4888.5200000000004</v>
      </c>
      <c r="G5" s="74">
        <v>4888.5200000000004</v>
      </c>
      <c r="H5" s="74">
        <v>13530.54</v>
      </c>
      <c r="I5" s="74">
        <v>13530.54</v>
      </c>
      <c r="J5" s="74">
        <v>13771.53</v>
      </c>
      <c r="K5" s="74">
        <v>13771.53</v>
      </c>
      <c r="L5" s="74">
        <v>13771.53</v>
      </c>
      <c r="M5" s="74">
        <v>13771.53</v>
      </c>
      <c r="N5" s="74">
        <v>13771.53</v>
      </c>
      <c r="O5" s="74">
        <v>13828.22</v>
      </c>
      <c r="P5" s="74">
        <v>13799.88</v>
      </c>
      <c r="Q5" s="74">
        <v>13799.88</v>
      </c>
      <c r="R5" s="74">
        <v>13799.88</v>
      </c>
      <c r="S5" s="74">
        <v>13828.22</v>
      </c>
      <c r="T5" s="74">
        <v>13828.22</v>
      </c>
      <c r="U5" s="74">
        <v>13828.22</v>
      </c>
      <c r="V5" s="74">
        <v>13828.22</v>
      </c>
      <c r="W5" s="74">
        <v>13828.22</v>
      </c>
      <c r="X5" s="74">
        <v>13749.88</v>
      </c>
      <c r="Y5" s="74">
        <v>13749.88</v>
      </c>
      <c r="Z5" s="74">
        <v>13749.88</v>
      </c>
      <c r="AA5" s="74">
        <v>13749.88</v>
      </c>
      <c r="AB5" s="74">
        <v>13749.88</v>
      </c>
      <c r="AC5" s="74">
        <v>13749.88</v>
      </c>
    </row>
    <row r="6" spans="1:29" x14ac:dyDescent="0.3">
      <c r="A6" s="1" t="s">
        <v>133</v>
      </c>
      <c r="B6" s="77">
        <v>2725.13</v>
      </c>
      <c r="C6" s="74">
        <v>2703.44</v>
      </c>
      <c r="D6" s="74">
        <v>2702.04</v>
      </c>
      <c r="E6" s="74">
        <v>2773.75</v>
      </c>
      <c r="F6" s="4">
        <v>2812.68</v>
      </c>
      <c r="G6" s="74">
        <v>2774.81</v>
      </c>
      <c r="H6" s="74">
        <v>2857.08</v>
      </c>
      <c r="I6" s="74">
        <v>2870.75</v>
      </c>
      <c r="J6" s="74">
        <v>2878.84</v>
      </c>
      <c r="K6" s="74">
        <v>2900.4</v>
      </c>
      <c r="L6" s="74">
        <v>2882.43</v>
      </c>
      <c r="M6" s="74">
        <v>2840.84</v>
      </c>
      <c r="N6" s="74">
        <v>2751.99</v>
      </c>
      <c r="O6" s="74">
        <v>2935.95</v>
      </c>
      <c r="P6" s="74">
        <v>3051.24</v>
      </c>
      <c r="Q6" s="74">
        <v>3156.52</v>
      </c>
      <c r="R6" s="74">
        <v>3179.32</v>
      </c>
      <c r="S6" s="74">
        <v>3027.95</v>
      </c>
      <c r="T6" s="74">
        <v>3085.83</v>
      </c>
      <c r="U6" s="74">
        <v>3103.11</v>
      </c>
      <c r="V6" s="74">
        <v>3173.23</v>
      </c>
      <c r="W6" s="74">
        <v>3184.46</v>
      </c>
      <c r="X6" s="74">
        <v>3316.72</v>
      </c>
      <c r="Y6" s="74">
        <v>3277.18</v>
      </c>
      <c r="Z6" s="74">
        <v>3293.21</v>
      </c>
      <c r="AA6" s="74">
        <v>3307.02</v>
      </c>
      <c r="AB6" s="74">
        <v>3306.77</v>
      </c>
      <c r="AC6" s="74">
        <v>3391.04</v>
      </c>
    </row>
    <row r="7" spans="1:29" x14ac:dyDescent="0.3">
      <c r="A7" s="1" t="s">
        <v>132</v>
      </c>
      <c r="B7" s="74">
        <v>1027.9100000000001</v>
      </c>
      <c r="C7" s="74">
        <v>1027.9100000000001</v>
      </c>
      <c r="D7" s="74">
        <v>1027.9100000000001</v>
      </c>
      <c r="E7" s="74">
        <v>1027.9100000000001</v>
      </c>
      <c r="F7" s="74">
        <v>1027.9100000000001</v>
      </c>
      <c r="G7" s="74">
        <v>1027.9100000000001</v>
      </c>
      <c r="H7" s="74">
        <v>933.1</v>
      </c>
      <c r="I7" s="74">
        <v>933.1</v>
      </c>
      <c r="J7" s="74">
        <v>968.88</v>
      </c>
      <c r="K7" s="74">
        <v>968.88</v>
      </c>
      <c r="L7" s="74">
        <v>968.88</v>
      </c>
      <c r="M7" s="74">
        <v>968.88</v>
      </c>
      <c r="N7" s="74">
        <v>968.88</v>
      </c>
      <c r="O7" s="74">
        <v>968.88</v>
      </c>
      <c r="P7" s="74">
        <v>968.88</v>
      </c>
      <c r="Q7" s="74">
        <v>968.88</v>
      </c>
      <c r="R7" s="74">
        <v>968.88</v>
      </c>
      <c r="S7" s="74">
        <v>968.88</v>
      </c>
      <c r="T7" s="74">
        <v>968.88</v>
      </c>
      <c r="U7" s="74">
        <v>968.88</v>
      </c>
      <c r="V7" s="74">
        <v>968.88</v>
      </c>
      <c r="W7" s="74">
        <v>968.88</v>
      </c>
      <c r="X7" s="74">
        <v>968.88</v>
      </c>
      <c r="Y7" s="74">
        <v>968.88</v>
      </c>
      <c r="Z7" s="74">
        <v>968.88</v>
      </c>
      <c r="AA7" s="74">
        <v>968.88</v>
      </c>
      <c r="AB7" s="74">
        <v>968.88</v>
      </c>
      <c r="AC7" s="74">
        <v>968.88</v>
      </c>
    </row>
    <row r="8" spans="1:29" x14ac:dyDescent="0.3">
      <c r="A8" s="15" t="s">
        <v>128</v>
      </c>
      <c r="B8" s="74">
        <v>10528.79</v>
      </c>
      <c r="C8" s="74">
        <v>10451.129999999999</v>
      </c>
      <c r="D8" s="74">
        <v>10449.73</v>
      </c>
      <c r="E8" s="76">
        <v>10521.44</v>
      </c>
      <c r="F8" s="74">
        <v>10588.35</v>
      </c>
      <c r="G8" s="74">
        <v>10551.41</v>
      </c>
      <c r="H8" s="74">
        <v>10661.66</v>
      </c>
      <c r="I8" s="74">
        <v>10675.34</v>
      </c>
      <c r="J8" s="74">
        <v>10695.57</v>
      </c>
      <c r="K8" s="74">
        <v>10735.67</v>
      </c>
      <c r="L8" s="74">
        <v>10699.16</v>
      </c>
      <c r="M8" s="74">
        <v>10657.57</v>
      </c>
      <c r="N8" s="74">
        <v>10568.72</v>
      </c>
      <c r="O8" s="74">
        <v>10809.37</v>
      </c>
      <c r="P8" s="74">
        <v>10896.32</v>
      </c>
      <c r="Q8" s="74">
        <v>11001.6</v>
      </c>
      <c r="R8" s="74">
        <v>11024.4</v>
      </c>
      <c r="S8" s="74">
        <v>10901.37</v>
      </c>
      <c r="T8" s="74">
        <v>10959.25</v>
      </c>
      <c r="U8" s="74">
        <v>10976.53</v>
      </c>
      <c r="V8" s="74">
        <v>11046.65</v>
      </c>
      <c r="W8" s="74">
        <v>11057.88</v>
      </c>
      <c r="X8" s="74">
        <v>11151.8</v>
      </c>
      <c r="Y8" s="74">
        <v>11112.26</v>
      </c>
      <c r="Z8" s="74">
        <v>11128.29</v>
      </c>
      <c r="AA8" s="74">
        <v>11142.1</v>
      </c>
      <c r="AB8" s="74">
        <v>11141.85</v>
      </c>
      <c r="AC8" s="74">
        <v>11226.12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29968-452A-43F6-923B-F57A948849C9}">
  <sheetPr codeName="Sheet2"/>
  <dimension ref="A1:R25"/>
  <sheetViews>
    <sheetView workbookViewId="0">
      <selection activeCell="D30" sqref="D30"/>
    </sheetView>
  </sheetViews>
  <sheetFormatPr defaultColWidth="8.88671875" defaultRowHeight="14.4" x14ac:dyDescent="0.3"/>
  <cols>
    <col min="1" max="1" width="22.44140625" style="1" customWidth="1"/>
    <col min="2" max="2" width="19.5546875" style="1" customWidth="1"/>
    <col min="3" max="3" width="8.88671875" style="1"/>
    <col min="4" max="4" width="35.33203125" style="1" bestFit="1" customWidth="1"/>
    <col min="5" max="5" width="17.5546875" style="1" customWidth="1"/>
    <col min="6" max="9" width="8.88671875" style="1"/>
    <col min="10" max="10" width="27" style="1" bestFit="1" customWidth="1"/>
    <col min="11" max="11" width="16.6640625" style="1" customWidth="1"/>
    <col min="12" max="16" width="8.88671875" style="1"/>
    <col min="17" max="17" width="16.33203125" style="1" bestFit="1" customWidth="1"/>
    <col min="18" max="18" width="10.33203125" style="1" bestFit="1" customWidth="1"/>
    <col min="19" max="16384" width="8.88671875" style="1"/>
  </cols>
  <sheetData>
    <row r="1" spans="1:18" ht="14.4" customHeight="1" x14ac:dyDescent="0.3">
      <c r="A1" s="98" t="s">
        <v>18</v>
      </c>
      <c r="B1" s="98"/>
      <c r="C1" s="98"/>
      <c r="D1" s="98"/>
      <c r="E1" s="98"/>
      <c r="F1" s="98"/>
      <c r="G1" s="98"/>
      <c r="J1" s="99" t="s">
        <v>584</v>
      </c>
      <c r="K1" s="99"/>
      <c r="Q1" s="96" t="s">
        <v>584</v>
      </c>
      <c r="R1" s="1" t="s">
        <v>620</v>
      </c>
    </row>
    <row r="2" spans="1:18" ht="14.4" customHeight="1" x14ac:dyDescent="0.3">
      <c r="A2" s="98"/>
      <c r="B2" s="98"/>
      <c r="C2" s="98"/>
      <c r="D2" s="98"/>
      <c r="E2" s="98"/>
      <c r="F2" s="98"/>
      <c r="G2" s="98"/>
      <c r="J2" s="99"/>
      <c r="K2" s="99"/>
      <c r="Q2" s="9" t="s">
        <v>104</v>
      </c>
      <c r="R2" s="3">
        <v>1080</v>
      </c>
    </row>
    <row r="3" spans="1:18" x14ac:dyDescent="0.3">
      <c r="J3" s="1" t="s">
        <v>585</v>
      </c>
      <c r="K3" s="3">
        <f>B7</f>
        <v>3750</v>
      </c>
      <c r="L3" s="18">
        <f>K3/$K$3</f>
        <v>1</v>
      </c>
      <c r="Q3" s="9" t="s">
        <v>586</v>
      </c>
      <c r="R3" s="3">
        <v>222.66666666666666</v>
      </c>
    </row>
    <row r="4" spans="1:18" s="9" customFormat="1" ht="17.25" customHeight="1" x14ac:dyDescent="0.3">
      <c r="A4" s="9" t="s">
        <v>19</v>
      </c>
      <c r="B4" s="10">
        <v>5000</v>
      </c>
      <c r="D4" s="9" t="s">
        <v>101</v>
      </c>
      <c r="E4" s="10">
        <f>B4*12</f>
        <v>60000</v>
      </c>
      <c r="J4" s="9" t="s">
        <v>104</v>
      </c>
      <c r="K4" s="10">
        <f>B11</f>
        <v>1080</v>
      </c>
      <c r="L4" s="18">
        <f t="shared" ref="L4:L6" si="0">K4/$K$3</f>
        <v>0.28799999999999998</v>
      </c>
      <c r="Q4" s="9" t="s">
        <v>587</v>
      </c>
      <c r="R4" s="10">
        <v>392</v>
      </c>
    </row>
    <row r="5" spans="1:18" s="9" customFormat="1" ht="17.25" customHeight="1" x14ac:dyDescent="0.3">
      <c r="A5" s="9" t="s">
        <v>20</v>
      </c>
      <c r="B5" s="10">
        <v>500</v>
      </c>
      <c r="E5" s="10">
        <f t="shared" ref="E5:E7" si="1">B5*12</f>
        <v>6000</v>
      </c>
      <c r="G5" s="10"/>
      <c r="J5" s="9" t="s">
        <v>586</v>
      </c>
      <c r="K5" s="10">
        <f>B12+B13+B14+B15</f>
        <v>222.66666666666666</v>
      </c>
      <c r="L5" s="18">
        <f t="shared" si="0"/>
        <v>5.9377777777777772E-2</v>
      </c>
      <c r="Q5" s="9" t="s">
        <v>617</v>
      </c>
      <c r="R5" s="10">
        <v>349.26099999999997</v>
      </c>
    </row>
    <row r="6" spans="1:18" s="9" customFormat="1" ht="17.25" customHeight="1" x14ac:dyDescent="0.3">
      <c r="A6" s="9" t="s">
        <v>21</v>
      </c>
      <c r="B6" s="10">
        <v>750</v>
      </c>
      <c r="E6" s="10">
        <f t="shared" si="1"/>
        <v>9000</v>
      </c>
      <c r="J6" s="9" t="s">
        <v>587</v>
      </c>
      <c r="K6" s="10">
        <f>B16+B17+B18</f>
        <v>392</v>
      </c>
      <c r="L6" s="18">
        <f t="shared" si="0"/>
        <v>0.10453333333333334</v>
      </c>
      <c r="Q6" s="9" t="s">
        <v>618</v>
      </c>
      <c r="R6" s="10">
        <v>349.26099999999997</v>
      </c>
    </row>
    <row r="7" spans="1:18" s="9" customFormat="1" ht="17.25" customHeight="1" x14ac:dyDescent="0.3">
      <c r="A7" s="9" t="s">
        <v>22</v>
      </c>
      <c r="B7" s="10">
        <f>B4-B5-B6</f>
        <v>3750</v>
      </c>
      <c r="D7" s="9" t="s">
        <v>102</v>
      </c>
      <c r="E7" s="10">
        <f t="shared" si="1"/>
        <v>45000</v>
      </c>
      <c r="J7" s="9" t="s">
        <v>588</v>
      </c>
      <c r="K7" s="10">
        <f>SUM(K4:K6)</f>
        <v>1694.6666666666667</v>
      </c>
      <c r="L7" s="95">
        <f>SUM(L4:L6)</f>
        <v>0.45191111111111104</v>
      </c>
      <c r="Q7" s="9" t="s">
        <v>619</v>
      </c>
      <c r="R7" s="10">
        <v>996.14466666666681</v>
      </c>
    </row>
    <row r="8" spans="1:18" x14ac:dyDescent="0.3">
      <c r="L8" s="95"/>
    </row>
    <row r="9" spans="1:18" ht="20.25" customHeight="1" x14ac:dyDescent="0.3">
      <c r="A9" s="70" t="s">
        <v>103</v>
      </c>
      <c r="D9" s="1" t="s">
        <v>575</v>
      </c>
      <c r="J9" s="94" t="s">
        <v>589</v>
      </c>
      <c r="L9" s="95"/>
    </row>
    <row r="10" spans="1:18" x14ac:dyDescent="0.3">
      <c r="A10" s="71" t="s">
        <v>109</v>
      </c>
      <c r="D10" s="16" t="s">
        <v>114</v>
      </c>
      <c r="J10" s="1" t="s">
        <v>590</v>
      </c>
      <c r="K10" s="3">
        <f>10%*$K$3</f>
        <v>375</v>
      </c>
      <c r="L10" s="18">
        <f t="shared" ref="L10:L11" si="2">K10/$K$3</f>
        <v>0.1</v>
      </c>
    </row>
    <row r="11" spans="1:18" x14ac:dyDescent="0.3">
      <c r="A11" s="1" t="s">
        <v>104</v>
      </c>
      <c r="B11" s="3">
        <f>540*2</f>
        <v>1080</v>
      </c>
      <c r="D11" s="1" t="s">
        <v>576</v>
      </c>
      <c r="E11" s="3">
        <f>SUMIF(Expenses!C5:C600,"Food",Expenses!B5:B600)</f>
        <v>0</v>
      </c>
      <c r="J11" s="1" t="s">
        <v>591</v>
      </c>
      <c r="K11" s="3">
        <f>10%*$K$3</f>
        <v>375</v>
      </c>
      <c r="L11" s="18">
        <f t="shared" si="2"/>
        <v>0.1</v>
      </c>
    </row>
    <row r="12" spans="1:18" x14ac:dyDescent="0.3">
      <c r="A12" s="1" t="s">
        <v>105</v>
      </c>
      <c r="B12" s="3">
        <v>140</v>
      </c>
      <c r="D12" s="1" t="s">
        <v>577</v>
      </c>
      <c r="E12" s="3">
        <f>SUMIF(Expenses!C5:C600,"Eat Out",Expenses!B5:B600)</f>
        <v>0</v>
      </c>
      <c r="J12" s="1" t="s">
        <v>593</v>
      </c>
      <c r="K12" s="3">
        <f>K10+K11</f>
        <v>750</v>
      </c>
      <c r="L12" s="18">
        <f>L10+L11</f>
        <v>0.2</v>
      </c>
    </row>
    <row r="13" spans="1:18" x14ac:dyDescent="0.3">
      <c r="A13" s="1" t="s">
        <v>106</v>
      </c>
      <c r="B13" s="3">
        <v>30</v>
      </c>
      <c r="D13" s="1" t="s">
        <v>578</v>
      </c>
      <c r="E13" s="3">
        <f>SUMIF(Expenses!C5:C600,"Drinks",Expenses!B5:B600)</f>
        <v>0</v>
      </c>
    </row>
    <row r="14" spans="1:18" x14ac:dyDescent="0.3">
      <c r="A14" s="1" t="s">
        <v>107</v>
      </c>
      <c r="B14" s="3">
        <f>90/3</f>
        <v>30</v>
      </c>
      <c r="D14" s="1" t="s">
        <v>579</v>
      </c>
      <c r="E14" s="3">
        <f>SUMIF(Expenses!C5:C600,"Petrol",Expenses!B5:B600)</f>
        <v>0</v>
      </c>
      <c r="J14" s="1" t="s">
        <v>592</v>
      </c>
      <c r="K14" s="3">
        <f>K7-K10-K11</f>
        <v>944.66666666666674</v>
      </c>
      <c r="L14" s="18">
        <f>K14/K3</f>
        <v>0.25191111111111114</v>
      </c>
    </row>
    <row r="15" spans="1:18" x14ac:dyDescent="0.3">
      <c r="A15" s="1" t="s">
        <v>108</v>
      </c>
      <c r="B15" s="3">
        <f>68/3</f>
        <v>22.666666666666668</v>
      </c>
      <c r="D15" s="1" t="s">
        <v>580</v>
      </c>
      <c r="E15" s="3">
        <f>SUMIF(Expenses!C5:C600,"Rent",Expenses!B5:B600)</f>
        <v>0</v>
      </c>
    </row>
    <row r="16" spans="1:18" x14ac:dyDescent="0.3">
      <c r="A16" s="1" t="s">
        <v>110</v>
      </c>
      <c r="B16" s="3">
        <v>80</v>
      </c>
      <c r="D16" s="1" t="s">
        <v>581</v>
      </c>
      <c r="E16" s="3">
        <f>SUMIF(Expenses!C5:C600,"Uber",Expenses!B5:B600)</f>
        <v>0</v>
      </c>
    </row>
    <row r="17" spans="1:5" x14ac:dyDescent="0.3">
      <c r="A17" s="1" t="s">
        <v>111</v>
      </c>
      <c r="B17" s="3">
        <v>12</v>
      </c>
      <c r="D17" s="1" t="s">
        <v>622</v>
      </c>
      <c r="E17" s="3">
        <f>SUMIF(Expenses!C5:C601,"Clothes",Expenses!B5:B601)</f>
        <v>46</v>
      </c>
    </row>
    <row r="18" spans="1:5" x14ac:dyDescent="0.3">
      <c r="A18" s="1" t="s">
        <v>112</v>
      </c>
      <c r="B18" s="3">
        <f>75*4</f>
        <v>300</v>
      </c>
      <c r="E18" s="3"/>
    </row>
    <row r="19" spans="1:5" x14ac:dyDescent="0.3">
      <c r="B19" s="3"/>
      <c r="E19" s="3"/>
    </row>
    <row r="20" spans="1:5" x14ac:dyDescent="0.3">
      <c r="B20" s="3"/>
    </row>
    <row r="21" spans="1:5" x14ac:dyDescent="0.3">
      <c r="A21" s="1" t="s">
        <v>76</v>
      </c>
      <c r="B21" s="3">
        <f>SUM(B11:B20)</f>
        <v>1694.6666666666667</v>
      </c>
    </row>
    <row r="23" spans="1:5" x14ac:dyDescent="0.3">
      <c r="A23" s="15" t="s">
        <v>113</v>
      </c>
      <c r="B23" s="73">
        <f>B7-B21</f>
        <v>2055.333333333333</v>
      </c>
      <c r="C23" s="15"/>
      <c r="D23" s="15" t="s">
        <v>611</v>
      </c>
      <c r="E23" s="73">
        <f>K14-SUM(E11:E21)</f>
        <v>898.66666666666674</v>
      </c>
    </row>
    <row r="25" spans="1:5" x14ac:dyDescent="0.3">
      <c r="B25" s="15"/>
      <c r="E25" s="3"/>
    </row>
  </sheetData>
  <mergeCells count="2">
    <mergeCell ref="A1:G2"/>
    <mergeCell ref="J1:K2"/>
  </mergeCell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7409" r:id="rId4" name="CommandButton1">
          <controlPr defaultSize="0" autoLine="0" r:id="rId5">
            <anchor moveWithCells="1">
              <from>
                <xdr:col>5</xdr:col>
                <xdr:colOff>365760</xdr:colOff>
                <xdr:row>3</xdr:row>
                <xdr:rowOff>106680</xdr:rowOff>
              </from>
              <to>
                <xdr:col>7</xdr:col>
                <xdr:colOff>480060</xdr:colOff>
                <xdr:row>6</xdr:row>
                <xdr:rowOff>160020</xdr:rowOff>
              </to>
            </anchor>
          </controlPr>
        </control>
      </mc:Choice>
      <mc:Fallback>
        <control shapeId="17409"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ED287-0646-457C-AFBA-A15A87616CB0}">
  <sheetPr codeName="Sheet12"/>
  <dimension ref="A1:G31"/>
  <sheetViews>
    <sheetView workbookViewId="0">
      <selection activeCell="E20" sqref="E20"/>
    </sheetView>
  </sheetViews>
  <sheetFormatPr defaultColWidth="9.109375" defaultRowHeight="14.4" x14ac:dyDescent="0.3"/>
  <cols>
    <col min="1" max="1" width="25.109375" style="1" customWidth="1"/>
    <col min="2" max="2" width="16.88671875" style="1" bestFit="1" customWidth="1"/>
    <col min="3" max="3" width="13.44140625" style="1" customWidth="1"/>
    <col min="4" max="4" width="11.109375" style="1" customWidth="1"/>
    <col min="5" max="16384" width="9.109375" style="1"/>
  </cols>
  <sheetData>
    <row r="1" spans="1:7" x14ac:dyDescent="0.3">
      <c r="A1" s="98" t="s">
        <v>103</v>
      </c>
      <c r="B1" s="98"/>
      <c r="C1" s="98"/>
      <c r="D1" s="98"/>
      <c r="E1" s="98"/>
      <c r="F1" s="98"/>
      <c r="G1" s="98"/>
    </row>
    <row r="2" spans="1:7" x14ac:dyDescent="0.3">
      <c r="A2" s="98"/>
      <c r="B2" s="98"/>
      <c r="C2" s="98"/>
      <c r="D2" s="98"/>
      <c r="E2" s="98"/>
      <c r="F2" s="98"/>
      <c r="G2" s="98"/>
    </row>
    <row r="4" spans="1:7" x14ac:dyDescent="0.3">
      <c r="A4" s="1" t="s">
        <v>15</v>
      </c>
      <c r="B4" s="8" t="s">
        <v>118</v>
      </c>
      <c r="C4" s="8" t="s">
        <v>119</v>
      </c>
    </row>
    <row r="5" spans="1:7" x14ac:dyDescent="0.3">
      <c r="A5" s="72">
        <v>44393</v>
      </c>
      <c r="B5" s="3">
        <v>46</v>
      </c>
      <c r="C5" s="1" t="s">
        <v>621</v>
      </c>
    </row>
    <row r="6" spans="1:7" x14ac:dyDescent="0.3">
      <c r="A6" s="72"/>
      <c r="B6" s="3"/>
    </row>
    <row r="7" spans="1:7" x14ac:dyDescent="0.3">
      <c r="A7" s="72"/>
      <c r="B7" s="3"/>
    </row>
    <row r="8" spans="1:7" x14ac:dyDescent="0.3">
      <c r="A8" s="72"/>
      <c r="B8" s="3"/>
    </row>
    <row r="9" spans="1:7" x14ac:dyDescent="0.3">
      <c r="A9" s="72"/>
      <c r="B9" s="3"/>
    </row>
    <row r="10" spans="1:7" x14ac:dyDescent="0.3">
      <c r="A10" s="72"/>
      <c r="B10" s="3"/>
    </row>
    <row r="11" spans="1:7" x14ac:dyDescent="0.3">
      <c r="A11" s="72"/>
      <c r="B11" s="3"/>
    </row>
    <row r="12" spans="1:7" x14ac:dyDescent="0.3">
      <c r="A12" s="72"/>
      <c r="B12" s="3"/>
    </row>
    <row r="13" spans="1:7" x14ac:dyDescent="0.3">
      <c r="A13" s="72"/>
      <c r="B13" s="3"/>
    </row>
    <row r="14" spans="1:7" x14ac:dyDescent="0.3">
      <c r="A14" s="72"/>
      <c r="B14" s="3"/>
    </row>
    <row r="15" spans="1:7" x14ac:dyDescent="0.3">
      <c r="A15" s="72"/>
      <c r="B15" s="3"/>
    </row>
    <row r="16" spans="1:7" x14ac:dyDescent="0.3">
      <c r="A16" s="72"/>
      <c r="B16" s="3"/>
    </row>
    <row r="17" spans="1:2" x14ac:dyDescent="0.3">
      <c r="A17" s="72"/>
      <c r="B17" s="3"/>
    </row>
    <row r="18" spans="1:2" x14ac:dyDescent="0.3">
      <c r="A18" s="72"/>
      <c r="B18" s="3"/>
    </row>
    <row r="19" spans="1:2" x14ac:dyDescent="0.3">
      <c r="A19" s="72"/>
      <c r="B19" s="3"/>
    </row>
    <row r="20" spans="1:2" x14ac:dyDescent="0.3">
      <c r="A20" s="72"/>
      <c r="B20" s="3"/>
    </row>
    <row r="21" spans="1:2" x14ac:dyDescent="0.3">
      <c r="A21" s="72"/>
      <c r="B21" s="3"/>
    </row>
    <row r="22" spans="1:2" x14ac:dyDescent="0.3">
      <c r="A22" s="72"/>
      <c r="B22" s="3"/>
    </row>
    <row r="23" spans="1:2" x14ac:dyDescent="0.3">
      <c r="A23" s="72"/>
      <c r="B23" s="3"/>
    </row>
    <row r="24" spans="1:2" x14ac:dyDescent="0.3">
      <c r="A24" s="72"/>
      <c r="B24" s="3"/>
    </row>
    <row r="25" spans="1:2" x14ac:dyDescent="0.3">
      <c r="A25" s="72"/>
      <c r="B25" s="3"/>
    </row>
    <row r="26" spans="1:2" x14ac:dyDescent="0.3">
      <c r="A26" s="72"/>
      <c r="B26" s="3"/>
    </row>
    <row r="27" spans="1:2" x14ac:dyDescent="0.3">
      <c r="A27" s="72"/>
      <c r="B27" s="3"/>
    </row>
    <row r="28" spans="1:2" x14ac:dyDescent="0.3">
      <c r="A28" s="72"/>
      <c r="B28" s="3"/>
    </row>
    <row r="29" spans="1:2" x14ac:dyDescent="0.3">
      <c r="A29" s="72"/>
      <c r="B29" s="3"/>
    </row>
    <row r="30" spans="1:2" x14ac:dyDescent="0.3">
      <c r="A30" s="72"/>
      <c r="B30" s="3"/>
    </row>
    <row r="31" spans="1:2" x14ac:dyDescent="0.3">
      <c r="A31" s="72"/>
      <c r="B31" s="3"/>
    </row>
  </sheetData>
  <mergeCells count="1">
    <mergeCell ref="A1:G2"/>
  </mergeCells>
  <pageMargins left="0.7" right="0.7" top="0.75" bottom="0.75" header="0.3" footer="0.3"/>
  <drawing r:id="rId1"/>
  <legacyDrawing r:id="rId2"/>
  <controls>
    <mc:AlternateContent xmlns:mc="http://schemas.openxmlformats.org/markup-compatibility/2006">
      <mc:Choice Requires="x14">
        <control shapeId="13313" r:id="rId3" name="CommandButton1">
          <controlPr defaultSize="0" autoLine="0" r:id="rId4">
            <anchor moveWithCells="1">
              <from>
                <xdr:col>5</xdr:col>
                <xdr:colOff>38100</xdr:colOff>
                <xdr:row>3</xdr:row>
                <xdr:rowOff>121920</xdr:rowOff>
              </from>
              <to>
                <xdr:col>7</xdr:col>
                <xdr:colOff>121920</xdr:colOff>
                <xdr:row>7</xdr:row>
                <xdr:rowOff>83820</xdr:rowOff>
              </to>
            </anchor>
          </controlPr>
        </control>
      </mc:Choice>
      <mc:Fallback>
        <control shapeId="13313" r:id="rId3"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41E76-0040-4D5C-915A-02E995023C48}">
  <sheetPr codeName="Sheet18"/>
  <dimension ref="A1:W16"/>
  <sheetViews>
    <sheetView workbookViewId="0">
      <selection activeCell="B14" sqref="B14"/>
    </sheetView>
  </sheetViews>
  <sheetFormatPr defaultColWidth="8.88671875" defaultRowHeight="14.4" x14ac:dyDescent="0.3"/>
  <cols>
    <col min="1" max="1" width="20.33203125" style="1" bestFit="1" customWidth="1"/>
    <col min="2" max="2" width="23.77734375" style="1" bestFit="1" customWidth="1"/>
    <col min="3" max="3" width="15.33203125" style="1" bestFit="1" customWidth="1"/>
    <col min="4" max="5" width="18.33203125" style="1" bestFit="1" customWidth="1"/>
    <col min="6" max="6" width="18.33203125" style="1" customWidth="1"/>
    <col min="7" max="7" width="14.33203125" style="1" customWidth="1"/>
    <col min="8" max="8" width="8.88671875" style="1"/>
    <col min="9" max="9" width="35.33203125" style="1" bestFit="1" customWidth="1"/>
    <col min="10" max="10" width="8.88671875" style="1"/>
    <col min="11" max="11" width="10.33203125" style="1" customWidth="1"/>
    <col min="12" max="12" width="13.33203125" style="1" bestFit="1" customWidth="1"/>
    <col min="13" max="13" width="8.88671875" style="1"/>
    <col min="14" max="14" width="10.6640625" style="1" customWidth="1"/>
    <col min="15" max="15" width="12.33203125" style="1" customWidth="1"/>
    <col min="16" max="16" width="9.44140625" style="1" customWidth="1"/>
    <col min="17" max="18" width="13.33203125" style="1" customWidth="1"/>
    <col min="19" max="19" width="16.6640625" style="1" bestFit="1" customWidth="1"/>
    <col min="20" max="21" width="8.88671875" style="1"/>
    <col min="22" max="22" width="13.33203125" style="1" customWidth="1"/>
    <col min="23" max="23" width="11.33203125" style="1" bestFit="1" customWidth="1"/>
    <col min="24" max="16384" width="8.88671875" style="1"/>
  </cols>
  <sheetData>
    <row r="1" spans="1:23" x14ac:dyDescent="0.3">
      <c r="A1" s="1" t="s">
        <v>598</v>
      </c>
      <c r="B1" s="1" t="s">
        <v>624</v>
      </c>
      <c r="C1" s="1" t="s">
        <v>595</v>
      </c>
      <c r="D1" s="1" t="s">
        <v>596</v>
      </c>
      <c r="E1" s="1" t="s">
        <v>597</v>
      </c>
      <c r="F1" s="1" t="s">
        <v>609</v>
      </c>
      <c r="G1" s="8" t="s">
        <v>610</v>
      </c>
      <c r="I1" s="1" t="s">
        <v>599</v>
      </c>
      <c r="K1" s="1" t="s">
        <v>569</v>
      </c>
      <c r="L1" s="1" t="s">
        <v>568</v>
      </c>
      <c r="M1" s="1" t="s">
        <v>556</v>
      </c>
      <c r="N1" s="1" t="s">
        <v>572</v>
      </c>
      <c r="O1" s="1" t="s">
        <v>573</v>
      </c>
      <c r="P1" s="1" t="s">
        <v>556</v>
      </c>
      <c r="Q1" s="1" t="s">
        <v>553</v>
      </c>
      <c r="S1" s="1" t="s">
        <v>570</v>
      </c>
      <c r="T1" s="78">
        <v>0.1</v>
      </c>
      <c r="V1" s="1" t="s">
        <v>18</v>
      </c>
      <c r="W1" s="1" t="s">
        <v>574</v>
      </c>
    </row>
    <row r="2" spans="1:23" x14ac:dyDescent="0.3">
      <c r="A2" s="8" t="s">
        <v>594</v>
      </c>
      <c r="B2" s="3">
        <v>1803.67</v>
      </c>
      <c r="C2" s="3">
        <f>B2-D2-E2</f>
        <v>1185.1300000000001</v>
      </c>
      <c r="D2" s="3">
        <v>600</v>
      </c>
      <c r="E2" s="3">
        <v>18.54</v>
      </c>
      <c r="F2" s="3">
        <v>0</v>
      </c>
      <c r="G2" s="3">
        <f>B2+F2</f>
        <v>1803.67</v>
      </c>
      <c r="I2" s="1" t="s">
        <v>602</v>
      </c>
      <c r="K2" s="1">
        <v>2021</v>
      </c>
      <c r="L2" s="1">
        <v>10212.57</v>
      </c>
      <c r="M2" s="1">
        <f>Q2/L2</f>
        <v>0.48959272739379023</v>
      </c>
      <c r="N2" s="1">
        <v>5000</v>
      </c>
      <c r="Q2" s="1">
        <f>N2</f>
        <v>5000</v>
      </c>
      <c r="S2" s="1" t="s">
        <v>571</v>
      </c>
      <c r="T2" s="78">
        <v>0.05</v>
      </c>
      <c r="V2" s="3">
        <f>'Salary &amp; Spend'!E7</f>
        <v>45000</v>
      </c>
      <c r="W2" s="3">
        <f>V2*10%</f>
        <v>4500</v>
      </c>
    </row>
    <row r="3" spans="1:23" x14ac:dyDescent="0.3">
      <c r="A3" s="8" t="s">
        <v>601</v>
      </c>
      <c r="B3" s="3">
        <f>B2+'Salary &amp; Spend'!$K$12</f>
        <v>2553.67</v>
      </c>
      <c r="C3" s="3">
        <f>B3-D3-E3</f>
        <v>1560.13</v>
      </c>
      <c r="D3" s="3">
        <v>600</v>
      </c>
      <c r="E3" s="3">
        <f>E2+'Salary &amp; Spend'!$K$11</f>
        <v>393.54</v>
      </c>
      <c r="F3" s="3">
        <f>G3-B3</f>
        <v>136.82999999999993</v>
      </c>
      <c r="G3" s="3">
        <v>2690.5</v>
      </c>
      <c r="I3" s="1" t="s">
        <v>603</v>
      </c>
      <c r="K3" s="1">
        <f>K2+1</f>
        <v>2022</v>
      </c>
      <c r="L3" s="3">
        <f>L2*(1+$T$1)+$T$2*L2*(2/3)+W2</f>
        <v>16074.246000000001</v>
      </c>
      <c r="M3" s="1">
        <f t="shared" ref="M3:M5" si="0">Q3/L3</f>
        <v>0.68894341918121693</v>
      </c>
      <c r="N3" s="1">
        <f>L3-2*Q2</f>
        <v>6074.246000000001</v>
      </c>
      <c r="O3" s="1">
        <f>L3+N3</f>
        <v>22148.492000000002</v>
      </c>
      <c r="P3" s="1">
        <f>Q3/O3</f>
        <v>0.5</v>
      </c>
      <c r="Q3" s="1">
        <f>Q2+N3</f>
        <v>11074.246000000001</v>
      </c>
      <c r="S3" s="1" t="s">
        <v>572</v>
      </c>
      <c r="T3" s="1">
        <v>5000</v>
      </c>
      <c r="V3" s="3">
        <f>V2*(1+20%)</f>
        <v>54000</v>
      </c>
      <c r="W3" s="3">
        <f t="shared" ref="W3:W11" si="1">V3*10%</f>
        <v>5400</v>
      </c>
    </row>
    <row r="4" spans="1:23" x14ac:dyDescent="0.3">
      <c r="A4" s="8" t="s">
        <v>604</v>
      </c>
      <c r="B4" s="3">
        <f>B3+'Salary &amp; Spend'!$K$12</f>
        <v>3303.67</v>
      </c>
      <c r="C4" s="3">
        <f t="shared" ref="C4:C14" si="2">B4-D4-E4</f>
        <v>1935.13</v>
      </c>
      <c r="D4" s="3">
        <v>600</v>
      </c>
      <c r="E4" s="3">
        <f>E3+'Salary &amp; Spend'!$K$11</f>
        <v>768.54</v>
      </c>
      <c r="F4" s="3"/>
      <c r="G4" s="3"/>
      <c r="I4" s="1" t="s">
        <v>600</v>
      </c>
      <c r="K4" s="1">
        <f t="shared" ref="K4:K5" si="3">K3+1</f>
        <v>2023</v>
      </c>
      <c r="L4" s="3">
        <f t="shared" ref="L4:L11" si="4">L3*(1+$T$1)+$T$2*L3*(2/3)+W3</f>
        <v>23617.478800000001</v>
      </c>
      <c r="M4" s="1">
        <f t="shared" si="0"/>
        <v>0.53109956851109774</v>
      </c>
      <c r="N4" s="1">
        <f t="shared" ref="N4:N5" si="5">L4-2*Q3</f>
        <v>1468.9867999999988</v>
      </c>
      <c r="O4" s="1">
        <f t="shared" ref="O4:O5" si="6">L4+N4</f>
        <v>25086.4656</v>
      </c>
      <c r="P4" s="1">
        <f t="shared" ref="P4:P11" si="7">Q4/O4</f>
        <v>0.5</v>
      </c>
      <c r="Q4" s="1">
        <f t="shared" ref="Q4:Q5" si="8">Q3+N4</f>
        <v>12543.2328</v>
      </c>
      <c r="V4" s="3">
        <f t="shared" ref="V4:V5" si="9">V3*(1+20%)</f>
        <v>64800</v>
      </c>
      <c r="W4" s="3">
        <f t="shared" si="1"/>
        <v>6480</v>
      </c>
    </row>
    <row r="5" spans="1:23" x14ac:dyDescent="0.3">
      <c r="A5" s="8" t="s">
        <v>605</v>
      </c>
      <c r="B5" s="3">
        <f>B4+'Salary &amp; Spend'!$K$12</f>
        <v>4053.67</v>
      </c>
      <c r="C5" s="3">
        <f t="shared" si="2"/>
        <v>2310.13</v>
      </c>
      <c r="D5" s="3">
        <v>600</v>
      </c>
      <c r="E5" s="3">
        <f>E4+'Salary &amp; Spend'!$K$11</f>
        <v>1143.54</v>
      </c>
      <c r="F5" s="3"/>
      <c r="G5" s="3"/>
      <c r="K5" s="1">
        <f t="shared" si="3"/>
        <v>2024</v>
      </c>
      <c r="L5" s="3">
        <f t="shared" si="4"/>
        <v>33246.475973333334</v>
      </c>
      <c r="M5" s="1">
        <f t="shared" si="0"/>
        <v>0.62271992947280186</v>
      </c>
      <c r="N5" s="1">
        <f t="shared" si="5"/>
        <v>8160.0103733333344</v>
      </c>
      <c r="O5" s="1">
        <f t="shared" si="6"/>
        <v>41406.486346666672</v>
      </c>
      <c r="P5" s="1">
        <f t="shared" si="7"/>
        <v>0.5</v>
      </c>
      <c r="Q5" s="1">
        <f t="shared" si="8"/>
        <v>20703.243173333336</v>
      </c>
      <c r="V5" s="3">
        <f t="shared" si="9"/>
        <v>77760</v>
      </c>
      <c r="W5" s="3">
        <f t="shared" si="1"/>
        <v>7776</v>
      </c>
    </row>
    <row r="6" spans="1:23" x14ac:dyDescent="0.3">
      <c r="A6" s="8" t="s">
        <v>606</v>
      </c>
      <c r="B6" s="3">
        <f>B5+'Salary &amp; Spend'!$K$12</f>
        <v>4803.67</v>
      </c>
      <c r="C6" s="3">
        <f t="shared" si="2"/>
        <v>2685.13</v>
      </c>
      <c r="D6" s="3">
        <v>600</v>
      </c>
      <c r="E6" s="3">
        <f>E5+'Salary &amp; Spend'!$K$11</f>
        <v>1518.54</v>
      </c>
      <c r="F6" s="3"/>
      <c r="G6" s="3"/>
      <c r="K6" s="1">
        <f t="shared" ref="K6:K11" si="10">K5+1</f>
        <v>2025</v>
      </c>
      <c r="L6" s="3">
        <f t="shared" si="4"/>
        <v>45455.339436444447</v>
      </c>
      <c r="M6" s="1">
        <f t="shared" ref="M6:M11" si="11">Q6/L6</f>
        <v>0.54453660603985665</v>
      </c>
      <c r="N6" s="1">
        <f t="shared" ref="N6:N11" si="12">L6-2*Q5</f>
        <v>4048.8530897777746</v>
      </c>
      <c r="O6" s="1">
        <f t="shared" ref="O6:O11" si="13">L6+N6</f>
        <v>49504.192526222221</v>
      </c>
      <c r="P6" s="1">
        <f t="shared" si="7"/>
        <v>0.5</v>
      </c>
      <c r="Q6" s="1">
        <f t="shared" ref="Q6:Q11" si="14">Q5+N6</f>
        <v>24752.096263111111</v>
      </c>
      <c r="V6" s="3">
        <f t="shared" ref="V6:V8" si="15">V5*(1+15%)</f>
        <v>89424</v>
      </c>
      <c r="W6" s="3">
        <f t="shared" si="1"/>
        <v>8942.4</v>
      </c>
    </row>
    <row r="7" spans="1:23" x14ac:dyDescent="0.3">
      <c r="A7" s="8" t="s">
        <v>607</v>
      </c>
      <c r="B7" s="3">
        <f>B6+'Salary &amp; Spend'!$K$12</f>
        <v>5553.67</v>
      </c>
      <c r="C7" s="3">
        <f t="shared" si="2"/>
        <v>3060.13</v>
      </c>
      <c r="D7" s="3">
        <v>600</v>
      </c>
      <c r="E7" s="3">
        <f>E6+'Salary &amp; Spend'!$K$11</f>
        <v>1893.54</v>
      </c>
      <c r="F7" s="3"/>
      <c r="G7" s="3"/>
      <c r="K7" s="1">
        <f t="shared" si="10"/>
        <v>2026</v>
      </c>
      <c r="L7" s="3">
        <f t="shared" si="4"/>
        <v>60458.451361303712</v>
      </c>
      <c r="M7" s="1">
        <f t="shared" si="11"/>
        <v>0.59059328008269774</v>
      </c>
      <c r="N7" s="1">
        <f t="shared" si="12"/>
        <v>10954.258835081491</v>
      </c>
      <c r="O7" s="1">
        <f t="shared" si="13"/>
        <v>71412.710196385204</v>
      </c>
      <c r="P7" s="1">
        <f t="shared" si="7"/>
        <v>0.5</v>
      </c>
      <c r="Q7" s="1">
        <f t="shared" si="14"/>
        <v>35706.355098192602</v>
      </c>
      <c r="V7" s="3">
        <f t="shared" si="15"/>
        <v>102837.59999999999</v>
      </c>
      <c r="W7" s="3">
        <f t="shared" si="1"/>
        <v>10283.76</v>
      </c>
    </row>
    <row r="8" spans="1:23" x14ac:dyDescent="0.3">
      <c r="A8" s="8" t="s">
        <v>608</v>
      </c>
      <c r="B8" s="3">
        <f>B7+'Salary &amp; Spend'!$K$12</f>
        <v>6303.67</v>
      </c>
      <c r="C8" s="3">
        <f t="shared" si="2"/>
        <v>3435.13</v>
      </c>
      <c r="D8" s="3">
        <v>600</v>
      </c>
      <c r="E8" s="3">
        <f>E7+'Salary &amp; Spend'!$K$11</f>
        <v>2268.54</v>
      </c>
      <c r="F8" s="3"/>
      <c r="G8" s="3"/>
      <c r="K8" s="1">
        <f t="shared" si="10"/>
        <v>2027</v>
      </c>
      <c r="L8" s="3">
        <f t="shared" si="4"/>
        <v>78803.338209477544</v>
      </c>
      <c r="M8" s="1">
        <f t="shared" si="11"/>
        <v>0.54689286127350556</v>
      </c>
      <c r="N8" s="1">
        <f t="shared" si="12"/>
        <v>7390.6280130923406</v>
      </c>
      <c r="O8" s="1">
        <f t="shared" si="13"/>
        <v>86193.966222569885</v>
      </c>
      <c r="P8" s="1">
        <f t="shared" si="7"/>
        <v>0.5</v>
      </c>
      <c r="Q8" s="1">
        <f t="shared" si="14"/>
        <v>43096.983111284942</v>
      </c>
      <c r="V8" s="3">
        <f t="shared" si="15"/>
        <v>118263.23999999998</v>
      </c>
      <c r="W8" s="3">
        <f t="shared" si="1"/>
        <v>11826.323999999999</v>
      </c>
    </row>
    <row r="9" spans="1:23" x14ac:dyDescent="0.3">
      <c r="A9" s="8" t="s">
        <v>612</v>
      </c>
      <c r="B9" s="3">
        <f>B8+'Salary &amp; Spend'!$K$12</f>
        <v>7053.67</v>
      </c>
      <c r="C9" s="3">
        <f t="shared" si="2"/>
        <v>3810.13</v>
      </c>
      <c r="D9" s="3">
        <v>600</v>
      </c>
      <c r="E9" s="3">
        <f>E8+'Salary &amp; Spend'!$K$11</f>
        <v>2643.54</v>
      </c>
      <c r="F9" s="3"/>
      <c r="G9" s="3"/>
      <c r="K9" s="1">
        <f t="shared" si="10"/>
        <v>2028</v>
      </c>
      <c r="L9" s="3">
        <f t="shared" si="4"/>
        <v>101136.77397074123</v>
      </c>
      <c r="M9" s="1">
        <f t="shared" si="11"/>
        <v>0.57387425543400405</v>
      </c>
      <c r="N9" s="1">
        <f t="shared" si="12"/>
        <v>14942.807748171341</v>
      </c>
      <c r="O9" s="1">
        <f t="shared" si="13"/>
        <v>116079.58171891257</v>
      </c>
      <c r="P9" s="1">
        <f t="shared" si="7"/>
        <v>0.5</v>
      </c>
      <c r="Q9" s="1">
        <f t="shared" si="14"/>
        <v>58039.790859456283</v>
      </c>
      <c r="V9" s="3">
        <f>V8*(1+5%)</f>
        <v>124176.40199999999</v>
      </c>
      <c r="W9" s="3">
        <f t="shared" si="1"/>
        <v>12417.6402</v>
      </c>
    </row>
    <row r="10" spans="1:23" x14ac:dyDescent="0.3">
      <c r="A10" s="8" t="s">
        <v>613</v>
      </c>
      <c r="B10" s="3">
        <f>B9+'Salary &amp; Spend'!$K$12</f>
        <v>7803.67</v>
      </c>
      <c r="C10" s="3">
        <f t="shared" si="2"/>
        <v>4185.13</v>
      </c>
      <c r="D10" s="3">
        <v>600</v>
      </c>
      <c r="E10" s="3">
        <f>E9+'Salary &amp; Spend'!$K$11</f>
        <v>3018.54</v>
      </c>
      <c r="F10" s="3"/>
      <c r="G10" s="3"/>
      <c r="K10" s="1">
        <f t="shared" si="10"/>
        <v>2029</v>
      </c>
      <c r="L10" s="3">
        <f t="shared" si="4"/>
        <v>127039.31736684006</v>
      </c>
      <c r="M10" s="1">
        <f t="shared" si="11"/>
        <v>0.54313521150416777</v>
      </c>
      <c r="N10" s="1">
        <f t="shared" si="12"/>
        <v>10959.735647927489</v>
      </c>
      <c r="O10" s="1">
        <f t="shared" si="13"/>
        <v>137999.05301476753</v>
      </c>
      <c r="P10" s="1">
        <f t="shared" si="7"/>
        <v>0.5</v>
      </c>
      <c r="Q10" s="1">
        <f t="shared" si="14"/>
        <v>68999.526507383765</v>
      </c>
      <c r="V10" s="3">
        <f t="shared" ref="V10:V11" si="16">V9*(1+5%)</f>
        <v>130385.2221</v>
      </c>
      <c r="W10" s="3">
        <f t="shared" si="1"/>
        <v>13038.522210000001</v>
      </c>
    </row>
    <row r="11" spans="1:23" x14ac:dyDescent="0.3">
      <c r="A11" s="8" t="s">
        <v>614</v>
      </c>
      <c r="B11" s="3">
        <f>B10+'Salary &amp; Spend'!$K$12</f>
        <v>8553.67</v>
      </c>
      <c r="C11" s="3">
        <f t="shared" si="2"/>
        <v>4560.13</v>
      </c>
      <c r="D11" s="3">
        <v>600</v>
      </c>
      <c r="E11" s="3">
        <f>E10+'Salary &amp; Spend'!$K$11</f>
        <v>3393.54</v>
      </c>
      <c r="F11" s="3"/>
      <c r="G11" s="3"/>
      <c r="K11" s="1">
        <f t="shared" si="10"/>
        <v>2030</v>
      </c>
      <c r="L11" s="3">
        <f t="shared" si="4"/>
        <v>157016.41522575208</v>
      </c>
      <c r="M11" s="1">
        <f t="shared" si="11"/>
        <v>0.56055851607502982</v>
      </c>
      <c r="N11" s="1">
        <f t="shared" si="12"/>
        <v>19017.362210984546</v>
      </c>
      <c r="O11" s="1">
        <f t="shared" si="13"/>
        <v>176033.77743673662</v>
      </c>
      <c r="P11" s="1">
        <f t="shared" si="7"/>
        <v>0.5</v>
      </c>
      <c r="Q11" s="1">
        <f t="shared" si="14"/>
        <v>88016.888718368311</v>
      </c>
      <c r="V11" s="3">
        <f t="shared" si="16"/>
        <v>136904.483205</v>
      </c>
      <c r="W11" s="3">
        <f t="shared" si="1"/>
        <v>13690.4483205</v>
      </c>
    </row>
    <row r="12" spans="1:23" x14ac:dyDescent="0.3">
      <c r="A12" s="8" t="s">
        <v>615</v>
      </c>
      <c r="B12" s="3">
        <f>B11+'Salary &amp; Spend'!$K$12</f>
        <v>9303.67</v>
      </c>
      <c r="C12" s="3">
        <f t="shared" si="2"/>
        <v>4935.13</v>
      </c>
      <c r="D12" s="3">
        <v>600</v>
      </c>
      <c r="E12" s="3">
        <f>E11+'Salary &amp; Spend'!$K$11</f>
        <v>3768.54</v>
      </c>
      <c r="F12" s="3"/>
      <c r="G12" s="3"/>
    </row>
    <row r="13" spans="1:23" x14ac:dyDescent="0.3">
      <c r="A13" s="8" t="s">
        <v>616</v>
      </c>
      <c r="B13" s="3">
        <f>B12+'Salary &amp; Spend'!$K$12</f>
        <v>10053.67</v>
      </c>
      <c r="C13" s="3">
        <f t="shared" si="2"/>
        <v>5310.13</v>
      </c>
      <c r="D13" s="3">
        <v>600</v>
      </c>
      <c r="E13" s="3">
        <f>E12+'Salary &amp; Spend'!$K$11</f>
        <v>4143.54</v>
      </c>
      <c r="F13" s="3"/>
      <c r="G13" s="3"/>
    </row>
    <row r="14" spans="1:23" x14ac:dyDescent="0.3">
      <c r="A14" s="8" t="s">
        <v>594</v>
      </c>
      <c r="B14" s="3">
        <f>B13+'Salary &amp; Spend'!$K$12</f>
        <v>10803.67</v>
      </c>
      <c r="C14" s="3">
        <f t="shared" si="2"/>
        <v>5685.13</v>
      </c>
      <c r="D14" s="3">
        <v>600</v>
      </c>
      <c r="E14" s="3">
        <f>E13+'Salary &amp; Spend'!$K$11</f>
        <v>4518.54</v>
      </c>
      <c r="F14" s="3"/>
      <c r="G14" s="3"/>
    </row>
    <row r="15" spans="1:23" x14ac:dyDescent="0.3">
      <c r="A15" s="8"/>
      <c r="B15" s="3"/>
      <c r="C15" s="3"/>
      <c r="D15" s="3"/>
      <c r="E15" s="3"/>
      <c r="F15" s="3"/>
      <c r="G15" s="3"/>
    </row>
    <row r="16" spans="1:23" x14ac:dyDescent="0.3">
      <c r="A16" s="8"/>
    </row>
  </sheetData>
  <phoneticPr fontId="7"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CF8D3-FA20-4CF1-8FD6-5889D54A40B5}">
  <sheetPr codeName="Sheet3"/>
  <dimension ref="A1:G28"/>
  <sheetViews>
    <sheetView workbookViewId="0">
      <selection activeCell="E31" sqref="E31"/>
    </sheetView>
  </sheetViews>
  <sheetFormatPr defaultColWidth="8.88671875" defaultRowHeight="14.4" x14ac:dyDescent="0.3"/>
  <cols>
    <col min="1" max="1" width="26.5546875" style="1" bestFit="1" customWidth="1"/>
    <col min="2" max="2" width="14.6640625" style="1" customWidth="1"/>
    <col min="3" max="3" width="8.88671875" style="1"/>
    <col min="4" max="4" width="15.88671875" style="1" bestFit="1" customWidth="1"/>
    <col min="5" max="5" width="12.5546875" style="1" customWidth="1"/>
    <col min="6" max="16384" width="8.88671875" style="1"/>
  </cols>
  <sheetData>
    <row r="1" spans="1:7" x14ac:dyDescent="0.3">
      <c r="A1" s="98" t="s">
        <v>16</v>
      </c>
      <c r="B1" s="98"/>
      <c r="C1" s="98"/>
      <c r="D1" s="98"/>
      <c r="E1" s="98"/>
      <c r="F1" s="98"/>
      <c r="G1" s="98"/>
    </row>
    <row r="2" spans="1:7" x14ac:dyDescent="0.3">
      <c r="A2" s="98"/>
      <c r="B2" s="98"/>
      <c r="C2" s="98"/>
      <c r="D2" s="98"/>
      <c r="E2" s="98"/>
      <c r="F2" s="98"/>
      <c r="G2" s="98"/>
    </row>
    <row r="3" spans="1:7" x14ac:dyDescent="0.3">
      <c r="A3" s="1" t="s">
        <v>89</v>
      </c>
      <c r="B3" s="1">
        <v>1.35</v>
      </c>
    </row>
    <row r="4" spans="1:7" ht="15" thickBot="1" x14ac:dyDescent="0.35"/>
    <row r="5" spans="1:7" x14ac:dyDescent="0.3">
      <c r="A5" s="40" t="s">
        <v>90</v>
      </c>
      <c r="B5" s="54">
        <f>SUM('AUS Portfolio'!H2:H20)+'AUS Margin Portfolio'!H11</f>
        <v>9923.5600000000013</v>
      </c>
      <c r="D5" s="1" t="s">
        <v>115</v>
      </c>
      <c r="E5" s="3">
        <f>'AUS Portfolio'!I21</f>
        <v>0</v>
      </c>
    </row>
    <row r="6" spans="1:7" x14ac:dyDescent="0.3">
      <c r="A6" s="27" t="s">
        <v>91</v>
      </c>
      <c r="B6" s="57">
        <f>'AUS Portfolio'!I22+'AUS Margin Portfolio'!I11</f>
        <v>12164.51</v>
      </c>
      <c r="D6" s="1" t="s">
        <v>116</v>
      </c>
      <c r="E6" s="3">
        <f>'US Portfolio'!I21</f>
        <v>0</v>
      </c>
    </row>
    <row r="7" spans="1:7" x14ac:dyDescent="0.3">
      <c r="A7" s="27" t="s">
        <v>92</v>
      </c>
      <c r="B7" s="88">
        <f>IFERROR((B6-B5)/B5,0)</f>
        <v>0.2258211770775809</v>
      </c>
    </row>
    <row r="8" spans="1:7" ht="15" thickBot="1" x14ac:dyDescent="0.35">
      <c r="A8" s="30" t="s">
        <v>93</v>
      </c>
      <c r="B8" s="61">
        <f>SUM('AUS Calculations'!P2:P21)+SUM('AUS MCalculations'!P2:P21)</f>
        <v>933.0999999999998</v>
      </c>
      <c r="D8" s="1" t="s">
        <v>117</v>
      </c>
      <c r="E8" s="3">
        <f>E5+E6*B3</f>
        <v>0</v>
      </c>
    </row>
    <row r="9" spans="1:7" ht="15" thickBot="1" x14ac:dyDescent="0.35"/>
    <row r="10" spans="1:7" x14ac:dyDescent="0.3">
      <c r="A10" s="40" t="s">
        <v>94</v>
      </c>
      <c r="B10" s="54">
        <f>SUM('US Portfolio'!H2:H20)*B3</f>
        <v>3826.3163400000003</v>
      </c>
    </row>
    <row r="11" spans="1:7" x14ac:dyDescent="0.3">
      <c r="A11" s="27" t="s">
        <v>95</v>
      </c>
      <c r="B11" s="57">
        <f>'US Portfolio'!I22*B3</f>
        <v>13932.175499999998</v>
      </c>
    </row>
    <row r="12" spans="1:7" x14ac:dyDescent="0.3">
      <c r="A12" s="27" t="s">
        <v>92</v>
      </c>
      <c r="B12" s="88">
        <f>(B11-B10)/B10</f>
        <v>2.6411457553454651</v>
      </c>
    </row>
    <row r="13" spans="1:7" ht="15" thickBot="1" x14ac:dyDescent="0.35">
      <c r="A13" s="30" t="s">
        <v>93</v>
      </c>
      <c r="B13" s="61">
        <f>SUM('US Calculation'!P2:P21)</f>
        <v>-19.381200000000021</v>
      </c>
    </row>
    <row r="14" spans="1:7" ht="15" thickBot="1" x14ac:dyDescent="0.35"/>
    <row r="15" spans="1:7" x14ac:dyDescent="0.3">
      <c r="A15" s="40" t="s">
        <v>96</v>
      </c>
      <c r="B15" s="54">
        <f>B5+B10</f>
        <v>13749.876340000003</v>
      </c>
    </row>
    <row r="16" spans="1:7" x14ac:dyDescent="0.3">
      <c r="A16" s="27" t="s">
        <v>97</v>
      </c>
      <c r="B16" s="57">
        <f>B11+B6</f>
        <v>26096.6855</v>
      </c>
    </row>
    <row r="17" spans="1:4" x14ac:dyDescent="0.3">
      <c r="A17" s="27" t="s">
        <v>98</v>
      </c>
      <c r="B17" s="57">
        <f>B16-B15</f>
        <v>12346.809159999997</v>
      </c>
    </row>
    <row r="18" spans="1:4" x14ac:dyDescent="0.3">
      <c r="A18" s="27" t="s">
        <v>99</v>
      </c>
      <c r="B18" s="88">
        <f>B17/B15</f>
        <v>0.89795783283386199</v>
      </c>
    </row>
    <row r="19" spans="1:4" ht="15" thickBot="1" x14ac:dyDescent="0.35">
      <c r="A19" s="30" t="s">
        <v>100</v>
      </c>
      <c r="B19" s="61">
        <f>B13+B8</f>
        <v>913.71879999999976</v>
      </c>
    </row>
    <row r="20" spans="1:4" ht="15" thickBot="1" x14ac:dyDescent="0.35"/>
    <row r="21" spans="1:4" x14ac:dyDescent="0.3">
      <c r="A21" s="40" t="s">
        <v>554</v>
      </c>
      <c r="B21" s="54">
        <f>MAX(0,'AUS Margin Portfolio'!B16)</f>
        <v>4945.920000000001</v>
      </c>
    </row>
    <row r="22" spans="1:4" x14ac:dyDescent="0.3">
      <c r="A22" s="27" t="s">
        <v>543</v>
      </c>
      <c r="B22" s="57">
        <f>'AUS Margin Portfolio'!B21</f>
        <v>7218.5899999999992</v>
      </c>
    </row>
    <row r="23" spans="1:4" x14ac:dyDescent="0.3">
      <c r="A23" s="27" t="s">
        <v>555</v>
      </c>
      <c r="B23" s="89">
        <f>'AUS Margin Portfolio'!D23</f>
        <v>0.4945920000000002</v>
      </c>
    </row>
    <row r="24" spans="1:4" x14ac:dyDescent="0.3">
      <c r="A24" s="27" t="s">
        <v>556</v>
      </c>
      <c r="B24" s="90">
        <f>'AUS Margin Portfolio'!B22</f>
        <v>0.40658604415632038</v>
      </c>
    </row>
    <row r="25" spans="1:4" x14ac:dyDescent="0.3">
      <c r="A25" s="27" t="s">
        <v>134</v>
      </c>
      <c r="B25" s="90">
        <f>'AUS Margin Portfolio'!B23</f>
        <v>0.57392326002039418</v>
      </c>
    </row>
    <row r="26" spans="1:4" x14ac:dyDescent="0.3">
      <c r="A26" s="27" t="s">
        <v>541</v>
      </c>
      <c r="B26" s="57">
        <f>'AUS Margin Portfolio'!B20</f>
        <v>54.079999999999018</v>
      </c>
      <c r="D26" s="3"/>
    </row>
    <row r="27" spans="1:4" x14ac:dyDescent="0.3">
      <c r="A27" s="27" t="s">
        <v>558</v>
      </c>
      <c r="B27" s="57">
        <f>'AUS Margin Portfolio'!B18</f>
        <v>3671.8174999999983</v>
      </c>
    </row>
    <row r="28" spans="1:4" ht="15" thickBot="1" x14ac:dyDescent="0.35">
      <c r="A28" s="30" t="str">
        <f>'AUS Margin Portfolio'!A25</f>
        <v>% Fall for Margin Call</v>
      </c>
      <c r="B28" s="91">
        <f>'AUS Margin Portfolio'!B25</f>
        <v>0.47825158179964172</v>
      </c>
    </row>
  </sheetData>
  <mergeCells count="1">
    <mergeCell ref="A1:G2"/>
  </mergeCells>
  <conditionalFormatting sqref="B6">
    <cfRule type="cellIs" dxfId="35" priority="10" operator="lessThan">
      <formula>$B$5</formula>
    </cfRule>
    <cfRule type="cellIs" dxfId="34" priority="12" operator="greaterThan">
      <formula>$B$5</formula>
    </cfRule>
  </conditionalFormatting>
  <conditionalFormatting sqref="B8">
    <cfRule type="cellIs" dxfId="33" priority="9" operator="lessThan">
      <formula>0</formula>
    </cfRule>
    <cfRule type="cellIs" dxfId="32" priority="11" operator="greaterThan">
      <formula>0</formula>
    </cfRule>
  </conditionalFormatting>
  <conditionalFormatting sqref="B11">
    <cfRule type="cellIs" dxfId="31" priority="8" operator="greaterThan">
      <formula>$B$10</formula>
    </cfRule>
  </conditionalFormatting>
  <conditionalFormatting sqref="B19">
    <cfRule type="cellIs" dxfId="30" priority="6" operator="lessThan">
      <formula>0</formula>
    </cfRule>
    <cfRule type="cellIs" dxfId="29" priority="7" operator="greaterThan">
      <formula>0</formula>
    </cfRule>
  </conditionalFormatting>
  <conditionalFormatting sqref="B18">
    <cfRule type="cellIs" dxfId="28" priority="4" operator="lessThan">
      <formula>0</formula>
    </cfRule>
    <cfRule type="cellIs" dxfId="27" priority="5" operator="greaterThan">
      <formula>0</formula>
    </cfRule>
  </conditionalFormatting>
  <conditionalFormatting sqref="B17">
    <cfRule type="cellIs" dxfId="26" priority="2" operator="lessThan">
      <formula>0</formula>
    </cfRule>
    <cfRule type="cellIs" dxfId="25" priority="3" operator="greaterThan">
      <formula>0</formula>
    </cfRule>
  </conditionalFormatting>
  <conditionalFormatting sqref="B28">
    <cfRule type="cellIs" dxfId="24" priority="1" operator="greaterThan">
      <formula>0.2</formula>
    </cfRule>
  </conditionalFormatting>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autoPict="0" r:id="rId4">
            <anchor moveWithCells="1">
              <from>
                <xdr:col>3</xdr:col>
                <xdr:colOff>228600</xdr:colOff>
                <xdr:row>9</xdr:row>
                <xdr:rowOff>60960</xdr:rowOff>
              </from>
              <to>
                <xdr:col>4</xdr:col>
                <xdr:colOff>327660</xdr:colOff>
                <xdr:row>12</xdr:row>
                <xdr:rowOff>175260</xdr:rowOff>
              </to>
            </anchor>
          </controlPr>
        </control>
      </mc:Choice>
      <mc:Fallback>
        <control shapeId="3073" r:id="rId3" name="CommandButton1"/>
      </mc:Fallback>
    </mc:AlternateContent>
    <mc:AlternateContent xmlns:mc="http://schemas.openxmlformats.org/markup-compatibility/2006">
      <mc:Choice Requires="x14">
        <control shapeId="3074" r:id="rId5" name="CommandButton2">
          <controlPr defaultSize="0" autoLine="0" r:id="rId6">
            <anchor moveWithCells="1">
              <from>
                <xdr:col>3</xdr:col>
                <xdr:colOff>251460</xdr:colOff>
                <xdr:row>13</xdr:row>
                <xdr:rowOff>160020</xdr:rowOff>
              </from>
              <to>
                <xdr:col>4</xdr:col>
                <xdr:colOff>388620</xdr:colOff>
                <xdr:row>17</xdr:row>
                <xdr:rowOff>22860</xdr:rowOff>
              </to>
            </anchor>
          </controlPr>
        </control>
      </mc:Choice>
      <mc:Fallback>
        <control shapeId="3074" r:id="rId5" name="CommandButton2"/>
      </mc:Fallback>
    </mc:AlternateContent>
    <mc:AlternateContent xmlns:mc="http://schemas.openxmlformats.org/markup-compatibility/2006">
      <mc:Choice Requires="x14">
        <control shapeId="3075" r:id="rId7" name="CommandButton3">
          <controlPr defaultSize="0" autoLine="0" r:id="rId8">
            <anchor moveWithCells="1">
              <from>
                <xdr:col>3</xdr:col>
                <xdr:colOff>228600</xdr:colOff>
                <xdr:row>18</xdr:row>
                <xdr:rowOff>60960</xdr:rowOff>
              </from>
              <to>
                <xdr:col>4</xdr:col>
                <xdr:colOff>388620</xdr:colOff>
                <xdr:row>21</xdr:row>
                <xdr:rowOff>167640</xdr:rowOff>
              </to>
            </anchor>
          </controlPr>
        </control>
      </mc:Choice>
      <mc:Fallback>
        <control shapeId="3075" r:id="rId7" name="CommandButton3"/>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E3139-DD77-4850-B7BD-01398BF2CA5E}">
  <sheetPr codeName="Sheet5"/>
  <dimension ref="A1:L300"/>
  <sheetViews>
    <sheetView workbookViewId="0">
      <selection activeCell="C14" sqref="C14"/>
    </sheetView>
  </sheetViews>
  <sheetFormatPr defaultColWidth="8.88671875" defaultRowHeight="14.4" x14ac:dyDescent="0.3"/>
  <cols>
    <col min="1" max="5" width="17.5546875" style="1" customWidth="1"/>
    <col min="6" max="16384" width="8.88671875" style="1"/>
  </cols>
  <sheetData>
    <row r="1" spans="1:12" ht="15" thickBot="1" x14ac:dyDescent="0.35">
      <c r="A1" s="24" t="s">
        <v>45</v>
      </c>
      <c r="B1" s="25" t="s">
        <v>46</v>
      </c>
      <c r="C1" s="25" t="s">
        <v>47</v>
      </c>
      <c r="D1" s="25" t="s">
        <v>48</v>
      </c>
      <c r="E1" s="26" t="s">
        <v>49</v>
      </c>
    </row>
    <row r="2" spans="1:12" x14ac:dyDescent="0.3">
      <c r="A2" s="27" t="s">
        <v>78</v>
      </c>
      <c r="B2" s="28" t="s">
        <v>51</v>
      </c>
      <c r="C2" s="28">
        <v>10</v>
      </c>
      <c r="D2" s="28">
        <v>487.16389999999996</v>
      </c>
      <c r="E2" s="29">
        <f t="shared" ref="E2:E67" si="0">IF(A2="","",D2/C2)</f>
        <v>48.716389999999997</v>
      </c>
    </row>
    <row r="3" spans="1:12" x14ac:dyDescent="0.3">
      <c r="A3" s="27" t="s">
        <v>79</v>
      </c>
      <c r="B3" s="28" t="s">
        <v>51</v>
      </c>
      <c r="C3" s="28">
        <v>1</v>
      </c>
      <c r="D3" s="28">
        <v>459.12419999999997</v>
      </c>
      <c r="E3" s="29">
        <f t="shared" si="0"/>
        <v>459.12419999999997</v>
      </c>
      <c r="G3" s="64"/>
      <c r="J3" s="64"/>
      <c r="K3" s="64"/>
      <c r="L3" s="64"/>
    </row>
    <row r="4" spans="1:12" x14ac:dyDescent="0.3">
      <c r="A4" s="27" t="s">
        <v>80</v>
      </c>
      <c r="B4" s="28" t="s">
        <v>51</v>
      </c>
      <c r="C4" s="28">
        <v>2</v>
      </c>
      <c r="D4" s="28">
        <v>110.28360000000001</v>
      </c>
      <c r="E4" s="29">
        <f t="shared" si="0"/>
        <v>55.141800000000003</v>
      </c>
      <c r="G4" s="64"/>
      <c r="J4" s="64"/>
      <c r="K4" s="64"/>
      <c r="L4" s="64"/>
    </row>
    <row r="5" spans="1:12" x14ac:dyDescent="0.3">
      <c r="A5" s="27" t="s">
        <v>81</v>
      </c>
      <c r="B5" s="28" t="s">
        <v>51</v>
      </c>
      <c r="C5" s="28">
        <v>2</v>
      </c>
      <c r="D5" s="28">
        <v>148.00380000000001</v>
      </c>
      <c r="E5" s="29">
        <f t="shared" si="0"/>
        <v>74.001900000000006</v>
      </c>
      <c r="G5" s="64"/>
      <c r="J5" s="64"/>
      <c r="K5" s="64"/>
      <c r="L5" s="64"/>
    </row>
    <row r="6" spans="1:12" x14ac:dyDescent="0.3">
      <c r="A6" s="27" t="s">
        <v>82</v>
      </c>
      <c r="B6" s="28" t="s">
        <v>51</v>
      </c>
      <c r="C6" s="28">
        <v>1</v>
      </c>
      <c r="D6" s="28">
        <v>434.30689999999993</v>
      </c>
      <c r="E6" s="29">
        <f t="shared" si="0"/>
        <v>434.30689999999993</v>
      </c>
      <c r="G6" s="64"/>
      <c r="J6" s="64"/>
      <c r="K6" s="64"/>
      <c r="L6" s="64"/>
    </row>
    <row r="7" spans="1:12" x14ac:dyDescent="0.3">
      <c r="A7" s="27" t="s">
        <v>83</v>
      </c>
      <c r="B7" s="28" t="s">
        <v>51</v>
      </c>
      <c r="C7" s="28">
        <v>10</v>
      </c>
      <c r="D7" s="28">
        <v>169.57750000000001</v>
      </c>
      <c r="E7" s="29">
        <f t="shared" si="0"/>
        <v>16.957750000000001</v>
      </c>
      <c r="G7" s="64"/>
      <c r="J7" s="64"/>
      <c r="K7" s="64"/>
      <c r="L7" s="64"/>
    </row>
    <row r="8" spans="1:12" x14ac:dyDescent="0.3">
      <c r="A8" s="27" t="s">
        <v>84</v>
      </c>
      <c r="B8" s="28" t="s">
        <v>51</v>
      </c>
      <c r="C8" s="28">
        <v>3</v>
      </c>
      <c r="D8" s="28">
        <v>405.05219999999997</v>
      </c>
      <c r="E8" s="29">
        <f t="shared" si="0"/>
        <v>135.01739999999998</v>
      </c>
      <c r="G8" s="64"/>
      <c r="J8" s="64"/>
      <c r="K8" s="64"/>
      <c r="L8" s="64"/>
    </row>
    <row r="9" spans="1:12" x14ac:dyDescent="0.3">
      <c r="A9" s="27" t="s">
        <v>85</v>
      </c>
      <c r="B9" s="28" t="s">
        <v>51</v>
      </c>
      <c r="C9" s="28">
        <v>2</v>
      </c>
      <c r="D9" s="28">
        <v>110.32080000000001</v>
      </c>
      <c r="E9" s="29">
        <f t="shared" si="0"/>
        <v>55.160400000000003</v>
      </c>
      <c r="G9" s="64"/>
      <c r="J9" s="64"/>
      <c r="K9" s="64"/>
      <c r="L9" s="64"/>
    </row>
    <row r="10" spans="1:12" x14ac:dyDescent="0.3">
      <c r="A10" s="27" t="s">
        <v>86</v>
      </c>
      <c r="B10" s="28" t="s">
        <v>51</v>
      </c>
      <c r="C10" s="28">
        <v>3</v>
      </c>
      <c r="D10" s="28">
        <v>300.62630000000001</v>
      </c>
      <c r="E10" s="29">
        <f t="shared" si="0"/>
        <v>100.20876666666668</v>
      </c>
      <c r="G10" s="64"/>
      <c r="J10" s="64"/>
      <c r="K10" s="64"/>
      <c r="L10" s="64"/>
    </row>
    <row r="11" spans="1:12" x14ac:dyDescent="0.3">
      <c r="A11" s="27" t="s">
        <v>80</v>
      </c>
      <c r="B11" s="28" t="s">
        <v>51</v>
      </c>
      <c r="C11" s="28">
        <v>1</v>
      </c>
      <c r="D11" s="28">
        <v>30</v>
      </c>
      <c r="E11" s="29">
        <f t="shared" si="0"/>
        <v>30</v>
      </c>
      <c r="G11" s="64"/>
      <c r="J11" s="64"/>
      <c r="K11" s="64"/>
      <c r="L11" s="64"/>
    </row>
    <row r="12" spans="1:12" x14ac:dyDescent="0.3">
      <c r="A12" s="27" t="s">
        <v>85</v>
      </c>
      <c r="B12" s="28" t="s">
        <v>55</v>
      </c>
      <c r="C12" s="28">
        <v>3</v>
      </c>
      <c r="D12" s="28">
        <v>146.1</v>
      </c>
      <c r="E12" s="29">
        <f t="shared" si="0"/>
        <v>48.699999999999996</v>
      </c>
    </row>
    <row r="13" spans="1:12" x14ac:dyDescent="0.3">
      <c r="A13" s="27" t="s">
        <v>582</v>
      </c>
      <c r="B13" s="28" t="s">
        <v>51</v>
      </c>
      <c r="C13" s="28">
        <v>10</v>
      </c>
      <c r="D13" s="28">
        <v>290.17</v>
      </c>
      <c r="E13" s="29">
        <f t="shared" si="0"/>
        <v>29.017000000000003</v>
      </c>
    </row>
    <row r="14" spans="1:12" x14ac:dyDescent="0.3">
      <c r="A14" s="27"/>
      <c r="B14" s="28"/>
      <c r="C14" s="28"/>
      <c r="D14" s="28"/>
      <c r="E14" s="29" t="str">
        <f t="shared" si="0"/>
        <v/>
      </c>
    </row>
    <row r="15" spans="1:12" x14ac:dyDescent="0.3">
      <c r="A15" s="27"/>
      <c r="B15" s="28"/>
      <c r="C15" s="28"/>
      <c r="D15" s="28"/>
      <c r="E15" s="29" t="str">
        <f t="shared" si="0"/>
        <v/>
      </c>
    </row>
    <row r="16" spans="1:12" x14ac:dyDescent="0.3">
      <c r="A16" s="27"/>
      <c r="B16" s="28"/>
      <c r="C16" s="28"/>
      <c r="D16" s="28"/>
      <c r="E16" s="29" t="str">
        <f t="shared" si="0"/>
        <v/>
      </c>
    </row>
    <row r="17" spans="1:5" x14ac:dyDescent="0.3">
      <c r="A17" s="27"/>
      <c r="B17" s="28"/>
      <c r="C17" s="28"/>
      <c r="D17" s="28"/>
      <c r="E17" s="29" t="str">
        <f t="shared" si="0"/>
        <v/>
      </c>
    </row>
    <row r="18" spans="1:5" x14ac:dyDescent="0.3">
      <c r="A18" s="27"/>
      <c r="B18" s="28"/>
      <c r="C18" s="28"/>
      <c r="D18" s="28"/>
      <c r="E18" s="29" t="str">
        <f t="shared" si="0"/>
        <v/>
      </c>
    </row>
    <row r="19" spans="1:5" x14ac:dyDescent="0.3">
      <c r="A19" s="27"/>
      <c r="B19" s="28"/>
      <c r="C19" s="28"/>
      <c r="D19" s="28"/>
      <c r="E19" s="29" t="str">
        <f t="shared" si="0"/>
        <v/>
      </c>
    </row>
    <row r="20" spans="1:5" x14ac:dyDescent="0.3">
      <c r="A20" s="27"/>
      <c r="B20" s="28"/>
      <c r="C20" s="28"/>
      <c r="D20" s="28"/>
      <c r="E20" s="29" t="str">
        <f t="shared" si="0"/>
        <v/>
      </c>
    </row>
    <row r="21" spans="1:5" x14ac:dyDescent="0.3">
      <c r="A21" s="27"/>
      <c r="B21" s="28"/>
      <c r="C21" s="28"/>
      <c r="D21" s="28"/>
      <c r="E21" s="29" t="str">
        <f t="shared" si="0"/>
        <v/>
      </c>
    </row>
    <row r="22" spans="1:5" x14ac:dyDescent="0.3">
      <c r="A22" s="27"/>
      <c r="B22" s="28"/>
      <c r="C22" s="28"/>
      <c r="D22" s="28"/>
      <c r="E22" s="29" t="str">
        <f t="shared" si="0"/>
        <v/>
      </c>
    </row>
    <row r="23" spans="1:5" x14ac:dyDescent="0.3">
      <c r="A23" s="27"/>
      <c r="B23" s="28"/>
      <c r="C23" s="28"/>
      <c r="D23" s="28"/>
      <c r="E23" s="29" t="str">
        <f t="shared" si="0"/>
        <v/>
      </c>
    </row>
    <row r="24" spans="1:5" x14ac:dyDescent="0.3">
      <c r="A24" s="27"/>
      <c r="B24" s="28"/>
      <c r="C24" s="28"/>
      <c r="D24" s="28"/>
      <c r="E24" s="29" t="str">
        <f t="shared" si="0"/>
        <v/>
      </c>
    </row>
    <row r="25" spans="1:5" x14ac:dyDescent="0.3">
      <c r="A25" s="27"/>
      <c r="B25" s="28"/>
      <c r="C25" s="28"/>
      <c r="D25" s="28"/>
      <c r="E25" s="29" t="str">
        <f t="shared" si="0"/>
        <v/>
      </c>
    </row>
    <row r="26" spans="1:5" x14ac:dyDescent="0.3">
      <c r="A26" s="27"/>
      <c r="B26" s="28"/>
      <c r="C26" s="28"/>
      <c r="D26" s="28"/>
      <c r="E26" s="29" t="str">
        <f t="shared" si="0"/>
        <v/>
      </c>
    </row>
    <row r="27" spans="1:5" x14ac:dyDescent="0.3">
      <c r="A27" s="27"/>
      <c r="B27" s="28"/>
      <c r="C27" s="28"/>
      <c r="D27" s="28"/>
      <c r="E27" s="29" t="str">
        <f t="shared" si="0"/>
        <v/>
      </c>
    </row>
    <row r="28" spans="1:5" x14ac:dyDescent="0.3">
      <c r="A28" s="27"/>
      <c r="B28" s="28"/>
      <c r="C28" s="28"/>
      <c r="D28" s="28"/>
      <c r="E28" s="29" t="str">
        <f t="shared" si="0"/>
        <v/>
      </c>
    </row>
    <row r="29" spans="1:5" x14ac:dyDescent="0.3">
      <c r="A29" s="27"/>
      <c r="B29" s="28"/>
      <c r="C29" s="28"/>
      <c r="D29" s="28"/>
      <c r="E29" s="29" t="str">
        <f t="shared" si="0"/>
        <v/>
      </c>
    </row>
    <row r="30" spans="1:5" x14ac:dyDescent="0.3">
      <c r="A30" s="27"/>
      <c r="B30" s="28"/>
      <c r="C30" s="28"/>
      <c r="D30" s="28"/>
      <c r="E30" s="29" t="str">
        <f t="shared" si="0"/>
        <v/>
      </c>
    </row>
    <row r="31" spans="1:5" x14ac:dyDescent="0.3">
      <c r="A31" s="27"/>
      <c r="B31" s="28"/>
      <c r="C31" s="28"/>
      <c r="D31" s="28"/>
      <c r="E31" s="29" t="str">
        <f t="shared" si="0"/>
        <v/>
      </c>
    </row>
    <row r="32" spans="1:5" x14ac:dyDescent="0.3">
      <c r="A32" s="27"/>
      <c r="B32" s="28"/>
      <c r="C32" s="28"/>
      <c r="D32" s="28"/>
      <c r="E32" s="29" t="str">
        <f t="shared" si="0"/>
        <v/>
      </c>
    </row>
    <row r="33" spans="1:5" x14ac:dyDescent="0.3">
      <c r="A33" s="27"/>
      <c r="B33" s="28"/>
      <c r="C33" s="28"/>
      <c r="D33" s="28"/>
      <c r="E33" s="29" t="str">
        <f t="shared" si="0"/>
        <v/>
      </c>
    </row>
    <row r="34" spans="1:5" x14ac:dyDescent="0.3">
      <c r="A34" s="27"/>
      <c r="B34" s="28"/>
      <c r="C34" s="28"/>
      <c r="D34" s="28"/>
      <c r="E34" s="29" t="str">
        <f t="shared" si="0"/>
        <v/>
      </c>
    </row>
    <row r="35" spans="1:5" x14ac:dyDescent="0.3">
      <c r="A35" s="27"/>
      <c r="B35" s="28"/>
      <c r="C35" s="28"/>
      <c r="D35" s="28"/>
      <c r="E35" s="29" t="str">
        <f t="shared" si="0"/>
        <v/>
      </c>
    </row>
    <row r="36" spans="1:5" x14ac:dyDescent="0.3">
      <c r="A36" s="27"/>
      <c r="B36" s="28"/>
      <c r="C36" s="28"/>
      <c r="D36" s="28"/>
      <c r="E36" s="29" t="str">
        <f t="shared" si="0"/>
        <v/>
      </c>
    </row>
    <row r="37" spans="1:5" x14ac:dyDescent="0.3">
      <c r="A37" s="27"/>
      <c r="B37" s="28"/>
      <c r="C37" s="28"/>
      <c r="D37" s="28"/>
      <c r="E37" s="29" t="str">
        <f t="shared" si="0"/>
        <v/>
      </c>
    </row>
    <row r="38" spans="1:5" x14ac:dyDescent="0.3">
      <c r="A38" s="27"/>
      <c r="B38" s="28"/>
      <c r="C38" s="28"/>
      <c r="D38" s="28"/>
      <c r="E38" s="29" t="str">
        <f t="shared" si="0"/>
        <v/>
      </c>
    </row>
    <row r="39" spans="1:5" x14ac:dyDescent="0.3">
      <c r="A39" s="27"/>
      <c r="B39" s="28"/>
      <c r="C39" s="28"/>
      <c r="D39" s="28"/>
      <c r="E39" s="29" t="str">
        <f t="shared" si="0"/>
        <v/>
      </c>
    </row>
    <row r="40" spans="1:5" x14ac:dyDescent="0.3">
      <c r="A40" s="27"/>
      <c r="B40" s="28"/>
      <c r="C40" s="28"/>
      <c r="D40" s="28"/>
      <c r="E40" s="29" t="str">
        <f t="shared" si="0"/>
        <v/>
      </c>
    </row>
    <row r="41" spans="1:5" x14ac:dyDescent="0.3">
      <c r="A41" s="27"/>
      <c r="B41" s="28"/>
      <c r="C41" s="28"/>
      <c r="D41" s="28"/>
      <c r="E41" s="29" t="str">
        <f t="shared" si="0"/>
        <v/>
      </c>
    </row>
    <row r="42" spans="1:5" x14ac:dyDescent="0.3">
      <c r="A42" s="27"/>
      <c r="B42" s="28"/>
      <c r="C42" s="28"/>
      <c r="D42" s="28"/>
      <c r="E42" s="29" t="str">
        <f t="shared" si="0"/>
        <v/>
      </c>
    </row>
    <row r="43" spans="1:5" x14ac:dyDescent="0.3">
      <c r="A43" s="27"/>
      <c r="B43" s="28"/>
      <c r="C43" s="28"/>
      <c r="D43" s="28"/>
      <c r="E43" s="29" t="str">
        <f t="shared" si="0"/>
        <v/>
      </c>
    </row>
    <row r="44" spans="1:5" x14ac:dyDescent="0.3">
      <c r="A44" s="27"/>
      <c r="B44" s="28"/>
      <c r="C44" s="28"/>
      <c r="D44" s="28"/>
      <c r="E44" s="29" t="str">
        <f t="shared" si="0"/>
        <v/>
      </c>
    </row>
    <row r="45" spans="1:5" x14ac:dyDescent="0.3">
      <c r="A45" s="27"/>
      <c r="B45" s="28"/>
      <c r="C45" s="28"/>
      <c r="D45" s="28"/>
      <c r="E45" s="29" t="str">
        <f t="shared" si="0"/>
        <v/>
      </c>
    </row>
    <row r="46" spans="1:5" x14ac:dyDescent="0.3">
      <c r="A46" s="27"/>
      <c r="B46" s="28"/>
      <c r="C46" s="28"/>
      <c r="D46" s="28"/>
      <c r="E46" s="29" t="str">
        <f t="shared" si="0"/>
        <v/>
      </c>
    </row>
    <row r="47" spans="1:5" x14ac:dyDescent="0.3">
      <c r="A47" s="27"/>
      <c r="B47" s="28"/>
      <c r="C47" s="28"/>
      <c r="D47" s="28"/>
      <c r="E47" s="29" t="str">
        <f t="shared" si="0"/>
        <v/>
      </c>
    </row>
    <row r="48" spans="1:5" x14ac:dyDescent="0.3">
      <c r="A48" s="27"/>
      <c r="B48" s="28"/>
      <c r="C48" s="28"/>
      <c r="D48" s="28"/>
      <c r="E48" s="29" t="str">
        <f t="shared" si="0"/>
        <v/>
      </c>
    </row>
    <row r="49" spans="1:5" x14ac:dyDescent="0.3">
      <c r="A49" s="27"/>
      <c r="B49" s="28"/>
      <c r="C49" s="28"/>
      <c r="D49" s="28"/>
      <c r="E49" s="29" t="str">
        <f t="shared" si="0"/>
        <v/>
      </c>
    </row>
    <row r="50" spans="1:5" x14ac:dyDescent="0.3">
      <c r="A50" s="27"/>
      <c r="B50" s="28"/>
      <c r="C50" s="28"/>
      <c r="D50" s="28"/>
      <c r="E50" s="29" t="str">
        <f t="shared" si="0"/>
        <v/>
      </c>
    </row>
    <row r="51" spans="1:5" x14ac:dyDescent="0.3">
      <c r="A51" s="27"/>
      <c r="B51" s="28"/>
      <c r="C51" s="28"/>
      <c r="D51" s="28"/>
      <c r="E51" s="29" t="str">
        <f t="shared" si="0"/>
        <v/>
      </c>
    </row>
    <row r="52" spans="1:5" x14ac:dyDescent="0.3">
      <c r="A52" s="27"/>
      <c r="B52" s="28"/>
      <c r="C52" s="28"/>
      <c r="D52" s="28"/>
      <c r="E52" s="29" t="str">
        <f t="shared" si="0"/>
        <v/>
      </c>
    </row>
    <row r="53" spans="1:5" x14ac:dyDescent="0.3">
      <c r="A53" s="27"/>
      <c r="B53" s="28"/>
      <c r="C53" s="28"/>
      <c r="D53" s="28"/>
      <c r="E53" s="29" t="str">
        <f t="shared" si="0"/>
        <v/>
      </c>
    </row>
    <row r="54" spans="1:5" x14ac:dyDescent="0.3">
      <c r="A54" s="27"/>
      <c r="B54" s="28"/>
      <c r="C54" s="28"/>
      <c r="D54" s="28"/>
      <c r="E54" s="29" t="str">
        <f t="shared" si="0"/>
        <v/>
      </c>
    </row>
    <row r="55" spans="1:5" x14ac:dyDescent="0.3">
      <c r="A55" s="27"/>
      <c r="B55" s="28"/>
      <c r="C55" s="28"/>
      <c r="D55" s="28"/>
      <c r="E55" s="29" t="str">
        <f t="shared" si="0"/>
        <v/>
      </c>
    </row>
    <row r="56" spans="1:5" x14ac:dyDescent="0.3">
      <c r="A56" s="27"/>
      <c r="B56" s="28"/>
      <c r="C56" s="28"/>
      <c r="D56" s="28"/>
      <c r="E56" s="29" t="str">
        <f t="shared" si="0"/>
        <v/>
      </c>
    </row>
    <row r="57" spans="1:5" x14ac:dyDescent="0.3">
      <c r="A57" s="27"/>
      <c r="B57" s="28"/>
      <c r="C57" s="28"/>
      <c r="D57" s="28"/>
      <c r="E57" s="29" t="str">
        <f t="shared" si="0"/>
        <v/>
      </c>
    </row>
    <row r="58" spans="1:5" x14ac:dyDescent="0.3">
      <c r="A58" s="27"/>
      <c r="B58" s="28"/>
      <c r="C58" s="28"/>
      <c r="D58" s="28"/>
      <c r="E58" s="29" t="str">
        <f t="shared" si="0"/>
        <v/>
      </c>
    </row>
    <row r="59" spans="1:5" x14ac:dyDescent="0.3">
      <c r="A59" s="27"/>
      <c r="B59" s="28"/>
      <c r="C59" s="28"/>
      <c r="D59" s="28"/>
      <c r="E59" s="29" t="str">
        <f t="shared" si="0"/>
        <v/>
      </c>
    </row>
    <row r="60" spans="1:5" x14ac:dyDescent="0.3">
      <c r="A60" s="27"/>
      <c r="B60" s="28"/>
      <c r="C60" s="28"/>
      <c r="D60" s="28"/>
      <c r="E60" s="29" t="str">
        <f t="shared" si="0"/>
        <v/>
      </c>
    </row>
    <row r="61" spans="1:5" x14ac:dyDescent="0.3">
      <c r="A61" s="27"/>
      <c r="B61" s="28"/>
      <c r="C61" s="28"/>
      <c r="D61" s="28"/>
      <c r="E61" s="29" t="str">
        <f t="shared" si="0"/>
        <v/>
      </c>
    </row>
    <row r="62" spans="1:5" x14ac:dyDescent="0.3">
      <c r="A62" s="27"/>
      <c r="B62" s="28"/>
      <c r="C62" s="28"/>
      <c r="D62" s="28"/>
      <c r="E62" s="29" t="str">
        <f t="shared" si="0"/>
        <v/>
      </c>
    </row>
    <row r="63" spans="1:5" x14ac:dyDescent="0.3">
      <c r="A63" s="27"/>
      <c r="B63" s="28"/>
      <c r="C63" s="28"/>
      <c r="D63" s="28"/>
      <c r="E63" s="29" t="str">
        <f t="shared" si="0"/>
        <v/>
      </c>
    </row>
    <row r="64" spans="1:5" x14ac:dyDescent="0.3">
      <c r="A64" s="27"/>
      <c r="B64" s="28"/>
      <c r="C64" s="28"/>
      <c r="D64" s="28"/>
      <c r="E64" s="29" t="str">
        <f t="shared" si="0"/>
        <v/>
      </c>
    </row>
    <row r="65" spans="1:5" x14ac:dyDescent="0.3">
      <c r="A65" s="27"/>
      <c r="B65" s="28"/>
      <c r="C65" s="28"/>
      <c r="D65" s="28"/>
      <c r="E65" s="29" t="str">
        <f t="shared" si="0"/>
        <v/>
      </c>
    </row>
    <row r="66" spans="1:5" x14ac:dyDescent="0.3">
      <c r="A66" s="27"/>
      <c r="B66" s="28"/>
      <c r="C66" s="28"/>
      <c r="D66" s="28"/>
      <c r="E66" s="29" t="str">
        <f t="shared" si="0"/>
        <v/>
      </c>
    </row>
    <row r="67" spans="1:5" x14ac:dyDescent="0.3">
      <c r="A67" s="27"/>
      <c r="B67" s="28"/>
      <c r="C67" s="28"/>
      <c r="D67" s="28"/>
      <c r="E67" s="29" t="str">
        <f t="shared" si="0"/>
        <v/>
      </c>
    </row>
    <row r="68" spans="1:5" x14ac:dyDescent="0.3">
      <c r="A68" s="27"/>
      <c r="B68" s="28"/>
      <c r="C68" s="28"/>
      <c r="D68" s="28"/>
      <c r="E68" s="29" t="str">
        <f t="shared" ref="E68:E131" si="1">IF(A68="","",D68/C68)</f>
        <v/>
      </c>
    </row>
    <row r="69" spans="1:5" x14ac:dyDescent="0.3">
      <c r="A69" s="27"/>
      <c r="B69" s="28"/>
      <c r="C69" s="28"/>
      <c r="D69" s="28"/>
      <c r="E69" s="29" t="str">
        <f t="shared" si="1"/>
        <v/>
      </c>
    </row>
    <row r="70" spans="1:5" x14ac:dyDescent="0.3">
      <c r="A70" s="27"/>
      <c r="B70" s="28"/>
      <c r="C70" s="28"/>
      <c r="D70" s="28"/>
      <c r="E70" s="29" t="str">
        <f t="shared" si="1"/>
        <v/>
      </c>
    </row>
    <row r="71" spans="1:5" x14ac:dyDescent="0.3">
      <c r="A71" s="27"/>
      <c r="B71" s="28"/>
      <c r="C71" s="28"/>
      <c r="D71" s="28"/>
      <c r="E71" s="29" t="str">
        <f t="shared" si="1"/>
        <v/>
      </c>
    </row>
    <row r="72" spans="1:5" x14ac:dyDescent="0.3">
      <c r="A72" s="27"/>
      <c r="B72" s="28"/>
      <c r="C72" s="28"/>
      <c r="D72" s="28"/>
      <c r="E72" s="29" t="str">
        <f t="shared" si="1"/>
        <v/>
      </c>
    </row>
    <row r="73" spans="1:5" x14ac:dyDescent="0.3">
      <c r="A73" s="27"/>
      <c r="B73" s="28"/>
      <c r="C73" s="28"/>
      <c r="D73" s="28"/>
      <c r="E73" s="29" t="str">
        <f t="shared" si="1"/>
        <v/>
      </c>
    </row>
    <row r="74" spans="1:5" x14ac:dyDescent="0.3">
      <c r="A74" s="27"/>
      <c r="B74" s="28"/>
      <c r="C74" s="28"/>
      <c r="D74" s="28"/>
      <c r="E74" s="29" t="str">
        <f t="shared" si="1"/>
        <v/>
      </c>
    </row>
    <row r="75" spans="1:5" x14ac:dyDescent="0.3">
      <c r="A75" s="27"/>
      <c r="B75" s="28"/>
      <c r="C75" s="28"/>
      <c r="D75" s="28"/>
      <c r="E75" s="29" t="str">
        <f t="shared" si="1"/>
        <v/>
      </c>
    </row>
    <row r="76" spans="1:5" x14ac:dyDescent="0.3">
      <c r="A76" s="27"/>
      <c r="B76" s="28"/>
      <c r="C76" s="28"/>
      <c r="D76" s="28"/>
      <c r="E76" s="29" t="str">
        <f t="shared" si="1"/>
        <v/>
      </c>
    </row>
    <row r="77" spans="1:5" x14ac:dyDescent="0.3">
      <c r="A77" s="27"/>
      <c r="B77" s="28"/>
      <c r="C77" s="28"/>
      <c r="D77" s="28"/>
      <c r="E77" s="29" t="str">
        <f t="shared" si="1"/>
        <v/>
      </c>
    </row>
    <row r="78" spans="1:5" x14ac:dyDescent="0.3">
      <c r="A78" s="27"/>
      <c r="B78" s="28"/>
      <c r="C78" s="28"/>
      <c r="D78" s="28"/>
      <c r="E78" s="29" t="str">
        <f t="shared" si="1"/>
        <v/>
      </c>
    </row>
    <row r="79" spans="1:5" x14ac:dyDescent="0.3">
      <c r="A79" s="27"/>
      <c r="B79" s="28"/>
      <c r="C79" s="28"/>
      <c r="D79" s="28"/>
      <c r="E79" s="29" t="str">
        <f t="shared" si="1"/>
        <v/>
      </c>
    </row>
    <row r="80" spans="1:5" x14ac:dyDescent="0.3">
      <c r="A80" s="27"/>
      <c r="B80" s="28"/>
      <c r="C80" s="28"/>
      <c r="D80" s="28"/>
      <c r="E80" s="29" t="str">
        <f t="shared" si="1"/>
        <v/>
      </c>
    </row>
    <row r="81" spans="1:5" x14ac:dyDescent="0.3">
      <c r="A81" s="27"/>
      <c r="B81" s="28"/>
      <c r="C81" s="28"/>
      <c r="D81" s="28"/>
      <c r="E81" s="29" t="str">
        <f t="shared" si="1"/>
        <v/>
      </c>
    </row>
    <row r="82" spans="1:5" x14ac:dyDescent="0.3">
      <c r="A82" s="27"/>
      <c r="B82" s="28"/>
      <c r="C82" s="28"/>
      <c r="D82" s="28"/>
      <c r="E82" s="29" t="str">
        <f t="shared" si="1"/>
        <v/>
      </c>
    </row>
    <row r="83" spans="1:5" x14ac:dyDescent="0.3">
      <c r="A83" s="27"/>
      <c r="B83" s="28"/>
      <c r="C83" s="28"/>
      <c r="D83" s="28"/>
      <c r="E83" s="29" t="str">
        <f t="shared" si="1"/>
        <v/>
      </c>
    </row>
    <row r="84" spans="1:5" x14ac:dyDescent="0.3">
      <c r="A84" s="27"/>
      <c r="B84" s="28"/>
      <c r="C84" s="28"/>
      <c r="D84" s="28"/>
      <c r="E84" s="29" t="str">
        <f t="shared" si="1"/>
        <v/>
      </c>
    </row>
    <row r="85" spans="1:5" x14ac:dyDescent="0.3">
      <c r="A85" s="27"/>
      <c r="B85" s="28"/>
      <c r="C85" s="28"/>
      <c r="D85" s="28"/>
      <c r="E85" s="29" t="str">
        <f t="shared" si="1"/>
        <v/>
      </c>
    </row>
    <row r="86" spans="1:5" x14ac:dyDescent="0.3">
      <c r="A86" s="27"/>
      <c r="B86" s="28"/>
      <c r="C86" s="28"/>
      <c r="D86" s="28"/>
      <c r="E86" s="29" t="str">
        <f t="shared" si="1"/>
        <v/>
      </c>
    </row>
    <row r="87" spans="1:5" x14ac:dyDescent="0.3">
      <c r="A87" s="27"/>
      <c r="B87" s="28"/>
      <c r="C87" s="28"/>
      <c r="D87" s="28"/>
      <c r="E87" s="29" t="str">
        <f t="shared" si="1"/>
        <v/>
      </c>
    </row>
    <row r="88" spans="1:5" x14ac:dyDescent="0.3">
      <c r="A88" s="27"/>
      <c r="B88" s="28"/>
      <c r="C88" s="28"/>
      <c r="D88" s="28"/>
      <c r="E88" s="29" t="str">
        <f t="shared" si="1"/>
        <v/>
      </c>
    </row>
    <row r="89" spans="1:5" x14ac:dyDescent="0.3">
      <c r="A89" s="27"/>
      <c r="B89" s="28"/>
      <c r="C89" s="28"/>
      <c r="D89" s="28"/>
      <c r="E89" s="29" t="str">
        <f t="shared" si="1"/>
        <v/>
      </c>
    </row>
    <row r="90" spans="1:5" x14ac:dyDescent="0.3">
      <c r="A90" s="27"/>
      <c r="B90" s="28"/>
      <c r="C90" s="28"/>
      <c r="D90" s="28"/>
      <c r="E90" s="29" t="str">
        <f t="shared" si="1"/>
        <v/>
      </c>
    </row>
    <row r="91" spans="1:5" x14ac:dyDescent="0.3">
      <c r="A91" s="27"/>
      <c r="B91" s="28"/>
      <c r="C91" s="28"/>
      <c r="D91" s="28"/>
      <c r="E91" s="29" t="str">
        <f t="shared" si="1"/>
        <v/>
      </c>
    </row>
    <row r="92" spans="1:5" x14ac:dyDescent="0.3">
      <c r="A92" s="27"/>
      <c r="B92" s="28"/>
      <c r="C92" s="28"/>
      <c r="D92" s="28"/>
      <c r="E92" s="29" t="str">
        <f t="shared" si="1"/>
        <v/>
      </c>
    </row>
    <row r="93" spans="1:5" x14ac:dyDescent="0.3">
      <c r="A93" s="27"/>
      <c r="B93" s="28"/>
      <c r="C93" s="28"/>
      <c r="D93" s="28"/>
      <c r="E93" s="29" t="str">
        <f t="shared" si="1"/>
        <v/>
      </c>
    </row>
    <row r="94" spans="1:5" x14ac:dyDescent="0.3">
      <c r="A94" s="27"/>
      <c r="B94" s="28"/>
      <c r="C94" s="28"/>
      <c r="D94" s="28"/>
      <c r="E94" s="29" t="str">
        <f t="shared" si="1"/>
        <v/>
      </c>
    </row>
    <row r="95" spans="1:5" x14ac:dyDescent="0.3">
      <c r="A95" s="27"/>
      <c r="B95" s="28"/>
      <c r="C95" s="28"/>
      <c r="D95" s="28"/>
      <c r="E95" s="29" t="str">
        <f t="shared" si="1"/>
        <v/>
      </c>
    </row>
    <row r="96" spans="1:5" x14ac:dyDescent="0.3">
      <c r="A96" s="27"/>
      <c r="B96" s="28"/>
      <c r="C96" s="28"/>
      <c r="D96" s="28"/>
      <c r="E96" s="29" t="str">
        <f t="shared" si="1"/>
        <v/>
      </c>
    </row>
    <row r="97" spans="1:5" x14ac:dyDescent="0.3">
      <c r="A97" s="27"/>
      <c r="B97" s="28"/>
      <c r="C97" s="28"/>
      <c r="D97" s="28"/>
      <c r="E97" s="29" t="str">
        <f t="shared" si="1"/>
        <v/>
      </c>
    </row>
    <row r="98" spans="1:5" x14ac:dyDescent="0.3">
      <c r="A98" s="27"/>
      <c r="B98" s="28"/>
      <c r="C98" s="28"/>
      <c r="D98" s="28"/>
      <c r="E98" s="29" t="str">
        <f t="shared" si="1"/>
        <v/>
      </c>
    </row>
    <row r="99" spans="1:5" x14ac:dyDescent="0.3">
      <c r="A99" s="27"/>
      <c r="B99" s="28"/>
      <c r="C99" s="28"/>
      <c r="D99" s="28"/>
      <c r="E99" s="29" t="str">
        <f t="shared" si="1"/>
        <v/>
      </c>
    </row>
    <row r="100" spans="1:5" x14ac:dyDescent="0.3">
      <c r="A100" s="27"/>
      <c r="B100" s="28"/>
      <c r="C100" s="28"/>
      <c r="D100" s="28"/>
      <c r="E100" s="29" t="str">
        <f t="shared" si="1"/>
        <v/>
      </c>
    </row>
    <row r="101" spans="1:5" x14ac:dyDescent="0.3">
      <c r="A101" s="27"/>
      <c r="B101" s="28"/>
      <c r="C101" s="28"/>
      <c r="D101" s="28"/>
      <c r="E101" s="29" t="str">
        <f t="shared" si="1"/>
        <v/>
      </c>
    </row>
    <row r="102" spans="1:5" x14ac:dyDescent="0.3">
      <c r="A102" s="27"/>
      <c r="B102" s="28"/>
      <c r="C102" s="28"/>
      <c r="D102" s="28"/>
      <c r="E102" s="29" t="str">
        <f t="shared" si="1"/>
        <v/>
      </c>
    </row>
    <row r="103" spans="1:5" x14ac:dyDescent="0.3">
      <c r="A103" s="27"/>
      <c r="B103" s="28"/>
      <c r="C103" s="28"/>
      <c r="D103" s="28"/>
      <c r="E103" s="29" t="str">
        <f t="shared" si="1"/>
        <v/>
      </c>
    </row>
    <row r="104" spans="1:5" x14ac:dyDescent="0.3">
      <c r="A104" s="27"/>
      <c r="B104" s="28"/>
      <c r="C104" s="28"/>
      <c r="D104" s="28"/>
      <c r="E104" s="29" t="str">
        <f t="shared" si="1"/>
        <v/>
      </c>
    </row>
    <row r="105" spans="1:5" x14ac:dyDescent="0.3">
      <c r="A105" s="27"/>
      <c r="B105" s="28"/>
      <c r="C105" s="28"/>
      <c r="D105" s="28"/>
      <c r="E105" s="29" t="str">
        <f t="shared" si="1"/>
        <v/>
      </c>
    </row>
    <row r="106" spans="1:5" x14ac:dyDescent="0.3">
      <c r="A106" s="27"/>
      <c r="B106" s="28"/>
      <c r="C106" s="28"/>
      <c r="D106" s="28"/>
      <c r="E106" s="29" t="str">
        <f t="shared" si="1"/>
        <v/>
      </c>
    </row>
    <row r="107" spans="1:5" x14ac:dyDescent="0.3">
      <c r="A107" s="27"/>
      <c r="B107" s="28"/>
      <c r="C107" s="28"/>
      <c r="D107" s="28"/>
      <c r="E107" s="29" t="str">
        <f t="shared" si="1"/>
        <v/>
      </c>
    </row>
    <row r="108" spans="1:5" x14ac:dyDescent="0.3">
      <c r="A108" s="27"/>
      <c r="B108" s="28"/>
      <c r="C108" s="28"/>
      <c r="D108" s="28"/>
      <c r="E108" s="29" t="str">
        <f t="shared" si="1"/>
        <v/>
      </c>
    </row>
    <row r="109" spans="1:5" x14ac:dyDescent="0.3">
      <c r="A109" s="27"/>
      <c r="B109" s="28"/>
      <c r="C109" s="28"/>
      <c r="D109" s="28"/>
      <c r="E109" s="29" t="str">
        <f t="shared" si="1"/>
        <v/>
      </c>
    </row>
    <row r="110" spans="1:5" x14ac:dyDescent="0.3">
      <c r="A110" s="27"/>
      <c r="B110" s="28"/>
      <c r="C110" s="28"/>
      <c r="D110" s="28"/>
      <c r="E110" s="29" t="str">
        <f t="shared" si="1"/>
        <v/>
      </c>
    </row>
    <row r="111" spans="1:5" x14ac:dyDescent="0.3">
      <c r="A111" s="27"/>
      <c r="B111" s="28"/>
      <c r="C111" s="28"/>
      <c r="D111" s="28"/>
      <c r="E111" s="29" t="str">
        <f t="shared" si="1"/>
        <v/>
      </c>
    </row>
    <row r="112" spans="1:5" x14ac:dyDescent="0.3">
      <c r="A112" s="27"/>
      <c r="B112" s="28"/>
      <c r="C112" s="28"/>
      <c r="D112" s="28"/>
      <c r="E112" s="29" t="str">
        <f t="shared" si="1"/>
        <v/>
      </c>
    </row>
    <row r="113" spans="1:5" x14ac:dyDescent="0.3">
      <c r="A113" s="27"/>
      <c r="B113" s="28"/>
      <c r="C113" s="28"/>
      <c r="D113" s="28"/>
      <c r="E113" s="29" t="str">
        <f t="shared" si="1"/>
        <v/>
      </c>
    </row>
    <row r="114" spans="1:5" x14ac:dyDescent="0.3">
      <c r="A114" s="27"/>
      <c r="B114" s="28"/>
      <c r="C114" s="28"/>
      <c r="D114" s="28"/>
      <c r="E114" s="29" t="str">
        <f t="shared" si="1"/>
        <v/>
      </c>
    </row>
    <row r="115" spans="1:5" x14ac:dyDescent="0.3">
      <c r="A115" s="27"/>
      <c r="B115" s="28"/>
      <c r="C115" s="28"/>
      <c r="D115" s="28"/>
      <c r="E115" s="29" t="str">
        <f t="shared" si="1"/>
        <v/>
      </c>
    </row>
    <row r="116" spans="1:5" x14ac:dyDescent="0.3">
      <c r="A116" s="27"/>
      <c r="B116" s="28"/>
      <c r="C116" s="28"/>
      <c r="D116" s="28"/>
      <c r="E116" s="29" t="str">
        <f t="shared" si="1"/>
        <v/>
      </c>
    </row>
    <row r="117" spans="1:5" x14ac:dyDescent="0.3">
      <c r="A117" s="27"/>
      <c r="B117" s="28"/>
      <c r="C117" s="28"/>
      <c r="D117" s="28"/>
      <c r="E117" s="29" t="str">
        <f t="shared" si="1"/>
        <v/>
      </c>
    </row>
    <row r="118" spans="1:5" x14ac:dyDescent="0.3">
      <c r="A118" s="27"/>
      <c r="B118" s="28"/>
      <c r="C118" s="28"/>
      <c r="D118" s="28"/>
      <c r="E118" s="29" t="str">
        <f t="shared" si="1"/>
        <v/>
      </c>
    </row>
    <row r="119" spans="1:5" x14ac:dyDescent="0.3">
      <c r="A119" s="27"/>
      <c r="B119" s="28"/>
      <c r="C119" s="28"/>
      <c r="D119" s="28"/>
      <c r="E119" s="29" t="str">
        <f t="shared" si="1"/>
        <v/>
      </c>
    </row>
    <row r="120" spans="1:5" x14ac:dyDescent="0.3">
      <c r="A120" s="27"/>
      <c r="B120" s="28"/>
      <c r="C120" s="28"/>
      <c r="D120" s="28"/>
      <c r="E120" s="29" t="str">
        <f t="shared" si="1"/>
        <v/>
      </c>
    </row>
    <row r="121" spans="1:5" x14ac:dyDescent="0.3">
      <c r="A121" s="27"/>
      <c r="B121" s="28"/>
      <c r="C121" s="28"/>
      <c r="D121" s="28"/>
      <c r="E121" s="29" t="str">
        <f t="shared" si="1"/>
        <v/>
      </c>
    </row>
    <row r="122" spans="1:5" x14ac:dyDescent="0.3">
      <c r="A122" s="27"/>
      <c r="B122" s="28"/>
      <c r="C122" s="28"/>
      <c r="D122" s="28"/>
      <c r="E122" s="29" t="str">
        <f t="shared" si="1"/>
        <v/>
      </c>
    </row>
    <row r="123" spans="1:5" x14ac:dyDescent="0.3">
      <c r="A123" s="27"/>
      <c r="B123" s="28"/>
      <c r="C123" s="28"/>
      <c r="D123" s="28"/>
      <c r="E123" s="29" t="str">
        <f t="shared" si="1"/>
        <v/>
      </c>
    </row>
    <row r="124" spans="1:5" x14ac:dyDescent="0.3">
      <c r="A124" s="27"/>
      <c r="B124" s="28"/>
      <c r="C124" s="28"/>
      <c r="D124" s="28"/>
      <c r="E124" s="29" t="str">
        <f t="shared" si="1"/>
        <v/>
      </c>
    </row>
    <row r="125" spans="1:5" x14ac:dyDescent="0.3">
      <c r="A125" s="27"/>
      <c r="B125" s="28"/>
      <c r="C125" s="28"/>
      <c r="D125" s="28"/>
      <c r="E125" s="29" t="str">
        <f t="shared" si="1"/>
        <v/>
      </c>
    </row>
    <row r="126" spans="1:5" x14ac:dyDescent="0.3">
      <c r="A126" s="27"/>
      <c r="B126" s="28"/>
      <c r="C126" s="28"/>
      <c r="D126" s="28"/>
      <c r="E126" s="29" t="str">
        <f t="shared" si="1"/>
        <v/>
      </c>
    </row>
    <row r="127" spans="1:5" x14ac:dyDescent="0.3">
      <c r="A127" s="27"/>
      <c r="B127" s="28"/>
      <c r="C127" s="28"/>
      <c r="D127" s="28"/>
      <c r="E127" s="29" t="str">
        <f t="shared" si="1"/>
        <v/>
      </c>
    </row>
    <row r="128" spans="1:5" x14ac:dyDescent="0.3">
      <c r="A128" s="27"/>
      <c r="B128" s="28"/>
      <c r="C128" s="28"/>
      <c r="D128" s="28"/>
      <c r="E128" s="29" t="str">
        <f t="shared" si="1"/>
        <v/>
      </c>
    </row>
    <row r="129" spans="1:5" x14ac:dyDescent="0.3">
      <c r="A129" s="27"/>
      <c r="B129" s="28"/>
      <c r="C129" s="28"/>
      <c r="D129" s="28"/>
      <c r="E129" s="29" t="str">
        <f t="shared" si="1"/>
        <v/>
      </c>
    </row>
    <row r="130" spans="1:5" x14ac:dyDescent="0.3">
      <c r="A130" s="27"/>
      <c r="B130" s="28"/>
      <c r="C130" s="28"/>
      <c r="D130" s="28"/>
      <c r="E130" s="29" t="str">
        <f t="shared" si="1"/>
        <v/>
      </c>
    </row>
    <row r="131" spans="1:5" x14ac:dyDescent="0.3">
      <c r="A131" s="27"/>
      <c r="B131" s="28"/>
      <c r="C131" s="28"/>
      <c r="D131" s="28"/>
      <c r="E131" s="29" t="str">
        <f t="shared" si="1"/>
        <v/>
      </c>
    </row>
    <row r="132" spans="1:5" x14ac:dyDescent="0.3">
      <c r="A132" s="27"/>
      <c r="B132" s="28"/>
      <c r="C132" s="28"/>
      <c r="D132" s="28"/>
      <c r="E132" s="29" t="str">
        <f t="shared" ref="E132:E195" si="2">IF(A132="","",D132/C132)</f>
        <v/>
      </c>
    </row>
    <row r="133" spans="1:5" x14ac:dyDescent="0.3">
      <c r="A133" s="27"/>
      <c r="B133" s="28"/>
      <c r="C133" s="28"/>
      <c r="D133" s="28"/>
      <c r="E133" s="29" t="str">
        <f t="shared" si="2"/>
        <v/>
      </c>
    </row>
    <row r="134" spans="1:5" x14ac:dyDescent="0.3">
      <c r="A134" s="27"/>
      <c r="B134" s="28"/>
      <c r="C134" s="28"/>
      <c r="D134" s="28"/>
      <c r="E134" s="29" t="str">
        <f t="shared" si="2"/>
        <v/>
      </c>
    </row>
    <row r="135" spans="1:5" x14ac:dyDescent="0.3">
      <c r="A135" s="27"/>
      <c r="B135" s="28"/>
      <c r="C135" s="28"/>
      <c r="D135" s="28"/>
      <c r="E135" s="29" t="str">
        <f t="shared" si="2"/>
        <v/>
      </c>
    </row>
    <row r="136" spans="1:5" x14ac:dyDescent="0.3">
      <c r="A136" s="27"/>
      <c r="B136" s="28"/>
      <c r="C136" s="28"/>
      <c r="D136" s="28"/>
      <c r="E136" s="29" t="str">
        <f t="shared" si="2"/>
        <v/>
      </c>
    </row>
    <row r="137" spans="1:5" x14ac:dyDescent="0.3">
      <c r="A137" s="27"/>
      <c r="B137" s="28"/>
      <c r="C137" s="28"/>
      <c r="D137" s="28"/>
      <c r="E137" s="29" t="str">
        <f t="shared" si="2"/>
        <v/>
      </c>
    </row>
    <row r="138" spans="1:5" x14ac:dyDescent="0.3">
      <c r="A138" s="27"/>
      <c r="B138" s="28"/>
      <c r="C138" s="28"/>
      <c r="D138" s="28"/>
      <c r="E138" s="29" t="str">
        <f t="shared" si="2"/>
        <v/>
      </c>
    </row>
    <row r="139" spans="1:5" x14ac:dyDescent="0.3">
      <c r="A139" s="27"/>
      <c r="B139" s="28"/>
      <c r="C139" s="28"/>
      <c r="D139" s="28"/>
      <c r="E139" s="29" t="str">
        <f t="shared" si="2"/>
        <v/>
      </c>
    </row>
    <row r="140" spans="1:5" x14ac:dyDescent="0.3">
      <c r="A140" s="27"/>
      <c r="B140" s="28"/>
      <c r="C140" s="28"/>
      <c r="D140" s="28"/>
      <c r="E140" s="29" t="str">
        <f t="shared" si="2"/>
        <v/>
      </c>
    </row>
    <row r="141" spans="1:5" x14ac:dyDescent="0.3">
      <c r="A141" s="27"/>
      <c r="B141" s="28"/>
      <c r="C141" s="28"/>
      <c r="D141" s="28"/>
      <c r="E141" s="29" t="str">
        <f t="shared" si="2"/>
        <v/>
      </c>
    </row>
    <row r="142" spans="1:5" x14ac:dyDescent="0.3">
      <c r="A142" s="27"/>
      <c r="B142" s="28"/>
      <c r="C142" s="28"/>
      <c r="D142" s="28"/>
      <c r="E142" s="29" t="str">
        <f t="shared" si="2"/>
        <v/>
      </c>
    </row>
    <row r="143" spans="1:5" x14ac:dyDescent="0.3">
      <c r="A143" s="27"/>
      <c r="B143" s="28"/>
      <c r="C143" s="28"/>
      <c r="D143" s="28"/>
      <c r="E143" s="29" t="str">
        <f t="shared" si="2"/>
        <v/>
      </c>
    </row>
    <row r="144" spans="1:5" x14ac:dyDescent="0.3">
      <c r="A144" s="27"/>
      <c r="B144" s="28"/>
      <c r="C144" s="28"/>
      <c r="D144" s="28"/>
      <c r="E144" s="29" t="str">
        <f t="shared" si="2"/>
        <v/>
      </c>
    </row>
    <row r="145" spans="1:5" x14ac:dyDescent="0.3">
      <c r="A145" s="27"/>
      <c r="B145" s="28"/>
      <c r="C145" s="28"/>
      <c r="D145" s="28"/>
      <c r="E145" s="29" t="str">
        <f t="shared" si="2"/>
        <v/>
      </c>
    </row>
    <row r="146" spans="1:5" x14ac:dyDescent="0.3">
      <c r="A146" s="27"/>
      <c r="B146" s="28"/>
      <c r="C146" s="28"/>
      <c r="D146" s="28"/>
      <c r="E146" s="29" t="str">
        <f t="shared" si="2"/>
        <v/>
      </c>
    </row>
    <row r="147" spans="1:5" x14ac:dyDescent="0.3">
      <c r="A147" s="27"/>
      <c r="B147" s="28"/>
      <c r="C147" s="28"/>
      <c r="D147" s="28"/>
      <c r="E147" s="29" t="str">
        <f t="shared" si="2"/>
        <v/>
      </c>
    </row>
    <row r="148" spans="1:5" x14ac:dyDescent="0.3">
      <c r="A148" s="27"/>
      <c r="B148" s="28"/>
      <c r="C148" s="28"/>
      <c r="D148" s="28"/>
      <c r="E148" s="29" t="str">
        <f t="shared" si="2"/>
        <v/>
      </c>
    </row>
    <row r="149" spans="1:5" x14ac:dyDescent="0.3">
      <c r="A149" s="27"/>
      <c r="B149" s="28"/>
      <c r="C149" s="28"/>
      <c r="D149" s="28"/>
      <c r="E149" s="29" t="str">
        <f t="shared" si="2"/>
        <v/>
      </c>
    </row>
    <row r="150" spans="1:5" x14ac:dyDescent="0.3">
      <c r="A150" s="27"/>
      <c r="B150" s="28"/>
      <c r="C150" s="28"/>
      <c r="D150" s="28"/>
      <c r="E150" s="29" t="str">
        <f t="shared" si="2"/>
        <v/>
      </c>
    </row>
    <row r="151" spans="1:5" x14ac:dyDescent="0.3">
      <c r="A151" s="27"/>
      <c r="B151" s="28"/>
      <c r="C151" s="28"/>
      <c r="D151" s="28"/>
      <c r="E151" s="29" t="str">
        <f t="shared" si="2"/>
        <v/>
      </c>
    </row>
    <row r="152" spans="1:5" x14ac:dyDescent="0.3">
      <c r="A152" s="27"/>
      <c r="B152" s="28"/>
      <c r="C152" s="28"/>
      <c r="D152" s="28"/>
      <c r="E152" s="29" t="str">
        <f t="shared" si="2"/>
        <v/>
      </c>
    </row>
    <row r="153" spans="1:5" x14ac:dyDescent="0.3">
      <c r="A153" s="27"/>
      <c r="B153" s="28"/>
      <c r="C153" s="28"/>
      <c r="D153" s="28"/>
      <c r="E153" s="29" t="str">
        <f t="shared" si="2"/>
        <v/>
      </c>
    </row>
    <row r="154" spans="1:5" x14ac:dyDescent="0.3">
      <c r="A154" s="27"/>
      <c r="B154" s="28"/>
      <c r="C154" s="28"/>
      <c r="D154" s="28"/>
      <c r="E154" s="29" t="str">
        <f t="shared" si="2"/>
        <v/>
      </c>
    </row>
    <row r="155" spans="1:5" x14ac:dyDescent="0.3">
      <c r="A155" s="27"/>
      <c r="B155" s="28"/>
      <c r="C155" s="28"/>
      <c r="D155" s="28"/>
      <c r="E155" s="29" t="str">
        <f t="shared" si="2"/>
        <v/>
      </c>
    </row>
    <row r="156" spans="1:5" x14ac:dyDescent="0.3">
      <c r="A156" s="27"/>
      <c r="B156" s="28"/>
      <c r="C156" s="28"/>
      <c r="D156" s="28"/>
      <c r="E156" s="29" t="str">
        <f t="shared" si="2"/>
        <v/>
      </c>
    </row>
    <row r="157" spans="1:5" x14ac:dyDescent="0.3">
      <c r="A157" s="27"/>
      <c r="B157" s="28"/>
      <c r="C157" s="28"/>
      <c r="D157" s="28"/>
      <c r="E157" s="29" t="str">
        <f t="shared" si="2"/>
        <v/>
      </c>
    </row>
    <row r="158" spans="1:5" x14ac:dyDescent="0.3">
      <c r="A158" s="27"/>
      <c r="B158" s="28"/>
      <c r="C158" s="28"/>
      <c r="D158" s="28"/>
      <c r="E158" s="29" t="str">
        <f t="shared" si="2"/>
        <v/>
      </c>
    </row>
    <row r="159" spans="1:5" x14ac:dyDescent="0.3">
      <c r="A159" s="27"/>
      <c r="B159" s="28"/>
      <c r="C159" s="28"/>
      <c r="D159" s="28"/>
      <c r="E159" s="29" t="str">
        <f t="shared" si="2"/>
        <v/>
      </c>
    </row>
    <row r="160" spans="1:5" x14ac:dyDescent="0.3">
      <c r="A160" s="27"/>
      <c r="B160" s="28"/>
      <c r="C160" s="28"/>
      <c r="D160" s="28"/>
      <c r="E160" s="29" t="str">
        <f t="shared" si="2"/>
        <v/>
      </c>
    </row>
    <row r="161" spans="1:5" x14ac:dyDescent="0.3">
      <c r="A161" s="27"/>
      <c r="B161" s="28"/>
      <c r="C161" s="28"/>
      <c r="D161" s="28"/>
      <c r="E161" s="29" t="str">
        <f t="shared" si="2"/>
        <v/>
      </c>
    </row>
    <row r="162" spans="1:5" x14ac:dyDescent="0.3">
      <c r="A162" s="27"/>
      <c r="B162" s="28"/>
      <c r="C162" s="28"/>
      <c r="D162" s="28"/>
      <c r="E162" s="29" t="str">
        <f t="shared" si="2"/>
        <v/>
      </c>
    </row>
    <row r="163" spans="1:5" x14ac:dyDescent="0.3">
      <c r="A163" s="27"/>
      <c r="B163" s="28"/>
      <c r="C163" s="28"/>
      <c r="D163" s="28"/>
      <c r="E163" s="29" t="str">
        <f t="shared" si="2"/>
        <v/>
      </c>
    </row>
    <row r="164" spans="1:5" x14ac:dyDescent="0.3">
      <c r="A164" s="27"/>
      <c r="B164" s="28"/>
      <c r="C164" s="28"/>
      <c r="D164" s="28"/>
      <c r="E164" s="29" t="str">
        <f t="shared" si="2"/>
        <v/>
      </c>
    </row>
    <row r="165" spans="1:5" x14ac:dyDescent="0.3">
      <c r="A165" s="27"/>
      <c r="B165" s="28"/>
      <c r="C165" s="28"/>
      <c r="D165" s="28"/>
      <c r="E165" s="29" t="str">
        <f t="shared" si="2"/>
        <v/>
      </c>
    </row>
    <row r="166" spans="1:5" x14ac:dyDescent="0.3">
      <c r="A166" s="27"/>
      <c r="B166" s="28"/>
      <c r="C166" s="28"/>
      <c r="D166" s="28"/>
      <c r="E166" s="29" t="str">
        <f t="shared" si="2"/>
        <v/>
      </c>
    </row>
    <row r="167" spans="1:5" x14ac:dyDescent="0.3">
      <c r="A167" s="27"/>
      <c r="B167" s="28"/>
      <c r="C167" s="28"/>
      <c r="D167" s="28"/>
      <c r="E167" s="29" t="str">
        <f t="shared" si="2"/>
        <v/>
      </c>
    </row>
    <row r="168" spans="1:5" x14ac:dyDescent="0.3">
      <c r="A168" s="27"/>
      <c r="B168" s="28"/>
      <c r="C168" s="28"/>
      <c r="D168" s="28"/>
      <c r="E168" s="29" t="str">
        <f t="shared" si="2"/>
        <v/>
      </c>
    </row>
    <row r="169" spans="1:5" x14ac:dyDescent="0.3">
      <c r="A169" s="27"/>
      <c r="B169" s="28"/>
      <c r="C169" s="28"/>
      <c r="D169" s="28"/>
      <c r="E169" s="29" t="str">
        <f t="shared" si="2"/>
        <v/>
      </c>
    </row>
    <row r="170" spans="1:5" x14ac:dyDescent="0.3">
      <c r="A170" s="27"/>
      <c r="B170" s="28"/>
      <c r="C170" s="28"/>
      <c r="D170" s="28"/>
      <c r="E170" s="29" t="str">
        <f t="shared" si="2"/>
        <v/>
      </c>
    </row>
    <row r="171" spans="1:5" x14ac:dyDescent="0.3">
      <c r="A171" s="27"/>
      <c r="B171" s="28"/>
      <c r="C171" s="28"/>
      <c r="D171" s="28"/>
      <c r="E171" s="29" t="str">
        <f t="shared" si="2"/>
        <v/>
      </c>
    </row>
    <row r="172" spans="1:5" x14ac:dyDescent="0.3">
      <c r="A172" s="27"/>
      <c r="B172" s="28"/>
      <c r="C172" s="28"/>
      <c r="D172" s="28"/>
      <c r="E172" s="29" t="str">
        <f t="shared" si="2"/>
        <v/>
      </c>
    </row>
    <row r="173" spans="1:5" x14ac:dyDescent="0.3">
      <c r="A173" s="27"/>
      <c r="B173" s="28"/>
      <c r="C173" s="28"/>
      <c r="D173" s="28"/>
      <c r="E173" s="29" t="str">
        <f t="shared" si="2"/>
        <v/>
      </c>
    </row>
    <row r="174" spans="1:5" x14ac:dyDescent="0.3">
      <c r="A174" s="27"/>
      <c r="B174" s="28"/>
      <c r="C174" s="28"/>
      <c r="D174" s="28"/>
      <c r="E174" s="29" t="str">
        <f t="shared" si="2"/>
        <v/>
      </c>
    </row>
    <row r="175" spans="1:5" x14ac:dyDescent="0.3">
      <c r="A175" s="27"/>
      <c r="B175" s="28"/>
      <c r="C175" s="28"/>
      <c r="D175" s="28"/>
      <c r="E175" s="29" t="str">
        <f t="shared" si="2"/>
        <v/>
      </c>
    </row>
    <row r="176" spans="1:5" x14ac:dyDescent="0.3">
      <c r="A176" s="27"/>
      <c r="B176" s="28"/>
      <c r="C176" s="28"/>
      <c r="D176" s="28"/>
      <c r="E176" s="29" t="str">
        <f t="shared" si="2"/>
        <v/>
      </c>
    </row>
    <row r="177" spans="1:5" x14ac:dyDescent="0.3">
      <c r="A177" s="27"/>
      <c r="B177" s="28"/>
      <c r="C177" s="28"/>
      <c r="D177" s="28"/>
      <c r="E177" s="29" t="str">
        <f t="shared" si="2"/>
        <v/>
      </c>
    </row>
    <row r="178" spans="1:5" x14ac:dyDescent="0.3">
      <c r="A178" s="27"/>
      <c r="B178" s="28"/>
      <c r="C178" s="28"/>
      <c r="D178" s="28"/>
      <c r="E178" s="29" t="str">
        <f t="shared" si="2"/>
        <v/>
      </c>
    </row>
    <row r="179" spans="1:5" x14ac:dyDescent="0.3">
      <c r="A179" s="27"/>
      <c r="B179" s="28"/>
      <c r="C179" s="28"/>
      <c r="D179" s="28"/>
      <c r="E179" s="29" t="str">
        <f t="shared" si="2"/>
        <v/>
      </c>
    </row>
    <row r="180" spans="1:5" x14ac:dyDescent="0.3">
      <c r="A180" s="27"/>
      <c r="B180" s="28"/>
      <c r="C180" s="28"/>
      <c r="D180" s="28"/>
      <c r="E180" s="29" t="str">
        <f t="shared" si="2"/>
        <v/>
      </c>
    </row>
    <row r="181" spans="1:5" x14ac:dyDescent="0.3">
      <c r="A181" s="27"/>
      <c r="B181" s="28"/>
      <c r="C181" s="28"/>
      <c r="D181" s="28"/>
      <c r="E181" s="29" t="str">
        <f t="shared" si="2"/>
        <v/>
      </c>
    </row>
    <row r="182" spans="1:5" x14ac:dyDescent="0.3">
      <c r="A182" s="27"/>
      <c r="B182" s="28"/>
      <c r="C182" s="28"/>
      <c r="D182" s="28"/>
      <c r="E182" s="29" t="str">
        <f t="shared" si="2"/>
        <v/>
      </c>
    </row>
    <row r="183" spans="1:5" x14ac:dyDescent="0.3">
      <c r="A183" s="27"/>
      <c r="B183" s="28"/>
      <c r="C183" s="28"/>
      <c r="D183" s="28"/>
      <c r="E183" s="29" t="str">
        <f t="shared" si="2"/>
        <v/>
      </c>
    </row>
    <row r="184" spans="1:5" x14ac:dyDescent="0.3">
      <c r="A184" s="27"/>
      <c r="B184" s="28"/>
      <c r="C184" s="28"/>
      <c r="D184" s="28"/>
      <c r="E184" s="29" t="str">
        <f t="shared" si="2"/>
        <v/>
      </c>
    </row>
    <row r="185" spans="1:5" x14ac:dyDescent="0.3">
      <c r="A185" s="27"/>
      <c r="B185" s="28"/>
      <c r="C185" s="28"/>
      <c r="D185" s="28"/>
      <c r="E185" s="29" t="str">
        <f t="shared" si="2"/>
        <v/>
      </c>
    </row>
    <row r="186" spans="1:5" x14ac:dyDescent="0.3">
      <c r="A186" s="27"/>
      <c r="B186" s="28"/>
      <c r="C186" s="28"/>
      <c r="D186" s="28"/>
      <c r="E186" s="29" t="str">
        <f t="shared" si="2"/>
        <v/>
      </c>
    </row>
    <row r="187" spans="1:5" x14ac:dyDescent="0.3">
      <c r="A187" s="27"/>
      <c r="B187" s="28"/>
      <c r="C187" s="28"/>
      <c r="D187" s="28"/>
      <c r="E187" s="29" t="str">
        <f t="shared" si="2"/>
        <v/>
      </c>
    </row>
    <row r="188" spans="1:5" x14ac:dyDescent="0.3">
      <c r="A188" s="27"/>
      <c r="B188" s="28"/>
      <c r="C188" s="28"/>
      <c r="D188" s="28"/>
      <c r="E188" s="29" t="str">
        <f t="shared" si="2"/>
        <v/>
      </c>
    </row>
    <row r="189" spans="1:5" x14ac:dyDescent="0.3">
      <c r="A189" s="27"/>
      <c r="B189" s="28"/>
      <c r="C189" s="28"/>
      <c r="D189" s="28"/>
      <c r="E189" s="29" t="str">
        <f t="shared" si="2"/>
        <v/>
      </c>
    </row>
    <row r="190" spans="1:5" x14ac:dyDescent="0.3">
      <c r="A190" s="27"/>
      <c r="B190" s="28"/>
      <c r="C190" s="28"/>
      <c r="D190" s="28"/>
      <c r="E190" s="29" t="str">
        <f t="shared" si="2"/>
        <v/>
      </c>
    </row>
    <row r="191" spans="1:5" x14ac:dyDescent="0.3">
      <c r="A191" s="27"/>
      <c r="B191" s="28"/>
      <c r="C191" s="28"/>
      <c r="D191" s="28"/>
      <c r="E191" s="29" t="str">
        <f t="shared" si="2"/>
        <v/>
      </c>
    </row>
    <row r="192" spans="1:5" x14ac:dyDescent="0.3">
      <c r="A192" s="27"/>
      <c r="B192" s="28"/>
      <c r="C192" s="28"/>
      <c r="D192" s="28"/>
      <c r="E192" s="29" t="str">
        <f t="shared" si="2"/>
        <v/>
      </c>
    </row>
    <row r="193" spans="1:5" x14ac:dyDescent="0.3">
      <c r="A193" s="27"/>
      <c r="B193" s="28"/>
      <c r="C193" s="28"/>
      <c r="D193" s="28"/>
      <c r="E193" s="29" t="str">
        <f t="shared" si="2"/>
        <v/>
      </c>
    </row>
    <row r="194" spans="1:5" x14ac:dyDescent="0.3">
      <c r="A194" s="27"/>
      <c r="B194" s="28"/>
      <c r="C194" s="28"/>
      <c r="D194" s="28"/>
      <c r="E194" s="29" t="str">
        <f t="shared" si="2"/>
        <v/>
      </c>
    </row>
    <row r="195" spans="1:5" x14ac:dyDescent="0.3">
      <c r="A195" s="27"/>
      <c r="B195" s="28"/>
      <c r="C195" s="28"/>
      <c r="D195" s="28"/>
      <c r="E195" s="29" t="str">
        <f t="shared" si="2"/>
        <v/>
      </c>
    </row>
    <row r="196" spans="1:5" x14ac:dyDescent="0.3">
      <c r="A196" s="27"/>
      <c r="B196" s="28"/>
      <c r="C196" s="28"/>
      <c r="D196" s="28"/>
      <c r="E196" s="29" t="str">
        <f t="shared" ref="E196:E259" si="3">IF(A196="","",D196/C196)</f>
        <v/>
      </c>
    </row>
    <row r="197" spans="1:5" x14ac:dyDescent="0.3">
      <c r="A197" s="27"/>
      <c r="B197" s="28"/>
      <c r="C197" s="28"/>
      <c r="D197" s="28"/>
      <c r="E197" s="29" t="str">
        <f t="shared" si="3"/>
        <v/>
      </c>
    </row>
    <row r="198" spans="1:5" x14ac:dyDescent="0.3">
      <c r="A198" s="27"/>
      <c r="B198" s="28"/>
      <c r="C198" s="28"/>
      <c r="D198" s="28"/>
      <c r="E198" s="29" t="str">
        <f t="shared" si="3"/>
        <v/>
      </c>
    </row>
    <row r="199" spans="1:5" x14ac:dyDescent="0.3">
      <c r="A199" s="27"/>
      <c r="B199" s="28"/>
      <c r="C199" s="28"/>
      <c r="D199" s="28"/>
      <c r="E199" s="29" t="str">
        <f t="shared" si="3"/>
        <v/>
      </c>
    </row>
    <row r="200" spans="1:5" x14ac:dyDescent="0.3">
      <c r="A200" s="27"/>
      <c r="B200" s="28"/>
      <c r="C200" s="28"/>
      <c r="D200" s="28"/>
      <c r="E200" s="29" t="str">
        <f t="shared" si="3"/>
        <v/>
      </c>
    </row>
    <row r="201" spans="1:5" x14ac:dyDescent="0.3">
      <c r="A201" s="27"/>
      <c r="B201" s="28"/>
      <c r="C201" s="28"/>
      <c r="D201" s="28"/>
      <c r="E201" s="29" t="str">
        <f t="shared" si="3"/>
        <v/>
      </c>
    </row>
    <row r="202" spans="1:5" x14ac:dyDescent="0.3">
      <c r="A202" s="27"/>
      <c r="B202" s="28"/>
      <c r="C202" s="28"/>
      <c r="D202" s="28"/>
      <c r="E202" s="29" t="str">
        <f t="shared" si="3"/>
        <v/>
      </c>
    </row>
    <row r="203" spans="1:5" x14ac:dyDescent="0.3">
      <c r="A203" s="27"/>
      <c r="B203" s="28"/>
      <c r="C203" s="28"/>
      <c r="D203" s="28"/>
      <c r="E203" s="29" t="str">
        <f t="shared" si="3"/>
        <v/>
      </c>
    </row>
    <row r="204" spans="1:5" x14ac:dyDescent="0.3">
      <c r="A204" s="27"/>
      <c r="B204" s="28"/>
      <c r="C204" s="28"/>
      <c r="D204" s="28"/>
      <c r="E204" s="29" t="str">
        <f t="shared" si="3"/>
        <v/>
      </c>
    </row>
    <row r="205" spans="1:5" x14ac:dyDescent="0.3">
      <c r="A205" s="27"/>
      <c r="B205" s="28"/>
      <c r="C205" s="28"/>
      <c r="D205" s="28"/>
      <c r="E205" s="29" t="str">
        <f t="shared" si="3"/>
        <v/>
      </c>
    </row>
    <row r="206" spans="1:5" x14ac:dyDescent="0.3">
      <c r="A206" s="27"/>
      <c r="B206" s="28"/>
      <c r="C206" s="28"/>
      <c r="D206" s="28"/>
      <c r="E206" s="29" t="str">
        <f t="shared" si="3"/>
        <v/>
      </c>
    </row>
    <row r="207" spans="1:5" x14ac:dyDescent="0.3">
      <c r="A207" s="27"/>
      <c r="B207" s="28"/>
      <c r="C207" s="28"/>
      <c r="D207" s="28"/>
      <c r="E207" s="29" t="str">
        <f t="shared" si="3"/>
        <v/>
      </c>
    </row>
    <row r="208" spans="1:5" x14ac:dyDescent="0.3">
      <c r="A208" s="27"/>
      <c r="B208" s="28"/>
      <c r="C208" s="28"/>
      <c r="D208" s="28"/>
      <c r="E208" s="29" t="str">
        <f t="shared" si="3"/>
        <v/>
      </c>
    </row>
    <row r="209" spans="1:5" x14ac:dyDescent="0.3">
      <c r="A209" s="27"/>
      <c r="B209" s="28"/>
      <c r="C209" s="28"/>
      <c r="D209" s="28"/>
      <c r="E209" s="29" t="str">
        <f t="shared" si="3"/>
        <v/>
      </c>
    </row>
    <row r="210" spans="1:5" x14ac:dyDescent="0.3">
      <c r="A210" s="27"/>
      <c r="B210" s="28"/>
      <c r="C210" s="28"/>
      <c r="D210" s="28"/>
      <c r="E210" s="29" t="str">
        <f t="shared" si="3"/>
        <v/>
      </c>
    </row>
    <row r="211" spans="1:5" x14ac:dyDescent="0.3">
      <c r="A211" s="27"/>
      <c r="B211" s="28"/>
      <c r="C211" s="28"/>
      <c r="D211" s="28"/>
      <c r="E211" s="29" t="str">
        <f t="shared" si="3"/>
        <v/>
      </c>
    </row>
    <row r="212" spans="1:5" x14ac:dyDescent="0.3">
      <c r="A212" s="27"/>
      <c r="B212" s="28"/>
      <c r="C212" s="28"/>
      <c r="D212" s="28"/>
      <c r="E212" s="29" t="str">
        <f t="shared" si="3"/>
        <v/>
      </c>
    </row>
    <row r="213" spans="1:5" x14ac:dyDescent="0.3">
      <c r="A213" s="27"/>
      <c r="B213" s="28"/>
      <c r="C213" s="28"/>
      <c r="D213" s="28"/>
      <c r="E213" s="29" t="str">
        <f t="shared" si="3"/>
        <v/>
      </c>
    </row>
    <row r="214" spans="1:5" x14ac:dyDescent="0.3">
      <c r="A214" s="27"/>
      <c r="B214" s="28"/>
      <c r="C214" s="28"/>
      <c r="D214" s="28"/>
      <c r="E214" s="29" t="str">
        <f t="shared" si="3"/>
        <v/>
      </c>
    </row>
    <row r="215" spans="1:5" x14ac:dyDescent="0.3">
      <c r="A215" s="27"/>
      <c r="B215" s="28"/>
      <c r="C215" s="28"/>
      <c r="D215" s="28"/>
      <c r="E215" s="29" t="str">
        <f t="shared" si="3"/>
        <v/>
      </c>
    </row>
    <row r="216" spans="1:5" x14ac:dyDescent="0.3">
      <c r="A216" s="27"/>
      <c r="B216" s="28"/>
      <c r="C216" s="28"/>
      <c r="D216" s="28"/>
      <c r="E216" s="29" t="str">
        <f t="shared" si="3"/>
        <v/>
      </c>
    </row>
    <row r="217" spans="1:5" x14ac:dyDescent="0.3">
      <c r="A217" s="27"/>
      <c r="B217" s="28"/>
      <c r="C217" s="28"/>
      <c r="D217" s="28"/>
      <c r="E217" s="29" t="str">
        <f t="shared" si="3"/>
        <v/>
      </c>
    </row>
    <row r="218" spans="1:5" x14ac:dyDescent="0.3">
      <c r="A218" s="27"/>
      <c r="B218" s="28"/>
      <c r="C218" s="28"/>
      <c r="D218" s="28"/>
      <c r="E218" s="29" t="str">
        <f t="shared" si="3"/>
        <v/>
      </c>
    </row>
    <row r="219" spans="1:5" x14ac:dyDescent="0.3">
      <c r="A219" s="27"/>
      <c r="B219" s="28"/>
      <c r="C219" s="28"/>
      <c r="D219" s="28"/>
      <c r="E219" s="29" t="str">
        <f t="shared" si="3"/>
        <v/>
      </c>
    </row>
    <row r="220" spans="1:5" x14ac:dyDescent="0.3">
      <c r="A220" s="27"/>
      <c r="B220" s="28"/>
      <c r="C220" s="28"/>
      <c r="D220" s="28"/>
      <c r="E220" s="29" t="str">
        <f t="shared" si="3"/>
        <v/>
      </c>
    </row>
    <row r="221" spans="1:5" x14ac:dyDescent="0.3">
      <c r="A221" s="27"/>
      <c r="B221" s="28"/>
      <c r="C221" s="28"/>
      <c r="D221" s="28"/>
      <c r="E221" s="29" t="str">
        <f t="shared" si="3"/>
        <v/>
      </c>
    </row>
    <row r="222" spans="1:5" x14ac:dyDescent="0.3">
      <c r="A222" s="27"/>
      <c r="B222" s="28"/>
      <c r="C222" s="28"/>
      <c r="D222" s="28"/>
      <c r="E222" s="29" t="str">
        <f t="shared" si="3"/>
        <v/>
      </c>
    </row>
    <row r="223" spans="1:5" x14ac:dyDescent="0.3">
      <c r="A223" s="27"/>
      <c r="B223" s="28"/>
      <c r="C223" s="28"/>
      <c r="D223" s="28"/>
      <c r="E223" s="29" t="str">
        <f t="shared" si="3"/>
        <v/>
      </c>
    </row>
    <row r="224" spans="1:5" x14ac:dyDescent="0.3">
      <c r="A224" s="27"/>
      <c r="B224" s="28"/>
      <c r="C224" s="28"/>
      <c r="D224" s="28"/>
      <c r="E224" s="29" t="str">
        <f t="shared" si="3"/>
        <v/>
      </c>
    </row>
    <row r="225" spans="1:5" x14ac:dyDescent="0.3">
      <c r="A225" s="27"/>
      <c r="B225" s="28"/>
      <c r="C225" s="28"/>
      <c r="D225" s="28"/>
      <c r="E225" s="29" t="str">
        <f t="shared" si="3"/>
        <v/>
      </c>
    </row>
    <row r="226" spans="1:5" x14ac:dyDescent="0.3">
      <c r="A226" s="27"/>
      <c r="B226" s="28"/>
      <c r="C226" s="28"/>
      <c r="D226" s="28"/>
      <c r="E226" s="29" t="str">
        <f t="shared" si="3"/>
        <v/>
      </c>
    </row>
    <row r="227" spans="1:5" x14ac:dyDescent="0.3">
      <c r="A227" s="27"/>
      <c r="B227" s="28"/>
      <c r="C227" s="28"/>
      <c r="D227" s="28"/>
      <c r="E227" s="29" t="str">
        <f t="shared" si="3"/>
        <v/>
      </c>
    </row>
    <row r="228" spans="1:5" x14ac:dyDescent="0.3">
      <c r="A228" s="27"/>
      <c r="B228" s="28"/>
      <c r="C228" s="28"/>
      <c r="D228" s="28"/>
      <c r="E228" s="29" t="str">
        <f t="shared" si="3"/>
        <v/>
      </c>
    </row>
    <row r="229" spans="1:5" x14ac:dyDescent="0.3">
      <c r="A229" s="27"/>
      <c r="B229" s="28"/>
      <c r="C229" s="28"/>
      <c r="D229" s="28"/>
      <c r="E229" s="29" t="str">
        <f t="shared" si="3"/>
        <v/>
      </c>
    </row>
    <row r="230" spans="1:5" x14ac:dyDescent="0.3">
      <c r="A230" s="27"/>
      <c r="B230" s="28"/>
      <c r="C230" s="28"/>
      <c r="D230" s="28"/>
      <c r="E230" s="29" t="str">
        <f t="shared" si="3"/>
        <v/>
      </c>
    </row>
    <row r="231" spans="1:5" x14ac:dyDescent="0.3">
      <c r="A231" s="27"/>
      <c r="B231" s="28"/>
      <c r="C231" s="28"/>
      <c r="D231" s="28"/>
      <c r="E231" s="29" t="str">
        <f t="shared" si="3"/>
        <v/>
      </c>
    </row>
    <row r="232" spans="1:5" x14ac:dyDescent="0.3">
      <c r="A232" s="27"/>
      <c r="B232" s="28"/>
      <c r="C232" s="28"/>
      <c r="D232" s="28"/>
      <c r="E232" s="29" t="str">
        <f t="shared" si="3"/>
        <v/>
      </c>
    </row>
    <row r="233" spans="1:5" x14ac:dyDescent="0.3">
      <c r="A233" s="27"/>
      <c r="B233" s="28"/>
      <c r="C233" s="28"/>
      <c r="D233" s="28"/>
      <c r="E233" s="29" t="str">
        <f t="shared" si="3"/>
        <v/>
      </c>
    </row>
    <row r="234" spans="1:5" x14ac:dyDescent="0.3">
      <c r="A234" s="27"/>
      <c r="B234" s="28"/>
      <c r="C234" s="28"/>
      <c r="D234" s="28"/>
      <c r="E234" s="29" t="str">
        <f t="shared" si="3"/>
        <v/>
      </c>
    </row>
    <row r="235" spans="1:5" x14ac:dyDescent="0.3">
      <c r="A235" s="27"/>
      <c r="B235" s="28"/>
      <c r="C235" s="28"/>
      <c r="D235" s="28"/>
      <c r="E235" s="29" t="str">
        <f t="shared" si="3"/>
        <v/>
      </c>
    </row>
    <row r="236" spans="1:5" x14ac:dyDescent="0.3">
      <c r="A236" s="27"/>
      <c r="B236" s="28"/>
      <c r="C236" s="28"/>
      <c r="D236" s="28"/>
      <c r="E236" s="29" t="str">
        <f t="shared" si="3"/>
        <v/>
      </c>
    </row>
    <row r="237" spans="1:5" x14ac:dyDescent="0.3">
      <c r="A237" s="27"/>
      <c r="B237" s="28"/>
      <c r="C237" s="28"/>
      <c r="D237" s="28"/>
      <c r="E237" s="29" t="str">
        <f t="shared" si="3"/>
        <v/>
      </c>
    </row>
    <row r="238" spans="1:5" x14ac:dyDescent="0.3">
      <c r="A238" s="27"/>
      <c r="B238" s="28"/>
      <c r="C238" s="28"/>
      <c r="D238" s="28"/>
      <c r="E238" s="29" t="str">
        <f t="shared" si="3"/>
        <v/>
      </c>
    </row>
    <row r="239" spans="1:5" x14ac:dyDescent="0.3">
      <c r="A239" s="27"/>
      <c r="B239" s="28"/>
      <c r="C239" s="28"/>
      <c r="D239" s="28"/>
      <c r="E239" s="29" t="str">
        <f t="shared" si="3"/>
        <v/>
      </c>
    </row>
    <row r="240" spans="1:5" x14ac:dyDescent="0.3">
      <c r="A240" s="27"/>
      <c r="B240" s="28"/>
      <c r="C240" s="28"/>
      <c r="D240" s="28"/>
      <c r="E240" s="29" t="str">
        <f t="shared" si="3"/>
        <v/>
      </c>
    </row>
    <row r="241" spans="1:5" x14ac:dyDescent="0.3">
      <c r="A241" s="27"/>
      <c r="B241" s="28"/>
      <c r="C241" s="28"/>
      <c r="D241" s="28"/>
      <c r="E241" s="29" t="str">
        <f t="shared" si="3"/>
        <v/>
      </c>
    </row>
    <row r="242" spans="1:5" x14ac:dyDescent="0.3">
      <c r="A242" s="27"/>
      <c r="B242" s="28"/>
      <c r="C242" s="28"/>
      <c r="D242" s="28"/>
      <c r="E242" s="29" t="str">
        <f t="shared" si="3"/>
        <v/>
      </c>
    </row>
    <row r="243" spans="1:5" x14ac:dyDescent="0.3">
      <c r="A243" s="27"/>
      <c r="B243" s="28"/>
      <c r="C243" s="28"/>
      <c r="D243" s="28"/>
      <c r="E243" s="29" t="str">
        <f t="shared" si="3"/>
        <v/>
      </c>
    </row>
    <row r="244" spans="1:5" x14ac:dyDescent="0.3">
      <c r="A244" s="27"/>
      <c r="B244" s="28"/>
      <c r="C244" s="28"/>
      <c r="D244" s="28"/>
      <c r="E244" s="29" t="str">
        <f t="shared" si="3"/>
        <v/>
      </c>
    </row>
    <row r="245" spans="1:5" x14ac:dyDescent="0.3">
      <c r="A245" s="27"/>
      <c r="B245" s="28"/>
      <c r="C245" s="28"/>
      <c r="D245" s="28"/>
      <c r="E245" s="29" t="str">
        <f t="shared" si="3"/>
        <v/>
      </c>
    </row>
    <row r="246" spans="1:5" x14ac:dyDescent="0.3">
      <c r="A246" s="27"/>
      <c r="B246" s="28"/>
      <c r="C246" s="28"/>
      <c r="D246" s="28"/>
      <c r="E246" s="29" t="str">
        <f t="shared" si="3"/>
        <v/>
      </c>
    </row>
    <row r="247" spans="1:5" x14ac:dyDescent="0.3">
      <c r="A247" s="27"/>
      <c r="B247" s="28"/>
      <c r="C247" s="28"/>
      <c r="D247" s="28"/>
      <c r="E247" s="29" t="str">
        <f t="shared" si="3"/>
        <v/>
      </c>
    </row>
    <row r="248" spans="1:5" x14ac:dyDescent="0.3">
      <c r="A248" s="27"/>
      <c r="B248" s="28"/>
      <c r="C248" s="28"/>
      <c r="D248" s="28"/>
      <c r="E248" s="29" t="str">
        <f t="shared" si="3"/>
        <v/>
      </c>
    </row>
    <row r="249" spans="1:5" x14ac:dyDescent="0.3">
      <c r="A249" s="27"/>
      <c r="B249" s="28"/>
      <c r="C249" s="28"/>
      <c r="D249" s="28"/>
      <c r="E249" s="29" t="str">
        <f t="shared" si="3"/>
        <v/>
      </c>
    </row>
    <row r="250" spans="1:5" x14ac:dyDescent="0.3">
      <c r="A250" s="27"/>
      <c r="B250" s="28"/>
      <c r="C250" s="28"/>
      <c r="D250" s="28"/>
      <c r="E250" s="29" t="str">
        <f t="shared" si="3"/>
        <v/>
      </c>
    </row>
    <row r="251" spans="1:5" x14ac:dyDescent="0.3">
      <c r="A251" s="27"/>
      <c r="B251" s="28"/>
      <c r="C251" s="28"/>
      <c r="D251" s="28"/>
      <c r="E251" s="29" t="str">
        <f t="shared" si="3"/>
        <v/>
      </c>
    </row>
    <row r="252" spans="1:5" x14ac:dyDescent="0.3">
      <c r="A252" s="27"/>
      <c r="B252" s="28"/>
      <c r="C252" s="28"/>
      <c r="D252" s="28"/>
      <c r="E252" s="29" t="str">
        <f t="shared" si="3"/>
        <v/>
      </c>
    </row>
    <row r="253" spans="1:5" x14ac:dyDescent="0.3">
      <c r="A253" s="27"/>
      <c r="B253" s="28"/>
      <c r="C253" s="28"/>
      <c r="D253" s="28"/>
      <c r="E253" s="29" t="str">
        <f t="shared" si="3"/>
        <v/>
      </c>
    </row>
    <row r="254" spans="1:5" x14ac:dyDescent="0.3">
      <c r="A254" s="27"/>
      <c r="B254" s="28"/>
      <c r="C254" s="28"/>
      <c r="D254" s="28"/>
      <c r="E254" s="29" t="str">
        <f t="shared" si="3"/>
        <v/>
      </c>
    </row>
    <row r="255" spans="1:5" x14ac:dyDescent="0.3">
      <c r="A255" s="27"/>
      <c r="B255" s="28"/>
      <c r="C255" s="28"/>
      <c r="D255" s="28"/>
      <c r="E255" s="29" t="str">
        <f t="shared" si="3"/>
        <v/>
      </c>
    </row>
    <row r="256" spans="1:5" x14ac:dyDescent="0.3">
      <c r="A256" s="27"/>
      <c r="B256" s="28"/>
      <c r="C256" s="28"/>
      <c r="D256" s="28"/>
      <c r="E256" s="29" t="str">
        <f t="shared" si="3"/>
        <v/>
      </c>
    </row>
    <row r="257" spans="1:5" x14ac:dyDescent="0.3">
      <c r="A257" s="27"/>
      <c r="B257" s="28"/>
      <c r="C257" s="28"/>
      <c r="D257" s="28"/>
      <c r="E257" s="29" t="str">
        <f t="shared" si="3"/>
        <v/>
      </c>
    </row>
    <row r="258" spans="1:5" x14ac:dyDescent="0.3">
      <c r="A258" s="27"/>
      <c r="B258" s="28"/>
      <c r="C258" s="28"/>
      <c r="D258" s="28"/>
      <c r="E258" s="29" t="str">
        <f t="shared" si="3"/>
        <v/>
      </c>
    </row>
    <row r="259" spans="1:5" x14ac:dyDescent="0.3">
      <c r="A259" s="27"/>
      <c r="B259" s="28"/>
      <c r="C259" s="28"/>
      <c r="D259" s="28"/>
      <c r="E259" s="29" t="str">
        <f t="shared" si="3"/>
        <v/>
      </c>
    </row>
    <row r="260" spans="1:5" x14ac:dyDescent="0.3">
      <c r="A260" s="27"/>
      <c r="B260" s="28"/>
      <c r="C260" s="28"/>
      <c r="D260" s="28"/>
      <c r="E260" s="29" t="str">
        <f t="shared" ref="E260:E300" si="4">IF(A260="","",D260/C260)</f>
        <v/>
      </c>
    </row>
    <row r="261" spans="1:5" x14ac:dyDescent="0.3">
      <c r="A261" s="27"/>
      <c r="B261" s="28"/>
      <c r="C261" s="28"/>
      <c r="D261" s="28"/>
      <c r="E261" s="29" t="str">
        <f t="shared" si="4"/>
        <v/>
      </c>
    </row>
    <row r="262" spans="1:5" x14ac:dyDescent="0.3">
      <c r="A262" s="27"/>
      <c r="B262" s="28"/>
      <c r="C262" s="28"/>
      <c r="D262" s="28"/>
      <c r="E262" s="29" t="str">
        <f t="shared" si="4"/>
        <v/>
      </c>
    </row>
    <row r="263" spans="1:5" x14ac:dyDescent="0.3">
      <c r="A263" s="27"/>
      <c r="B263" s="28"/>
      <c r="C263" s="28"/>
      <c r="D263" s="28"/>
      <c r="E263" s="29" t="str">
        <f t="shared" si="4"/>
        <v/>
      </c>
    </row>
    <row r="264" spans="1:5" x14ac:dyDescent="0.3">
      <c r="A264" s="27"/>
      <c r="B264" s="28"/>
      <c r="C264" s="28"/>
      <c r="D264" s="28"/>
      <c r="E264" s="29" t="str">
        <f t="shared" si="4"/>
        <v/>
      </c>
    </row>
    <row r="265" spans="1:5" x14ac:dyDescent="0.3">
      <c r="A265" s="27"/>
      <c r="B265" s="28"/>
      <c r="C265" s="28"/>
      <c r="D265" s="28"/>
      <c r="E265" s="29" t="str">
        <f t="shared" si="4"/>
        <v/>
      </c>
    </row>
    <row r="266" spans="1:5" x14ac:dyDescent="0.3">
      <c r="A266" s="27"/>
      <c r="B266" s="28"/>
      <c r="C266" s="28"/>
      <c r="D266" s="28"/>
      <c r="E266" s="29" t="str">
        <f t="shared" si="4"/>
        <v/>
      </c>
    </row>
    <row r="267" spans="1:5" x14ac:dyDescent="0.3">
      <c r="A267" s="27"/>
      <c r="B267" s="28"/>
      <c r="C267" s="28"/>
      <c r="D267" s="28"/>
      <c r="E267" s="29" t="str">
        <f t="shared" si="4"/>
        <v/>
      </c>
    </row>
    <row r="268" spans="1:5" x14ac:dyDescent="0.3">
      <c r="A268" s="27"/>
      <c r="B268" s="28"/>
      <c r="C268" s="28"/>
      <c r="D268" s="28"/>
      <c r="E268" s="29" t="str">
        <f t="shared" si="4"/>
        <v/>
      </c>
    </row>
    <row r="269" spans="1:5" x14ac:dyDescent="0.3">
      <c r="A269" s="27"/>
      <c r="B269" s="28"/>
      <c r="C269" s="28"/>
      <c r="D269" s="28"/>
      <c r="E269" s="29" t="str">
        <f t="shared" si="4"/>
        <v/>
      </c>
    </row>
    <row r="270" spans="1:5" x14ac:dyDescent="0.3">
      <c r="A270" s="27"/>
      <c r="B270" s="28"/>
      <c r="C270" s="28"/>
      <c r="D270" s="28"/>
      <c r="E270" s="29" t="str">
        <f t="shared" si="4"/>
        <v/>
      </c>
    </row>
    <row r="271" spans="1:5" x14ac:dyDescent="0.3">
      <c r="A271" s="27"/>
      <c r="B271" s="28"/>
      <c r="C271" s="28"/>
      <c r="D271" s="28"/>
      <c r="E271" s="29" t="str">
        <f t="shared" si="4"/>
        <v/>
      </c>
    </row>
    <row r="272" spans="1:5" x14ac:dyDescent="0.3">
      <c r="A272" s="27"/>
      <c r="B272" s="28"/>
      <c r="C272" s="28"/>
      <c r="D272" s="28"/>
      <c r="E272" s="29" t="str">
        <f t="shared" si="4"/>
        <v/>
      </c>
    </row>
    <row r="273" spans="1:5" x14ac:dyDescent="0.3">
      <c r="A273" s="27"/>
      <c r="B273" s="28"/>
      <c r="C273" s="28"/>
      <c r="D273" s="28"/>
      <c r="E273" s="29" t="str">
        <f t="shared" si="4"/>
        <v/>
      </c>
    </row>
    <row r="274" spans="1:5" x14ac:dyDescent="0.3">
      <c r="A274" s="27"/>
      <c r="B274" s="28"/>
      <c r="C274" s="28"/>
      <c r="D274" s="28"/>
      <c r="E274" s="29" t="str">
        <f t="shared" si="4"/>
        <v/>
      </c>
    </row>
    <row r="275" spans="1:5" x14ac:dyDescent="0.3">
      <c r="A275" s="27"/>
      <c r="B275" s="28"/>
      <c r="C275" s="28"/>
      <c r="D275" s="28"/>
      <c r="E275" s="29" t="str">
        <f t="shared" si="4"/>
        <v/>
      </c>
    </row>
    <row r="276" spans="1:5" x14ac:dyDescent="0.3">
      <c r="A276" s="27"/>
      <c r="B276" s="28"/>
      <c r="C276" s="28"/>
      <c r="D276" s="28"/>
      <c r="E276" s="29" t="str">
        <f t="shared" si="4"/>
        <v/>
      </c>
    </row>
    <row r="277" spans="1:5" x14ac:dyDescent="0.3">
      <c r="A277" s="27"/>
      <c r="B277" s="28"/>
      <c r="C277" s="28"/>
      <c r="D277" s="28"/>
      <c r="E277" s="29" t="str">
        <f t="shared" si="4"/>
        <v/>
      </c>
    </row>
    <row r="278" spans="1:5" x14ac:dyDescent="0.3">
      <c r="A278" s="27"/>
      <c r="B278" s="28"/>
      <c r="C278" s="28"/>
      <c r="D278" s="28"/>
      <c r="E278" s="29" t="str">
        <f t="shared" si="4"/>
        <v/>
      </c>
    </row>
    <row r="279" spans="1:5" x14ac:dyDescent="0.3">
      <c r="A279" s="27"/>
      <c r="B279" s="28"/>
      <c r="C279" s="28"/>
      <c r="D279" s="28"/>
      <c r="E279" s="29" t="str">
        <f t="shared" si="4"/>
        <v/>
      </c>
    </row>
    <row r="280" spans="1:5" x14ac:dyDescent="0.3">
      <c r="A280" s="27"/>
      <c r="B280" s="28"/>
      <c r="C280" s="28"/>
      <c r="D280" s="28"/>
      <c r="E280" s="29" t="str">
        <f t="shared" si="4"/>
        <v/>
      </c>
    </row>
    <row r="281" spans="1:5" x14ac:dyDescent="0.3">
      <c r="A281" s="27"/>
      <c r="B281" s="28"/>
      <c r="C281" s="28"/>
      <c r="D281" s="28"/>
      <c r="E281" s="29" t="str">
        <f t="shared" si="4"/>
        <v/>
      </c>
    </row>
    <row r="282" spans="1:5" x14ac:dyDescent="0.3">
      <c r="A282" s="27"/>
      <c r="B282" s="28"/>
      <c r="C282" s="28"/>
      <c r="D282" s="28"/>
      <c r="E282" s="29" t="str">
        <f t="shared" si="4"/>
        <v/>
      </c>
    </row>
    <row r="283" spans="1:5" x14ac:dyDescent="0.3">
      <c r="A283" s="27"/>
      <c r="B283" s="28"/>
      <c r="C283" s="28"/>
      <c r="D283" s="28"/>
      <c r="E283" s="29" t="str">
        <f t="shared" si="4"/>
        <v/>
      </c>
    </row>
    <row r="284" spans="1:5" x14ac:dyDescent="0.3">
      <c r="A284" s="27"/>
      <c r="B284" s="28"/>
      <c r="C284" s="28"/>
      <c r="D284" s="28"/>
      <c r="E284" s="29" t="str">
        <f t="shared" si="4"/>
        <v/>
      </c>
    </row>
    <row r="285" spans="1:5" x14ac:dyDescent="0.3">
      <c r="A285" s="27"/>
      <c r="B285" s="28"/>
      <c r="C285" s="28"/>
      <c r="D285" s="28"/>
      <c r="E285" s="29" t="str">
        <f t="shared" si="4"/>
        <v/>
      </c>
    </row>
    <row r="286" spans="1:5" x14ac:dyDescent="0.3">
      <c r="A286" s="27"/>
      <c r="B286" s="28"/>
      <c r="C286" s="28"/>
      <c r="D286" s="28"/>
      <c r="E286" s="29" t="str">
        <f t="shared" si="4"/>
        <v/>
      </c>
    </row>
    <row r="287" spans="1:5" x14ac:dyDescent="0.3">
      <c r="A287" s="27"/>
      <c r="B287" s="28"/>
      <c r="C287" s="28"/>
      <c r="D287" s="28"/>
      <c r="E287" s="29" t="str">
        <f t="shared" si="4"/>
        <v/>
      </c>
    </row>
    <row r="288" spans="1:5" x14ac:dyDescent="0.3">
      <c r="A288" s="27"/>
      <c r="B288" s="28"/>
      <c r="C288" s="28"/>
      <c r="D288" s="28"/>
      <c r="E288" s="29" t="str">
        <f t="shared" si="4"/>
        <v/>
      </c>
    </row>
    <row r="289" spans="1:5" x14ac:dyDescent="0.3">
      <c r="A289" s="27"/>
      <c r="B289" s="28"/>
      <c r="C289" s="28"/>
      <c r="D289" s="28"/>
      <c r="E289" s="29" t="str">
        <f t="shared" si="4"/>
        <v/>
      </c>
    </row>
    <row r="290" spans="1:5" x14ac:dyDescent="0.3">
      <c r="A290" s="27"/>
      <c r="B290" s="28"/>
      <c r="C290" s="28"/>
      <c r="D290" s="28"/>
      <c r="E290" s="29" t="str">
        <f t="shared" si="4"/>
        <v/>
      </c>
    </row>
    <row r="291" spans="1:5" x14ac:dyDescent="0.3">
      <c r="A291" s="27"/>
      <c r="B291" s="28"/>
      <c r="C291" s="28"/>
      <c r="D291" s="28"/>
      <c r="E291" s="29" t="str">
        <f t="shared" si="4"/>
        <v/>
      </c>
    </row>
    <row r="292" spans="1:5" x14ac:dyDescent="0.3">
      <c r="A292" s="27"/>
      <c r="B292" s="28"/>
      <c r="C292" s="28"/>
      <c r="D292" s="28"/>
      <c r="E292" s="29" t="str">
        <f t="shared" si="4"/>
        <v/>
      </c>
    </row>
    <row r="293" spans="1:5" x14ac:dyDescent="0.3">
      <c r="A293" s="27"/>
      <c r="B293" s="28"/>
      <c r="C293" s="28"/>
      <c r="D293" s="28"/>
      <c r="E293" s="29" t="str">
        <f t="shared" si="4"/>
        <v/>
      </c>
    </row>
    <row r="294" spans="1:5" x14ac:dyDescent="0.3">
      <c r="A294" s="27"/>
      <c r="B294" s="28"/>
      <c r="C294" s="28"/>
      <c r="D294" s="28"/>
      <c r="E294" s="29" t="str">
        <f t="shared" si="4"/>
        <v/>
      </c>
    </row>
    <row r="295" spans="1:5" x14ac:dyDescent="0.3">
      <c r="A295" s="27"/>
      <c r="B295" s="28"/>
      <c r="C295" s="28"/>
      <c r="D295" s="28"/>
      <c r="E295" s="29" t="str">
        <f t="shared" si="4"/>
        <v/>
      </c>
    </row>
    <row r="296" spans="1:5" x14ac:dyDescent="0.3">
      <c r="A296" s="27"/>
      <c r="B296" s="28"/>
      <c r="C296" s="28"/>
      <c r="D296" s="28"/>
      <c r="E296" s="29" t="str">
        <f t="shared" si="4"/>
        <v/>
      </c>
    </row>
    <row r="297" spans="1:5" x14ac:dyDescent="0.3">
      <c r="A297" s="27"/>
      <c r="B297" s="28"/>
      <c r="C297" s="28"/>
      <c r="D297" s="28"/>
      <c r="E297" s="29" t="str">
        <f t="shared" si="4"/>
        <v/>
      </c>
    </row>
    <row r="298" spans="1:5" x14ac:dyDescent="0.3">
      <c r="A298" s="27"/>
      <c r="B298" s="28"/>
      <c r="C298" s="28"/>
      <c r="D298" s="28"/>
      <c r="E298" s="29" t="str">
        <f t="shared" si="4"/>
        <v/>
      </c>
    </row>
    <row r="299" spans="1:5" x14ac:dyDescent="0.3">
      <c r="A299" s="27"/>
      <c r="B299" s="28"/>
      <c r="C299" s="28"/>
      <c r="D299" s="28"/>
      <c r="E299" s="29" t="str">
        <f t="shared" si="4"/>
        <v/>
      </c>
    </row>
    <row r="300" spans="1:5" ht="15" thickBot="1" x14ac:dyDescent="0.35">
      <c r="A300" s="30"/>
      <c r="B300" s="31"/>
      <c r="C300" s="31"/>
      <c r="D300" s="31"/>
      <c r="E300" s="32" t="str">
        <f t="shared" si="4"/>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EF611-6C03-497D-B2F4-94484F049964}">
  <sheetPr codeName="Sheet6"/>
  <dimension ref="A1:Y301"/>
  <sheetViews>
    <sheetView workbookViewId="0">
      <selection activeCell="D7" sqref="D7"/>
    </sheetView>
  </sheetViews>
  <sheetFormatPr defaultColWidth="8.88671875" defaultRowHeight="14.4" x14ac:dyDescent="0.3"/>
  <cols>
    <col min="1" max="1" width="8.88671875" style="1"/>
    <col min="2" max="2" width="10.5546875" style="1" bestFit="1" customWidth="1"/>
    <col min="3" max="3" width="15.88671875" style="1" bestFit="1" customWidth="1"/>
    <col min="4" max="4" width="11.5546875" style="1" customWidth="1"/>
    <col min="5" max="5" width="8.88671875" style="1"/>
    <col min="6" max="6" width="8.88671875" style="22"/>
    <col min="7" max="8" width="8.88671875" style="1"/>
    <col min="9" max="9" width="9.109375" style="1" bestFit="1" customWidth="1"/>
    <col min="10" max="10" width="15.88671875" style="1" bestFit="1" customWidth="1"/>
    <col min="11" max="11" width="16" style="1" bestFit="1" customWidth="1"/>
    <col min="12" max="12" width="13.44140625" style="1" bestFit="1" customWidth="1"/>
    <col min="13" max="13" width="11.109375" style="1" bestFit="1" customWidth="1"/>
    <col min="14" max="15" width="8.88671875" style="1"/>
    <col min="16" max="16" width="11" style="1" bestFit="1" customWidth="1"/>
    <col min="17" max="17" width="14.109375" style="1" bestFit="1" customWidth="1"/>
    <col min="18" max="18" width="17.5546875" style="1" customWidth="1"/>
    <col min="19" max="19" width="13.44140625" style="1" bestFit="1" customWidth="1"/>
    <col min="20" max="20" width="12.44140625" style="1" bestFit="1" customWidth="1"/>
    <col min="21" max="21" width="9.44140625" style="1" bestFit="1" customWidth="1"/>
    <col min="22" max="22" width="11.5546875" style="1" bestFit="1" customWidth="1"/>
    <col min="23" max="23" width="8.5546875" style="1" bestFit="1" customWidth="1"/>
    <col min="24" max="24" width="14.5546875" style="1" bestFit="1" customWidth="1"/>
    <col min="25" max="25" width="13" style="1" bestFit="1" customWidth="1"/>
    <col min="26" max="16384" width="8.88671875" style="1"/>
  </cols>
  <sheetData>
    <row r="1" spans="1:25" ht="15" thickBot="1" x14ac:dyDescent="0.35">
      <c r="A1" s="34" t="s">
        <v>45</v>
      </c>
      <c r="B1" s="35" t="s">
        <v>56</v>
      </c>
      <c r="C1" s="35" t="s">
        <v>57</v>
      </c>
      <c r="D1" s="35" t="s">
        <v>58</v>
      </c>
      <c r="E1" s="36" t="s">
        <v>59</v>
      </c>
      <c r="F1" s="20"/>
      <c r="G1" s="35" t="s">
        <v>45</v>
      </c>
      <c r="H1" s="35" t="s">
        <v>60</v>
      </c>
      <c r="I1" s="35" t="s">
        <v>61</v>
      </c>
      <c r="J1" s="35" t="s">
        <v>62</v>
      </c>
      <c r="K1" s="35" t="s">
        <v>63</v>
      </c>
      <c r="L1" s="35" t="s">
        <v>64</v>
      </c>
      <c r="M1" s="36" t="s">
        <v>65</v>
      </c>
      <c r="N1" s="15"/>
      <c r="O1" s="37" t="s">
        <v>45</v>
      </c>
      <c r="P1" s="38" t="s">
        <v>65</v>
      </c>
      <c r="Q1" s="38" t="s">
        <v>47</v>
      </c>
      <c r="R1" s="38" t="s">
        <v>63</v>
      </c>
      <c r="S1" s="39" t="s">
        <v>66</v>
      </c>
      <c r="T1" s="15"/>
      <c r="U1" s="34" t="s">
        <v>45</v>
      </c>
      <c r="V1" s="35" t="s">
        <v>65</v>
      </c>
      <c r="W1" s="35" t="s">
        <v>47</v>
      </c>
      <c r="X1" s="35" t="s">
        <v>63</v>
      </c>
      <c r="Y1" s="36" t="s">
        <v>66</v>
      </c>
    </row>
    <row r="2" spans="1:25" x14ac:dyDescent="0.3">
      <c r="A2" s="28" t="str">
        <f>IF('US Transaction'!A2= "","",'US Transaction'!A2)</f>
        <v>AAPL</v>
      </c>
      <c r="B2" s="28" t="str">
        <f>IF('US Transaction'!B2= "","",'US Transaction'!B2)</f>
        <v>BUY</v>
      </c>
      <c r="C2" s="28">
        <f>IF('US Transaction'!C2= "","",IF(B2="BUY",'US Transaction'!C2,-'US Transaction'!C2))</f>
        <v>10</v>
      </c>
      <c r="D2" s="28">
        <f>IF('US Transaction'!D2= "","",IF(B2="BUY",'US Transaction'!D2,-'US Transaction'!D2))</f>
        <v>487.16389999999996</v>
      </c>
      <c r="E2" s="28">
        <f>IF('US Transaction'!E2= "","",'US Transaction'!E2)</f>
        <v>48.716389999999997</v>
      </c>
      <c r="F2" s="21"/>
      <c r="G2" s="41" t="str">
        <f>A2</f>
        <v>AAPL</v>
      </c>
      <c r="H2" s="41">
        <f>IF(A2="","",COUNTIF($G$2:G2,G2))</f>
        <v>1</v>
      </c>
      <c r="I2" s="41" t="str">
        <f>_xlfn.CONCAT(G2,H2)</f>
        <v>AAPL1</v>
      </c>
      <c r="J2" s="41">
        <f>IF(B2="BUY",C2,-C2)</f>
        <v>10</v>
      </c>
      <c r="K2" s="42">
        <f>IF(G2="","",IF(COUNTIF($G$2:G2,G2)&gt;1,SUMIF($A$2:A2,G2,$D$2:D2),D2) +SUMIF($G$2:G2,G2,$M$2:M2))</f>
        <v>487.16389999999996</v>
      </c>
      <c r="L2" s="42">
        <f>IF(G2="","",IFERROR(K2/J2,0))</f>
        <v>48.716389999999997</v>
      </c>
      <c r="M2" s="43">
        <f>IF(G2="","",IF(B2 = "BUY", 0,(E2-VLOOKUP(CONCATENATE(G2,(H2-1)),$I1:L$2,4,FALSE))*-C2))</f>
        <v>0</v>
      </c>
      <c r="O2" s="40" t="str" cm="1">
        <f t="array" ref="O2:O12">_xlfn.UNIQUE(G2:G300,FALSE,FALSE)</f>
        <v>AAPL</v>
      </c>
      <c r="P2" s="41">
        <f>IF(O2="","",SUMIF($G$2:$G$300,O2,$M$2:$M$300))</f>
        <v>0</v>
      </c>
      <c r="Q2" s="41">
        <f>IF(O2="","",VLOOKUP(CONCATENATE(O2,(COUNTIF($G$2:$G$300,O2))),$I$2:$L$300,2,FALSE))</f>
        <v>10</v>
      </c>
      <c r="R2" s="41">
        <f>IF(O2="","",VLOOKUP(CONCATENATE(O2,(COUNTIF($G$2:$G$300,O2))),$I$2:$L$300,3,FALSE))</f>
        <v>487.16389999999996</v>
      </c>
      <c r="S2" s="43">
        <f>IF(O2="","",VLOOKUP(CONCATENATE(O2,(COUNTIF($G$2:$G$300,O2))),$I$2:$L$300,4,FALSE))</f>
        <v>48.716389999999997</v>
      </c>
      <c r="U2" s="40" t="str">
        <f>IF($Q2="","",IF($Q2&gt;0.0001,O2,""))</f>
        <v>AAPL</v>
      </c>
      <c r="V2" s="41">
        <f t="shared" ref="V2:Y17" si="0">IF($Q2="","",IF($Q2&gt;0.0001,P2,""))</f>
        <v>0</v>
      </c>
      <c r="W2" s="41">
        <f t="shared" si="0"/>
        <v>10</v>
      </c>
      <c r="X2" s="41">
        <f t="shared" si="0"/>
        <v>487.16389999999996</v>
      </c>
      <c r="Y2" s="44">
        <f t="shared" si="0"/>
        <v>48.716389999999997</v>
      </c>
    </row>
    <row r="3" spans="1:25" x14ac:dyDescent="0.3">
      <c r="A3" s="28" t="str">
        <f>IF('US Transaction'!A3= "","",'US Transaction'!A3)</f>
        <v>AMZN</v>
      </c>
      <c r="B3" s="28" t="str">
        <f>IF('US Transaction'!B3= "","",'US Transaction'!B3)</f>
        <v>BUY</v>
      </c>
      <c r="C3" s="28">
        <f>IF('US Transaction'!C3= "","",IF(B3="BUY",'US Transaction'!C3,-'US Transaction'!C3))</f>
        <v>1</v>
      </c>
      <c r="D3" s="28">
        <f>IF('US Transaction'!D3= "","",IF(B3="BUY",'US Transaction'!D3,-'US Transaction'!D3))</f>
        <v>459.12419999999997</v>
      </c>
      <c r="E3" s="28">
        <f>IF('US Transaction'!E3= "","",'US Transaction'!E3)</f>
        <v>459.12419999999997</v>
      </c>
      <c r="F3" s="33"/>
      <c r="G3" s="28" t="str">
        <f t="shared" ref="G3:G66" si="1">A3</f>
        <v>AMZN</v>
      </c>
      <c r="H3" s="28">
        <f>IF(A3="","",COUNTIF($G$2:G3,G3))</f>
        <v>1</v>
      </c>
      <c r="I3" s="28" t="str">
        <f t="shared" ref="I3:I66" si="2">_xlfn.CONCAT(G3,H3)</f>
        <v>AMZN1</v>
      </c>
      <c r="J3" s="28">
        <f>IF(G3="","",IF(COUNTIF($G$2:G3,G3)&gt;1,SUMIF($A$2:A3,G3,$C$2:C3),C3))</f>
        <v>1</v>
      </c>
      <c r="K3" s="45">
        <f>IF(G3="","",IF(COUNTIF($G$2:G3,G3)&gt;1,SUMIF($A$2:A3,G3,$D$2:D3),D3) +SUMIF($G$2:G3,G3,$M$2:M3))</f>
        <v>459.12419999999997</v>
      </c>
      <c r="L3" s="45">
        <f t="shared" ref="L3:L66" si="3">IF(G3="","",IFERROR(K3/J3,0))</f>
        <v>459.12419999999997</v>
      </c>
      <c r="M3" s="46">
        <f>IF(G3="","",IF(B3 = "BUY", 0,(E3-VLOOKUP(CONCATENATE(G3,(H3-1)),$I2:L$2,4,FALSE))*-C3))</f>
        <v>0</v>
      </c>
      <c r="O3" s="27" t="str">
        <v>AMZN</v>
      </c>
      <c r="P3" s="28">
        <f t="shared" ref="P3:P21" si="4">IF(O3="","",SUMIF($G$2:$G$300,O3,$M$2:$M$300))</f>
        <v>0</v>
      </c>
      <c r="Q3" s="28">
        <f t="shared" ref="Q3:Q21" si="5">IF(O3="","",VLOOKUP(CONCATENATE(O3,(COUNTIF($G$2:$G$300,O3))),$I$2:$L$300,2,FALSE))</f>
        <v>1</v>
      </c>
      <c r="R3" s="28">
        <f t="shared" ref="R3:R21" si="6">IF(O3="","",VLOOKUP(CONCATENATE(O3,(COUNTIF($G$2:$G$300,O3))),$I$2:$L$300,3,FALSE))</f>
        <v>459.12419999999997</v>
      </c>
      <c r="S3" s="46">
        <f t="shared" ref="S3:S21" si="7">IF(O3="","",VLOOKUP(CONCATENATE(O3,(COUNTIF($G$2:$G$300,O3))),$I$2:$L$300,4,FALSE))</f>
        <v>459.12419999999997</v>
      </c>
      <c r="U3" s="27" t="str">
        <f t="shared" ref="U3:Y18" si="8">IF($Q3="","",IF($Q3&gt;0.0001,O3,""))</f>
        <v>AMZN</v>
      </c>
      <c r="V3" s="1">
        <f t="shared" si="0"/>
        <v>0</v>
      </c>
      <c r="W3" s="1">
        <f t="shared" si="0"/>
        <v>1</v>
      </c>
      <c r="X3" s="1">
        <f t="shared" si="0"/>
        <v>459.12419999999997</v>
      </c>
      <c r="Y3" s="47">
        <f t="shared" si="0"/>
        <v>459.12419999999997</v>
      </c>
    </row>
    <row r="4" spans="1:25" x14ac:dyDescent="0.3">
      <c r="A4" s="28" t="str">
        <f>IF('US Transaction'!A4= "","",'US Transaction'!A4)</f>
        <v>ARKG</v>
      </c>
      <c r="B4" s="28" t="str">
        <f>IF('US Transaction'!B4= "","",'US Transaction'!B4)</f>
        <v>BUY</v>
      </c>
      <c r="C4" s="28">
        <f>IF('US Transaction'!C4= "","",IF(B4="BUY",'US Transaction'!C4,-'US Transaction'!C4))</f>
        <v>2</v>
      </c>
      <c r="D4" s="28">
        <f>IF('US Transaction'!D4= "","",IF(B4="BUY",'US Transaction'!D4,-'US Transaction'!D4))</f>
        <v>110.28360000000001</v>
      </c>
      <c r="E4" s="28">
        <f>IF('US Transaction'!E4= "","",'US Transaction'!E4)</f>
        <v>55.141800000000003</v>
      </c>
      <c r="F4" s="33"/>
      <c r="G4" s="28" t="str">
        <f t="shared" si="1"/>
        <v>ARKG</v>
      </c>
      <c r="H4" s="28">
        <f>IF(A4="","",COUNTIF($G$2:G4,G4))</f>
        <v>1</v>
      </c>
      <c r="I4" s="28" t="str">
        <f t="shared" si="2"/>
        <v>ARKG1</v>
      </c>
      <c r="J4" s="28">
        <f>IF(G4="","",IF(COUNTIF($G$2:G4,G4)&gt;1,SUMIF($A$2:A4,G4,$C$2:C4),C4))</f>
        <v>2</v>
      </c>
      <c r="K4" s="45">
        <f>IF(G4="","",IF(COUNTIF($G$2:G4,G4)&gt;1,SUMIF($A$2:A4,G4,$D$2:D4),D4) +SUMIF($G$2:G4,G4,$M$2:M4))</f>
        <v>110.28360000000001</v>
      </c>
      <c r="L4" s="45">
        <f t="shared" si="3"/>
        <v>55.141800000000003</v>
      </c>
      <c r="M4" s="46">
        <f>IF(G4="","",IF(B4 = "BUY", 0,(E4-VLOOKUP(CONCATENATE(G4,(H4-1)),$I$2:L3,4,FALSE))*-C4))</f>
        <v>0</v>
      </c>
      <c r="O4" s="27" t="str">
        <v>ARKG</v>
      </c>
      <c r="P4" s="28">
        <f t="shared" si="4"/>
        <v>0</v>
      </c>
      <c r="Q4" s="28">
        <f t="shared" si="5"/>
        <v>3</v>
      </c>
      <c r="R4" s="28">
        <f t="shared" si="6"/>
        <v>140.28360000000001</v>
      </c>
      <c r="S4" s="46">
        <f t="shared" si="7"/>
        <v>46.761200000000002</v>
      </c>
      <c r="U4" s="27" t="str">
        <f t="shared" si="8"/>
        <v>ARKG</v>
      </c>
      <c r="V4" s="1">
        <f t="shared" si="0"/>
        <v>0</v>
      </c>
      <c r="W4" s="1">
        <f t="shared" si="0"/>
        <v>3</v>
      </c>
      <c r="X4" s="1">
        <f t="shared" si="0"/>
        <v>140.28360000000001</v>
      </c>
      <c r="Y4" s="47">
        <f t="shared" si="0"/>
        <v>46.761200000000002</v>
      </c>
    </row>
    <row r="5" spans="1:25" x14ac:dyDescent="0.3">
      <c r="A5" s="28" t="str">
        <f>IF('US Transaction'!A5= "","",'US Transaction'!A5)</f>
        <v>ARKK</v>
      </c>
      <c r="B5" s="28" t="str">
        <f>IF('US Transaction'!B5= "","",'US Transaction'!B5)</f>
        <v>BUY</v>
      </c>
      <c r="C5" s="28">
        <f>IF('US Transaction'!C5= "","",IF(B5="BUY",'US Transaction'!C5,-'US Transaction'!C5))</f>
        <v>2</v>
      </c>
      <c r="D5" s="28">
        <f>IF('US Transaction'!D5= "","",IF(B5="BUY",'US Transaction'!D5,-'US Transaction'!D5))</f>
        <v>148.00380000000001</v>
      </c>
      <c r="E5" s="28">
        <f>IF('US Transaction'!E5= "","",'US Transaction'!E5)</f>
        <v>74.001900000000006</v>
      </c>
      <c r="F5" s="33"/>
      <c r="G5" s="28" t="str">
        <f t="shared" si="1"/>
        <v>ARKK</v>
      </c>
      <c r="H5" s="28">
        <f>IF(A5="","",COUNTIF($G$2:G5,G5))</f>
        <v>1</v>
      </c>
      <c r="I5" s="28" t="str">
        <f t="shared" si="2"/>
        <v>ARKK1</v>
      </c>
      <c r="J5" s="28">
        <f>IF(G5="","",IF(COUNTIF($G$2:G5,G5)&gt;1,SUMIF($A$2:A5,G5,$C$2:C5),C5))</f>
        <v>2</v>
      </c>
      <c r="K5" s="45">
        <f>IF(G5="","",IF(COUNTIF($G$2:G5,G5)&gt;1,SUMIF($A$2:A5,G5,$D$2:D5),D5) +SUMIF($G$2:G5,G5,$M$2:M5))</f>
        <v>148.00380000000001</v>
      </c>
      <c r="L5" s="45">
        <f t="shared" si="3"/>
        <v>74.001900000000006</v>
      </c>
      <c r="M5" s="46">
        <f>IF(G5="","",IF(B5 = "BUY", 0,(E5-VLOOKUP(CONCATENATE(G5,(H5-1)),$I$2:L4,4,FALSE))*-C5))</f>
        <v>0</v>
      </c>
      <c r="O5" s="27" t="str">
        <v>ARKK</v>
      </c>
      <c r="P5" s="28">
        <f t="shared" si="4"/>
        <v>0</v>
      </c>
      <c r="Q5" s="28">
        <f t="shared" si="5"/>
        <v>2</v>
      </c>
      <c r="R5" s="28">
        <f t="shared" si="6"/>
        <v>148.00380000000001</v>
      </c>
      <c r="S5" s="46">
        <f t="shared" si="7"/>
        <v>74.001900000000006</v>
      </c>
      <c r="U5" s="27" t="str">
        <f t="shared" si="8"/>
        <v>ARKK</v>
      </c>
      <c r="V5" s="1">
        <f t="shared" si="0"/>
        <v>0</v>
      </c>
      <c r="W5" s="1">
        <f t="shared" si="0"/>
        <v>2</v>
      </c>
      <c r="X5" s="1">
        <f t="shared" si="0"/>
        <v>148.00380000000001</v>
      </c>
      <c r="Y5" s="47">
        <f t="shared" si="0"/>
        <v>74.001900000000006</v>
      </c>
    </row>
    <row r="6" spans="1:25" x14ac:dyDescent="0.3">
      <c r="A6" s="28" t="str">
        <f>IF('US Transaction'!A6= "","",'US Transaction'!A6)</f>
        <v>GOOGL</v>
      </c>
      <c r="B6" s="28" t="str">
        <f>IF('US Transaction'!B6= "","",'US Transaction'!B6)</f>
        <v>BUY</v>
      </c>
      <c r="C6" s="28">
        <f>IF('US Transaction'!C6= "","",IF(B6="BUY",'US Transaction'!C6,-'US Transaction'!C6))</f>
        <v>1</v>
      </c>
      <c r="D6" s="28">
        <f>IF('US Transaction'!D6= "","",IF(B6="BUY",'US Transaction'!D6,-'US Transaction'!D6))</f>
        <v>434.30689999999993</v>
      </c>
      <c r="E6" s="28">
        <f>IF('US Transaction'!E6= "","",'US Transaction'!E6)</f>
        <v>434.30689999999993</v>
      </c>
      <c r="F6" s="33"/>
      <c r="G6" s="28" t="str">
        <f t="shared" si="1"/>
        <v>GOOGL</v>
      </c>
      <c r="H6" s="28">
        <f>IF(A6="","",COUNTIF($G$2:G6,G6))</f>
        <v>1</v>
      </c>
      <c r="I6" s="28" t="str">
        <f t="shared" si="2"/>
        <v>GOOGL1</v>
      </c>
      <c r="J6" s="28">
        <f>IF(G6="","",IF(COUNTIF($G$2:G6,G6)&gt;1,SUMIF($A$2:A6,G6,$C$2:C6),C6))</f>
        <v>1</v>
      </c>
      <c r="K6" s="45">
        <f>IF(G6="","",IF(COUNTIF($G$2:G6,G6)&gt;1,SUMIF($A$2:A6,G6,$D$2:D6),D6) +SUMIF($G$2:G6,G6,$M$2:M6))</f>
        <v>434.30689999999993</v>
      </c>
      <c r="L6" s="45">
        <f t="shared" si="3"/>
        <v>434.30689999999993</v>
      </c>
      <c r="M6" s="46">
        <f>IF(G6="","",IF(B6 = "BUY", 0,(E6-VLOOKUP(CONCATENATE(G6,(H6-1)),$I$2:L5,4,FALSE))*-C6))</f>
        <v>0</v>
      </c>
      <c r="O6" s="27" t="str">
        <v>GOOGL</v>
      </c>
      <c r="P6" s="28">
        <f t="shared" si="4"/>
        <v>0</v>
      </c>
      <c r="Q6" s="28">
        <f t="shared" si="5"/>
        <v>1</v>
      </c>
      <c r="R6" s="28">
        <f t="shared" si="6"/>
        <v>434.30689999999993</v>
      </c>
      <c r="S6" s="46">
        <f t="shared" si="7"/>
        <v>434.30689999999993</v>
      </c>
      <c r="U6" s="27" t="str">
        <f t="shared" si="8"/>
        <v>GOOGL</v>
      </c>
      <c r="V6" s="1">
        <f t="shared" si="0"/>
        <v>0</v>
      </c>
      <c r="W6" s="1">
        <f t="shared" si="0"/>
        <v>1</v>
      </c>
      <c r="X6" s="1">
        <f t="shared" si="0"/>
        <v>434.30689999999993</v>
      </c>
      <c r="Y6" s="47">
        <f t="shared" si="0"/>
        <v>434.30689999999993</v>
      </c>
    </row>
    <row r="7" spans="1:25" x14ac:dyDescent="0.3">
      <c r="A7" s="28" t="str">
        <f>IF('US Transaction'!A7= "","",'US Transaction'!A7)</f>
        <v>ICLN</v>
      </c>
      <c r="B7" s="28" t="str">
        <f>IF('US Transaction'!B7= "","",'US Transaction'!B7)</f>
        <v>BUY</v>
      </c>
      <c r="C7" s="28">
        <f>IF('US Transaction'!C7= "","",IF(B7="BUY",'US Transaction'!C7,-'US Transaction'!C7))</f>
        <v>10</v>
      </c>
      <c r="D7" s="28">
        <f>IF('US Transaction'!D7= "","",IF(B7="BUY",'US Transaction'!D7,-'US Transaction'!D7))</f>
        <v>169.57750000000001</v>
      </c>
      <c r="E7" s="28">
        <f>IF('US Transaction'!E7= "","",'US Transaction'!E7)</f>
        <v>16.957750000000001</v>
      </c>
      <c r="F7" s="33"/>
      <c r="G7" s="28" t="str">
        <f t="shared" si="1"/>
        <v>ICLN</v>
      </c>
      <c r="H7" s="28">
        <f>IF(A7="","",COUNTIF($G$2:G7,G7))</f>
        <v>1</v>
      </c>
      <c r="I7" s="28" t="str">
        <f t="shared" si="2"/>
        <v>ICLN1</v>
      </c>
      <c r="J7" s="28">
        <f>IF(G7="","",IF(COUNTIF($G$2:G7,G7)&gt;1,SUMIF($A$2:A7,G7,$C$2:C7),C7))</f>
        <v>10</v>
      </c>
      <c r="K7" s="45">
        <f>IF(G7="","",IF(COUNTIF($G$2:G7,G7)&gt;1,SUMIF($A$2:A7,G7,$D$2:D7),D7) +SUMIF($G$2:G7,G7,$M$2:M7))</f>
        <v>169.57750000000001</v>
      </c>
      <c r="L7" s="45">
        <f t="shared" si="3"/>
        <v>16.957750000000001</v>
      </c>
      <c r="M7" s="46">
        <f>IF(G7="","",IF(B7 = "BUY", 0,(E7-VLOOKUP(CONCATENATE(G7,(H7-1)),$I$2:L6,4,FALSE))*-C7))</f>
        <v>0</v>
      </c>
      <c r="O7" s="27" t="str">
        <v>ICLN</v>
      </c>
      <c r="P7" s="28">
        <f t="shared" si="4"/>
        <v>0</v>
      </c>
      <c r="Q7" s="28">
        <f t="shared" si="5"/>
        <v>10</v>
      </c>
      <c r="R7" s="28">
        <f t="shared" si="6"/>
        <v>169.57750000000001</v>
      </c>
      <c r="S7" s="46">
        <f t="shared" si="7"/>
        <v>16.957750000000001</v>
      </c>
      <c r="U7" s="27" t="str">
        <f t="shared" si="8"/>
        <v>ICLN</v>
      </c>
      <c r="V7" s="1">
        <f t="shared" si="0"/>
        <v>0</v>
      </c>
      <c r="W7" s="1">
        <f t="shared" si="0"/>
        <v>10</v>
      </c>
      <c r="X7" s="1">
        <f t="shared" si="0"/>
        <v>169.57750000000001</v>
      </c>
      <c r="Y7" s="47">
        <f t="shared" si="0"/>
        <v>16.957750000000001</v>
      </c>
    </row>
    <row r="8" spans="1:25" x14ac:dyDescent="0.3">
      <c r="A8" s="28" t="str">
        <f>IF('US Transaction'!A8= "","",'US Transaction'!A8)</f>
        <v>MSFT</v>
      </c>
      <c r="B8" s="28" t="str">
        <f>IF('US Transaction'!B8= "","",'US Transaction'!B8)</f>
        <v>BUY</v>
      </c>
      <c r="C8" s="28">
        <f>IF('US Transaction'!C8= "","",IF(B8="BUY",'US Transaction'!C8,-'US Transaction'!C8))</f>
        <v>3</v>
      </c>
      <c r="D8" s="28">
        <f>IF('US Transaction'!D8= "","",IF(B8="BUY",'US Transaction'!D8,-'US Transaction'!D8))</f>
        <v>405.05219999999997</v>
      </c>
      <c r="E8" s="28">
        <f>IF('US Transaction'!E8= "","",'US Transaction'!E8)</f>
        <v>135.01739999999998</v>
      </c>
      <c r="F8" s="33"/>
      <c r="G8" s="28" t="str">
        <f t="shared" si="1"/>
        <v>MSFT</v>
      </c>
      <c r="H8" s="28">
        <f>IF(A8="","",COUNTIF($G$2:G8,G8))</f>
        <v>1</v>
      </c>
      <c r="I8" s="28" t="str">
        <f t="shared" si="2"/>
        <v>MSFT1</v>
      </c>
      <c r="J8" s="28">
        <f>IF(G8="","",IF(COUNTIF($G$2:G8,G8)&gt;1,SUMIF($A$2:A8,G8,$C$2:C8),C8))</f>
        <v>3</v>
      </c>
      <c r="K8" s="45">
        <f>IF(G8="","",IF(COUNTIF($G$2:G8,G8)&gt;1,SUMIF($A$2:A8,G8,$D$2:D8),D8) +SUMIF($G$2:G8,G8,$M$2:M8))</f>
        <v>405.05219999999997</v>
      </c>
      <c r="L8" s="45">
        <f t="shared" si="3"/>
        <v>135.01739999999998</v>
      </c>
      <c r="M8" s="46">
        <f>IF(G8="","",IF(B8 = "BUY", 0,(E8-VLOOKUP(CONCATENATE(G8,(H8-1)),$I$2:L7,4,FALSE))*-C8))</f>
        <v>0</v>
      </c>
      <c r="O8" s="27" t="str">
        <v>MSFT</v>
      </c>
      <c r="P8" s="28">
        <f t="shared" si="4"/>
        <v>0</v>
      </c>
      <c r="Q8" s="28">
        <f t="shared" si="5"/>
        <v>3</v>
      </c>
      <c r="R8" s="28">
        <f t="shared" si="6"/>
        <v>405.05219999999997</v>
      </c>
      <c r="S8" s="46">
        <f t="shared" si="7"/>
        <v>135.01739999999998</v>
      </c>
      <c r="U8" s="27" t="str">
        <f t="shared" si="8"/>
        <v>MSFT</v>
      </c>
      <c r="V8" s="1">
        <f t="shared" si="0"/>
        <v>0</v>
      </c>
      <c r="W8" s="1">
        <f t="shared" si="0"/>
        <v>3</v>
      </c>
      <c r="X8" s="1">
        <f t="shared" si="0"/>
        <v>405.05219999999997</v>
      </c>
      <c r="Y8" s="47">
        <f t="shared" si="0"/>
        <v>135.01739999999998</v>
      </c>
    </row>
    <row r="9" spans="1:25" x14ac:dyDescent="0.3">
      <c r="A9" s="28" t="str">
        <f>IF('US Transaction'!A9= "","",'US Transaction'!A9)</f>
        <v>RIO</v>
      </c>
      <c r="B9" s="28" t="str">
        <f>IF('US Transaction'!B9= "","",'US Transaction'!B9)</f>
        <v>BUY</v>
      </c>
      <c r="C9" s="28">
        <f>IF('US Transaction'!C9= "","",IF(B9="BUY",'US Transaction'!C9,-'US Transaction'!C9))</f>
        <v>2</v>
      </c>
      <c r="D9" s="28">
        <f>IF('US Transaction'!D9= "","",IF(B9="BUY",'US Transaction'!D9,-'US Transaction'!D9))</f>
        <v>110.32080000000001</v>
      </c>
      <c r="E9" s="28">
        <f>IF('US Transaction'!E9= "","",'US Transaction'!E9)</f>
        <v>55.160400000000003</v>
      </c>
      <c r="F9" s="33"/>
      <c r="G9" s="28" t="str">
        <f t="shared" si="1"/>
        <v>RIO</v>
      </c>
      <c r="H9" s="28">
        <f>IF(A9="","",COUNTIF($G$2:G9,G9))</f>
        <v>1</v>
      </c>
      <c r="I9" s="28" t="str">
        <f t="shared" si="2"/>
        <v>RIO1</v>
      </c>
      <c r="J9" s="28">
        <f>IF(G9="","",IF(COUNTIF($G$2:G9,G9)&gt;1,SUMIF($A$2:A9,G9,$C$2:C9),C9))</f>
        <v>2</v>
      </c>
      <c r="K9" s="45">
        <f>IF(G9="","",IF(COUNTIF($G$2:G9,G9)&gt;1,SUMIF($A$2:A9,G9,$D$2:D9),D9) +SUMIF($G$2:G9,G9,$M$2:M9))</f>
        <v>110.32080000000001</v>
      </c>
      <c r="L9" s="45">
        <f t="shared" si="3"/>
        <v>55.160400000000003</v>
      </c>
      <c r="M9" s="46">
        <f>IF(G9="","",IF(B9 = "BUY", 0,(E9-VLOOKUP(CONCATENATE(G9,(H9-1)),$I$2:L8,4,FALSE))*-C9))</f>
        <v>0</v>
      </c>
      <c r="O9" s="27" t="str">
        <v>RIO</v>
      </c>
      <c r="P9" s="28">
        <f t="shared" si="4"/>
        <v>-19.381200000000021</v>
      </c>
      <c r="Q9" s="28">
        <f t="shared" si="5"/>
        <v>-1</v>
      </c>
      <c r="R9" s="28">
        <f t="shared" si="6"/>
        <v>-55.16040000000001</v>
      </c>
      <c r="S9" s="46">
        <f t="shared" si="7"/>
        <v>55.16040000000001</v>
      </c>
      <c r="U9" s="27" t="str">
        <f t="shared" si="8"/>
        <v/>
      </c>
      <c r="V9" s="1" t="str">
        <f t="shared" si="0"/>
        <v/>
      </c>
      <c r="W9" s="1" t="str">
        <f t="shared" si="0"/>
        <v/>
      </c>
      <c r="X9" s="1" t="str">
        <f t="shared" si="0"/>
        <v/>
      </c>
      <c r="Y9" s="47" t="str">
        <f t="shared" si="0"/>
        <v/>
      </c>
    </row>
    <row r="10" spans="1:25" x14ac:dyDescent="0.3">
      <c r="A10" s="28" t="str">
        <f>IF('US Transaction'!A10= "","",'US Transaction'!A10)</f>
        <v>SQ</v>
      </c>
      <c r="B10" s="28" t="str">
        <f>IF('US Transaction'!B10= "","",'US Transaction'!B10)</f>
        <v>BUY</v>
      </c>
      <c r="C10" s="28">
        <f>IF('US Transaction'!C10= "","",IF(B10="BUY",'US Transaction'!C10,-'US Transaction'!C10))</f>
        <v>3</v>
      </c>
      <c r="D10" s="28">
        <f>IF('US Transaction'!D10= "","",IF(B10="BUY",'US Transaction'!D10,-'US Transaction'!D10))</f>
        <v>300.62630000000001</v>
      </c>
      <c r="E10" s="28">
        <f>IF('US Transaction'!E10= "","",'US Transaction'!E10)</f>
        <v>100.20876666666668</v>
      </c>
      <c r="F10" s="33"/>
      <c r="G10" s="28" t="str">
        <f t="shared" si="1"/>
        <v>SQ</v>
      </c>
      <c r="H10" s="28">
        <f>IF(A10="","",COUNTIF($G$2:G10,G10))</f>
        <v>1</v>
      </c>
      <c r="I10" s="28" t="str">
        <f t="shared" si="2"/>
        <v>SQ1</v>
      </c>
      <c r="J10" s="28">
        <f>IF(G10="","",IF(COUNTIF($G$2:G10,G10)&gt;1,SUMIF($A$2:A10,G10,$C$2:C10),C10))</f>
        <v>3</v>
      </c>
      <c r="K10" s="45">
        <f>IF(G10="","",IF(COUNTIF($G$2:G10,G10)&gt;1,SUMIF($A$2:A10,G10,$D$2:D10),D10) +SUMIF($G$2:G10,G10,$M$2:M10))</f>
        <v>300.62630000000001</v>
      </c>
      <c r="L10" s="45">
        <f t="shared" si="3"/>
        <v>100.20876666666668</v>
      </c>
      <c r="M10" s="46">
        <f>IF(G10="","",IF(B10 = "BUY", 0,(E10-VLOOKUP(CONCATENATE(G10,(H10-1)),$I$2:L9,4,FALSE))*-C10))</f>
        <v>0</v>
      </c>
      <c r="O10" s="27" t="str">
        <v>SQ</v>
      </c>
      <c r="P10" s="28">
        <f t="shared" si="4"/>
        <v>0</v>
      </c>
      <c r="Q10" s="28">
        <f t="shared" si="5"/>
        <v>3</v>
      </c>
      <c r="R10" s="28">
        <f t="shared" si="6"/>
        <v>300.62630000000001</v>
      </c>
      <c r="S10" s="46">
        <f t="shared" si="7"/>
        <v>100.20876666666668</v>
      </c>
      <c r="U10" s="27" t="str">
        <f t="shared" si="8"/>
        <v>SQ</v>
      </c>
      <c r="V10" s="1">
        <f t="shared" si="0"/>
        <v>0</v>
      </c>
      <c r="W10" s="1">
        <f t="shared" si="0"/>
        <v>3</v>
      </c>
      <c r="X10" s="1">
        <f t="shared" si="0"/>
        <v>300.62630000000001</v>
      </c>
      <c r="Y10" s="47">
        <f t="shared" si="0"/>
        <v>100.20876666666668</v>
      </c>
    </row>
    <row r="11" spans="1:25" x14ac:dyDescent="0.3">
      <c r="A11" s="28" t="str">
        <f>IF('US Transaction'!A11= "","",'US Transaction'!A11)</f>
        <v>ARKG</v>
      </c>
      <c r="B11" s="28" t="str">
        <f>IF('US Transaction'!B11= "","",'US Transaction'!B11)</f>
        <v>BUY</v>
      </c>
      <c r="C11" s="28">
        <f>IF('US Transaction'!C11= "","",IF(B11="BUY",'US Transaction'!C11,-'US Transaction'!C11))</f>
        <v>1</v>
      </c>
      <c r="D11" s="28">
        <f>IF('US Transaction'!D11= "","",IF(B11="BUY",'US Transaction'!D11,-'US Transaction'!D11))</f>
        <v>30</v>
      </c>
      <c r="E11" s="28">
        <f>IF('US Transaction'!E11= "","",'US Transaction'!E11)</f>
        <v>30</v>
      </c>
      <c r="F11" s="33"/>
      <c r="G11" s="28" t="str">
        <f t="shared" si="1"/>
        <v>ARKG</v>
      </c>
      <c r="H11" s="28">
        <f>IF(A11="","",COUNTIF($G$2:G11,G11))</f>
        <v>2</v>
      </c>
      <c r="I11" s="28" t="str">
        <f t="shared" si="2"/>
        <v>ARKG2</v>
      </c>
      <c r="J11" s="28">
        <f>IF(G11="","",IF(COUNTIF($G$2:G11,G11)&gt;1,SUMIF($A$2:A11,G11,$C$2:C11),C11))</f>
        <v>3</v>
      </c>
      <c r="K11" s="45">
        <f>IF(G11="","",IF(COUNTIF($G$2:G11,G11)&gt;1,SUMIF($A$2:A11,G11,$D$2:D11),D11) +SUMIF($G$2:G11,G11,$M$2:M11))</f>
        <v>140.28360000000001</v>
      </c>
      <c r="L11" s="45">
        <f t="shared" si="3"/>
        <v>46.761200000000002</v>
      </c>
      <c r="M11" s="46">
        <f>IF(G11="","",IF(B11 = "BUY", 0,(E11-VLOOKUP(CONCATENATE(G11,(H11-1)),$I$2:L10,4,FALSE))*-C11))</f>
        <v>0</v>
      </c>
      <c r="O11" s="27" t="str">
        <v>XLF</v>
      </c>
      <c r="P11" s="28">
        <f t="shared" si="4"/>
        <v>0</v>
      </c>
      <c r="Q11" s="28">
        <f t="shared" si="5"/>
        <v>10</v>
      </c>
      <c r="R11" s="28">
        <f t="shared" si="6"/>
        <v>290.17</v>
      </c>
      <c r="S11" s="46">
        <f t="shared" si="7"/>
        <v>29.017000000000003</v>
      </c>
      <c r="U11" s="27" t="str">
        <f t="shared" si="8"/>
        <v>XLF</v>
      </c>
      <c r="V11" s="1">
        <f t="shared" si="0"/>
        <v>0</v>
      </c>
      <c r="W11" s="1">
        <f t="shared" si="0"/>
        <v>10</v>
      </c>
      <c r="X11" s="1">
        <f t="shared" si="0"/>
        <v>290.17</v>
      </c>
      <c r="Y11" s="47">
        <f t="shared" si="0"/>
        <v>29.017000000000003</v>
      </c>
    </row>
    <row r="12" spans="1:25" x14ac:dyDescent="0.3">
      <c r="A12" s="28" t="str">
        <f>IF('US Transaction'!A12= "","",'US Transaction'!A12)</f>
        <v>RIO</v>
      </c>
      <c r="B12" s="28" t="str">
        <f>IF('US Transaction'!B12= "","",'US Transaction'!B12)</f>
        <v>SELL</v>
      </c>
      <c r="C12" s="28">
        <f>IF('US Transaction'!C12= "","",IF(B12="BUY",'US Transaction'!C12,-'US Transaction'!C12))</f>
        <v>-3</v>
      </c>
      <c r="D12" s="28">
        <f>IF('US Transaction'!D12= "","",IF(B12="BUY",'US Transaction'!D12,-'US Transaction'!D12))</f>
        <v>-146.1</v>
      </c>
      <c r="E12" s="28">
        <f>IF('US Transaction'!E12= "","",'US Transaction'!E12)</f>
        <v>48.699999999999996</v>
      </c>
      <c r="F12" s="33"/>
      <c r="G12" s="28" t="str">
        <f t="shared" si="1"/>
        <v>RIO</v>
      </c>
      <c r="H12" s="28">
        <f>IF(A12="","",COUNTIF($G$2:G12,G12))</f>
        <v>2</v>
      </c>
      <c r="I12" s="28" t="str">
        <f t="shared" si="2"/>
        <v>RIO2</v>
      </c>
      <c r="J12" s="28">
        <f>IF(G12="","",IF(COUNTIF($G$2:G12,G12)&gt;1,SUMIF($A$2:A12,G12,$C$2:C12),C12))</f>
        <v>-1</v>
      </c>
      <c r="K12" s="45">
        <f>IF(G12="","",IF(COUNTIF($G$2:G12,G12)&gt;1,SUMIF($A$2:A12,G12,$D$2:D12),D12) +SUMIF($G$2:G12,G12,$M$2:M12))</f>
        <v>-55.16040000000001</v>
      </c>
      <c r="L12" s="45">
        <f t="shared" si="3"/>
        <v>55.16040000000001</v>
      </c>
      <c r="M12" s="46">
        <f>IF(G12="","",IF(B12 = "BUY", 0,(E12-VLOOKUP(CONCATENATE(G12,(H12-1)),$I$2:L11,4,FALSE))*-C12))</f>
        <v>-19.381200000000021</v>
      </c>
      <c r="O12" s="27" t="str">
        <v/>
      </c>
      <c r="P12" s="28" t="str">
        <f t="shared" si="4"/>
        <v/>
      </c>
      <c r="Q12" s="28" t="str">
        <f t="shared" si="5"/>
        <v/>
      </c>
      <c r="R12" s="28" t="str">
        <f t="shared" si="6"/>
        <v/>
      </c>
      <c r="S12" s="46" t="str">
        <f t="shared" si="7"/>
        <v/>
      </c>
      <c r="U12" s="27" t="str">
        <f t="shared" si="8"/>
        <v/>
      </c>
      <c r="V12" s="1" t="str">
        <f t="shared" si="0"/>
        <v/>
      </c>
      <c r="W12" s="1" t="str">
        <f t="shared" si="0"/>
        <v/>
      </c>
      <c r="X12" s="1" t="str">
        <f t="shared" si="0"/>
        <v/>
      </c>
      <c r="Y12" s="47" t="str">
        <f t="shared" si="0"/>
        <v/>
      </c>
    </row>
    <row r="13" spans="1:25" x14ac:dyDescent="0.3">
      <c r="A13" s="28" t="str">
        <f>IF('US Transaction'!A13= "","",'US Transaction'!A13)</f>
        <v>XLF</v>
      </c>
      <c r="B13" s="28" t="str">
        <f>IF('US Transaction'!B13= "","",'US Transaction'!B13)</f>
        <v>BUY</v>
      </c>
      <c r="C13" s="28">
        <f>IF('US Transaction'!C13= "","",IF(B13="BUY",'US Transaction'!C13,-'US Transaction'!C13))</f>
        <v>10</v>
      </c>
      <c r="D13" s="28">
        <f>IF('US Transaction'!D13= "","",IF(B13="BUY",'US Transaction'!D13,-'US Transaction'!D13))</f>
        <v>290.17</v>
      </c>
      <c r="E13" s="28">
        <f>IF('US Transaction'!E13= "","",'US Transaction'!E13)</f>
        <v>29.017000000000003</v>
      </c>
      <c r="F13" s="33"/>
      <c r="G13" s="28" t="str">
        <f t="shared" si="1"/>
        <v>XLF</v>
      </c>
      <c r="H13" s="28">
        <f>IF(A13="","",COUNTIF($G$2:G13,G13))</f>
        <v>1</v>
      </c>
      <c r="I13" s="28" t="str">
        <f t="shared" si="2"/>
        <v>XLF1</v>
      </c>
      <c r="J13" s="28">
        <f>IF(G13="","",IF(COUNTIF($G$2:G13,G13)&gt;1,SUMIF($A$2:A13,G13,$C$2:C13),C13))</f>
        <v>10</v>
      </c>
      <c r="K13" s="45">
        <f>IF(G13="","",IF(COUNTIF($G$2:G13,G13)&gt;1,SUMIF($A$2:A13,G13,$D$2:D13),D13) +SUMIF($G$2:G13,G13,$M$2:M13))</f>
        <v>290.17</v>
      </c>
      <c r="L13" s="45">
        <f t="shared" si="3"/>
        <v>29.017000000000003</v>
      </c>
      <c r="M13" s="46">
        <f>IF(G13="","",IF(B13 = "BUY", 0,(E13-VLOOKUP(CONCATENATE(G13,(H13-1)),$I$2:L12,4,FALSE))*-C13))</f>
        <v>0</v>
      </c>
      <c r="O13" s="27"/>
      <c r="P13" s="28" t="str">
        <f t="shared" si="4"/>
        <v/>
      </c>
      <c r="Q13" s="28" t="str">
        <f t="shared" si="5"/>
        <v/>
      </c>
      <c r="R13" s="28" t="str">
        <f t="shared" si="6"/>
        <v/>
      </c>
      <c r="S13" s="46" t="str">
        <f t="shared" si="7"/>
        <v/>
      </c>
      <c r="U13" s="27" t="str">
        <f t="shared" si="8"/>
        <v/>
      </c>
      <c r="V13" s="1" t="str">
        <f t="shared" si="0"/>
        <v/>
      </c>
      <c r="W13" s="1" t="str">
        <f t="shared" si="0"/>
        <v/>
      </c>
      <c r="X13" s="1" t="str">
        <f t="shared" si="0"/>
        <v/>
      </c>
      <c r="Y13" s="47" t="str">
        <f t="shared" si="0"/>
        <v/>
      </c>
    </row>
    <row r="14" spans="1:25" x14ac:dyDescent="0.3">
      <c r="A14" s="28" t="str">
        <f>IF('US Transaction'!A14= "","",'US Transaction'!A14)</f>
        <v/>
      </c>
      <c r="B14" s="28" t="str">
        <f>IF('US Transaction'!B14= "","",'US Transaction'!B14)</f>
        <v/>
      </c>
      <c r="C14" s="28" t="str">
        <f>IF('US Transaction'!C14= "","",IF(B14="BUY",'US Transaction'!C14,-'US Transaction'!C14))</f>
        <v/>
      </c>
      <c r="D14" s="28" t="str">
        <f>IF('US Transaction'!D14= "","",IF(B14="BUY",'US Transaction'!D14,-'US Transaction'!D14))</f>
        <v/>
      </c>
      <c r="E14" s="28" t="str">
        <f>IF('US Transaction'!E14= "","",'US Transaction'!E14)</f>
        <v/>
      </c>
      <c r="F14" s="33"/>
      <c r="G14" s="28" t="str">
        <f t="shared" si="1"/>
        <v/>
      </c>
      <c r="H14" s="28" t="str">
        <f>IF(A14="","",COUNTIF($G$2:G14,G14))</f>
        <v/>
      </c>
      <c r="I14" s="28" t="str">
        <f t="shared" si="2"/>
        <v/>
      </c>
      <c r="J14" s="28" t="str">
        <f>IF(G14="","",IF(COUNTIF($G$2:G14,G14)&gt;1,SUMIF($A$2:A14,G14,$C$2:C14),C14))</f>
        <v/>
      </c>
      <c r="K14" s="45" t="str">
        <f>IF(G14="","",IF(COUNTIF($G$2:G14,G14)&gt;1,SUMIF($A$2:A14,G14,$D$2:D14),D14) +SUMIF($G$2:G14,G14,$M$2:M14))</f>
        <v/>
      </c>
      <c r="L14" s="45" t="str">
        <f t="shared" si="3"/>
        <v/>
      </c>
      <c r="M14" s="46" t="str">
        <f>IF(G14="","",IF(B14 = "BUY", 0,(E14-VLOOKUP(CONCATENATE(G14,(H14-1)),$I$2:L13,4,FALSE))*-C14))</f>
        <v/>
      </c>
      <c r="O14" s="27"/>
      <c r="P14" s="28" t="str">
        <f t="shared" si="4"/>
        <v/>
      </c>
      <c r="Q14" s="28" t="str">
        <f t="shared" si="5"/>
        <v/>
      </c>
      <c r="R14" s="28" t="str">
        <f t="shared" si="6"/>
        <v/>
      </c>
      <c r="S14" s="46" t="str">
        <f t="shared" si="7"/>
        <v/>
      </c>
      <c r="U14" s="27" t="str">
        <f t="shared" si="8"/>
        <v/>
      </c>
      <c r="V14" s="1" t="str">
        <f t="shared" si="0"/>
        <v/>
      </c>
      <c r="W14" s="1" t="str">
        <f t="shared" si="0"/>
        <v/>
      </c>
      <c r="X14" s="1" t="str">
        <f t="shared" si="0"/>
        <v/>
      </c>
      <c r="Y14" s="47" t="str">
        <f t="shared" si="0"/>
        <v/>
      </c>
    </row>
    <row r="15" spans="1:25" x14ac:dyDescent="0.3">
      <c r="A15" s="28" t="str">
        <f>IF('US Transaction'!A15= "","",'US Transaction'!A15)</f>
        <v/>
      </c>
      <c r="B15" s="28" t="str">
        <f>IF('US Transaction'!B15= "","",'US Transaction'!B15)</f>
        <v/>
      </c>
      <c r="C15" s="28" t="str">
        <f>IF('US Transaction'!C15= "","",IF(B15="BUY",'US Transaction'!C15,-'US Transaction'!C15))</f>
        <v/>
      </c>
      <c r="D15" s="28" t="str">
        <f>IF('US Transaction'!D15= "","",IF(B15="BUY",'US Transaction'!D15,-'US Transaction'!D15))</f>
        <v/>
      </c>
      <c r="E15" s="28" t="str">
        <f>IF('US Transaction'!E15= "","",'US Transaction'!E15)</f>
        <v/>
      </c>
      <c r="F15" s="33"/>
      <c r="G15" s="28" t="str">
        <f t="shared" si="1"/>
        <v/>
      </c>
      <c r="H15" s="28" t="str">
        <f>IF(A15="","",COUNTIF($G$2:G15,G15))</f>
        <v/>
      </c>
      <c r="I15" s="28" t="str">
        <f t="shared" si="2"/>
        <v/>
      </c>
      <c r="J15" s="28" t="str">
        <f>IF(G15="","",IF(COUNTIF($G$2:G15,G15)&gt;1,SUMIF($A$2:A15,G15,$C$2:C15),C15))</f>
        <v/>
      </c>
      <c r="K15" s="45" t="str">
        <f>IF(G15="","",IF(COUNTIF($G$2:G15,G15)&gt;1,SUMIF($A$2:A15,G15,$D$2:D15),D15) +SUMIF($G$2:G15,G15,$M$2:M15))</f>
        <v/>
      </c>
      <c r="L15" s="45" t="str">
        <f t="shared" si="3"/>
        <v/>
      </c>
      <c r="M15" s="46" t="str">
        <f>IF(G15="","",IF(B15 = "BUY", 0,(E15-VLOOKUP(CONCATENATE(G15,(H15-1)),$I$2:L14,4,FALSE))*-C15))</f>
        <v/>
      </c>
      <c r="O15" s="27"/>
      <c r="P15" s="28" t="str">
        <f t="shared" si="4"/>
        <v/>
      </c>
      <c r="Q15" s="28" t="str">
        <f t="shared" si="5"/>
        <v/>
      </c>
      <c r="R15" s="28" t="str">
        <f t="shared" si="6"/>
        <v/>
      </c>
      <c r="S15" s="46" t="str">
        <f t="shared" si="7"/>
        <v/>
      </c>
      <c r="U15" s="27" t="str">
        <f t="shared" si="8"/>
        <v/>
      </c>
      <c r="V15" s="1" t="str">
        <f t="shared" si="0"/>
        <v/>
      </c>
      <c r="W15" s="1" t="str">
        <f t="shared" si="0"/>
        <v/>
      </c>
      <c r="X15" s="1" t="str">
        <f t="shared" si="0"/>
        <v/>
      </c>
      <c r="Y15" s="47" t="str">
        <f t="shared" si="0"/>
        <v/>
      </c>
    </row>
    <row r="16" spans="1:25" x14ac:dyDescent="0.3">
      <c r="A16" s="28" t="str">
        <f>IF('US Transaction'!A16= "","",'US Transaction'!A16)</f>
        <v/>
      </c>
      <c r="B16" s="28" t="str">
        <f>IF('US Transaction'!B16= "","",'US Transaction'!B16)</f>
        <v/>
      </c>
      <c r="C16" s="28" t="str">
        <f>IF('US Transaction'!C16= "","",IF(B16="BUY",'US Transaction'!C16,-'US Transaction'!C16))</f>
        <v/>
      </c>
      <c r="D16" s="28" t="str">
        <f>IF('US Transaction'!D16= "","",IF(B16="BUY",'US Transaction'!D16,-'US Transaction'!D16))</f>
        <v/>
      </c>
      <c r="E16" s="28" t="str">
        <f>IF('US Transaction'!E16= "","",'US Transaction'!E16)</f>
        <v/>
      </c>
      <c r="F16" s="33"/>
      <c r="G16" s="28" t="str">
        <f t="shared" si="1"/>
        <v/>
      </c>
      <c r="H16" s="28" t="str">
        <f>IF(A16="","",COUNTIF($G$2:G16,G16))</f>
        <v/>
      </c>
      <c r="I16" s="28" t="str">
        <f t="shared" si="2"/>
        <v/>
      </c>
      <c r="J16" s="28" t="str">
        <f>IF(G16="","",IF(COUNTIF($G$2:G16,G16)&gt;1,SUMIF($A$2:A16,G16,$C$2:C16),C16))</f>
        <v/>
      </c>
      <c r="K16" s="45" t="str">
        <f>IF(G16="","",IF(COUNTIF($G$2:G16,G16)&gt;1,SUMIF($A$2:A16,G16,$D$2:D16),D16) +SUMIF($G$2:G16,G16,$M$2:M16))</f>
        <v/>
      </c>
      <c r="L16" s="45" t="str">
        <f t="shared" si="3"/>
        <v/>
      </c>
      <c r="M16" s="46" t="str">
        <f>IF(G16="","",IF(B16 = "BUY", 0,(E16-VLOOKUP(CONCATENATE(G16,(H16-1)),$I$2:L15,4,FALSE))*-C16))</f>
        <v/>
      </c>
      <c r="O16" s="27"/>
      <c r="P16" s="28" t="str">
        <f t="shared" si="4"/>
        <v/>
      </c>
      <c r="Q16" s="28" t="str">
        <f t="shared" si="5"/>
        <v/>
      </c>
      <c r="R16" s="28" t="str">
        <f t="shared" si="6"/>
        <v/>
      </c>
      <c r="S16" s="46" t="str">
        <f t="shared" si="7"/>
        <v/>
      </c>
      <c r="U16" s="27" t="str">
        <f t="shared" si="8"/>
        <v/>
      </c>
      <c r="V16" s="1" t="str">
        <f t="shared" si="0"/>
        <v/>
      </c>
      <c r="W16" s="1" t="str">
        <f t="shared" si="0"/>
        <v/>
      </c>
      <c r="X16" s="1" t="str">
        <f t="shared" si="0"/>
        <v/>
      </c>
      <c r="Y16" s="47" t="str">
        <f t="shared" si="0"/>
        <v/>
      </c>
    </row>
    <row r="17" spans="1:25" x14ac:dyDescent="0.3">
      <c r="A17" s="28" t="str">
        <f>IF('US Transaction'!A17= "","",'US Transaction'!A17)</f>
        <v/>
      </c>
      <c r="B17" s="28" t="str">
        <f>IF('US Transaction'!B17= "","",'US Transaction'!B17)</f>
        <v/>
      </c>
      <c r="C17" s="28" t="str">
        <f>IF('US Transaction'!C17= "","",IF(B17="BUY",'US Transaction'!C17,-'US Transaction'!C17))</f>
        <v/>
      </c>
      <c r="D17" s="28" t="str">
        <f>IF('US Transaction'!D17= "","",IF(B17="BUY",'US Transaction'!D17,-'US Transaction'!D17))</f>
        <v/>
      </c>
      <c r="E17" s="28" t="str">
        <f>IF('US Transaction'!E17= "","",'US Transaction'!E17)</f>
        <v/>
      </c>
      <c r="F17" s="33"/>
      <c r="G17" s="28" t="str">
        <f t="shared" si="1"/>
        <v/>
      </c>
      <c r="H17" s="28" t="str">
        <f>IF(A17="","",COUNTIF($G$2:G17,G17))</f>
        <v/>
      </c>
      <c r="I17" s="28" t="str">
        <f t="shared" si="2"/>
        <v/>
      </c>
      <c r="J17" s="28" t="str">
        <f>IF(G17="","",IF(COUNTIF($G$2:G17,G17)&gt;1,SUMIF($A$2:A17,G17,$C$2:C17),C17))</f>
        <v/>
      </c>
      <c r="K17" s="45" t="str">
        <f>IF(G17="","",IF(COUNTIF($G$2:G17,G17)&gt;1,SUMIF($A$2:A17,G17,$D$2:D17),D17) +SUMIF($G$2:G17,G17,$M$2:M17))</f>
        <v/>
      </c>
      <c r="L17" s="45" t="str">
        <f t="shared" si="3"/>
        <v/>
      </c>
      <c r="M17" s="46" t="str">
        <f>IF(G17="","",IF(B17 = "BUY", 0,(E17-VLOOKUP(CONCATENATE(G17,(H17-1)),$I$2:L16,4,FALSE))*-C17))</f>
        <v/>
      </c>
      <c r="O17" s="27"/>
      <c r="P17" s="28" t="str">
        <f t="shared" si="4"/>
        <v/>
      </c>
      <c r="Q17" s="28" t="str">
        <f t="shared" si="5"/>
        <v/>
      </c>
      <c r="R17" s="28" t="str">
        <f t="shared" si="6"/>
        <v/>
      </c>
      <c r="S17" s="46" t="str">
        <f t="shared" si="7"/>
        <v/>
      </c>
      <c r="U17" s="27" t="str">
        <f t="shared" si="8"/>
        <v/>
      </c>
      <c r="V17" s="1" t="str">
        <f t="shared" si="0"/>
        <v/>
      </c>
      <c r="W17" s="1" t="str">
        <f t="shared" si="0"/>
        <v/>
      </c>
      <c r="X17" s="1" t="str">
        <f t="shared" si="0"/>
        <v/>
      </c>
      <c r="Y17" s="47" t="str">
        <f t="shared" si="0"/>
        <v/>
      </c>
    </row>
    <row r="18" spans="1:25" x14ac:dyDescent="0.3">
      <c r="A18" s="28" t="str">
        <f>IF('US Transaction'!A18= "","",'US Transaction'!A18)</f>
        <v/>
      </c>
      <c r="B18" s="28" t="str">
        <f>IF('US Transaction'!B18= "","",'US Transaction'!B18)</f>
        <v/>
      </c>
      <c r="C18" s="28" t="str">
        <f>IF('US Transaction'!C18= "","",IF(B18="BUY",'US Transaction'!C18,-'US Transaction'!C18))</f>
        <v/>
      </c>
      <c r="D18" s="28" t="str">
        <f>IF('US Transaction'!D18= "","",IF(B18="BUY",'US Transaction'!D18,-'US Transaction'!D18))</f>
        <v/>
      </c>
      <c r="E18" s="28" t="str">
        <f>IF('US Transaction'!E18= "","",'US Transaction'!E18)</f>
        <v/>
      </c>
      <c r="F18" s="33"/>
      <c r="G18" s="28" t="str">
        <f t="shared" si="1"/>
        <v/>
      </c>
      <c r="H18" s="28" t="str">
        <f>IF(A18="","",COUNTIF($G$2:G18,G18))</f>
        <v/>
      </c>
      <c r="I18" s="28" t="str">
        <f t="shared" si="2"/>
        <v/>
      </c>
      <c r="J18" s="28" t="str">
        <f>IF(G18="","",IF(COUNTIF($G$2:G18,G18)&gt;1,SUMIF($A$2:A18,G18,$C$2:C18),C18))</f>
        <v/>
      </c>
      <c r="K18" s="45" t="str">
        <f>IF(G18="","",IF(COUNTIF($G$2:G18,G18)&gt;1,SUMIF($A$2:A18,G18,$D$2:D18),D18) +SUMIF($G$2:G18,G18,$M$2:M18))</f>
        <v/>
      </c>
      <c r="L18" s="45" t="str">
        <f t="shared" si="3"/>
        <v/>
      </c>
      <c r="M18" s="46" t="str">
        <f>IF(G18="","",IF(B18 = "BUY", 0,(E18-VLOOKUP(CONCATENATE(G18,(H18-1)),$I$2:L17,4,FALSE))*-C18))</f>
        <v/>
      </c>
      <c r="O18" s="27"/>
      <c r="P18" s="28" t="str">
        <f t="shared" si="4"/>
        <v/>
      </c>
      <c r="Q18" s="28" t="str">
        <f t="shared" si="5"/>
        <v/>
      </c>
      <c r="R18" s="28" t="str">
        <f t="shared" si="6"/>
        <v/>
      </c>
      <c r="S18" s="46" t="str">
        <f t="shared" si="7"/>
        <v/>
      </c>
      <c r="U18" s="27" t="str">
        <f t="shared" si="8"/>
        <v/>
      </c>
      <c r="V18" s="1" t="str">
        <f t="shared" si="8"/>
        <v/>
      </c>
      <c r="W18" s="1" t="str">
        <f t="shared" si="8"/>
        <v/>
      </c>
      <c r="X18" s="1" t="str">
        <f t="shared" si="8"/>
        <v/>
      </c>
      <c r="Y18" s="47" t="str">
        <f t="shared" si="8"/>
        <v/>
      </c>
    </row>
    <row r="19" spans="1:25" x14ac:dyDescent="0.3">
      <c r="A19" s="28" t="str">
        <f>IF('US Transaction'!A19= "","",'US Transaction'!A19)</f>
        <v/>
      </c>
      <c r="B19" s="28" t="str">
        <f>IF('US Transaction'!B19= "","",'US Transaction'!B19)</f>
        <v/>
      </c>
      <c r="C19" s="28" t="str">
        <f>IF('US Transaction'!C19= "","",IF(B19="BUY",'US Transaction'!C19,-'US Transaction'!C19))</f>
        <v/>
      </c>
      <c r="D19" s="28" t="str">
        <f>IF('US Transaction'!D19= "","",IF(B19="BUY",'US Transaction'!D19,-'US Transaction'!D19))</f>
        <v/>
      </c>
      <c r="E19" s="28" t="str">
        <f>IF('US Transaction'!E19= "","",'US Transaction'!E19)</f>
        <v/>
      </c>
      <c r="F19" s="33"/>
      <c r="G19" s="28" t="str">
        <f t="shared" si="1"/>
        <v/>
      </c>
      <c r="H19" s="28" t="str">
        <f>IF(A19="","",COUNTIF($G$2:G19,G19))</f>
        <v/>
      </c>
      <c r="I19" s="28" t="str">
        <f t="shared" si="2"/>
        <v/>
      </c>
      <c r="J19" s="28" t="str">
        <f>IF(G19="","",IF(COUNTIF($G$2:G19,G19)&gt;1,SUMIF($A$2:A19,G19,$C$2:C19),C19))</f>
        <v/>
      </c>
      <c r="K19" s="45" t="str">
        <f>IF(G19="","",IF(COUNTIF($G$2:G19,G19)&gt;1,SUMIF($A$2:A19,G19,$D$2:D19),D19) +SUMIF($G$2:G19,G19,$M$2:M19))</f>
        <v/>
      </c>
      <c r="L19" s="45" t="str">
        <f t="shared" si="3"/>
        <v/>
      </c>
      <c r="M19" s="46" t="str">
        <f>IF(G19="","",IF(B19 = "BUY", 0,(E19-VLOOKUP(CONCATENATE(G19,(H19-1)),$I$2:L18,4,FALSE))*-C19))</f>
        <v/>
      </c>
      <c r="O19" s="27"/>
      <c r="P19" s="28" t="str">
        <f t="shared" si="4"/>
        <v/>
      </c>
      <c r="Q19" s="28" t="str">
        <f t="shared" si="5"/>
        <v/>
      </c>
      <c r="R19" s="28" t="str">
        <f t="shared" si="6"/>
        <v/>
      </c>
      <c r="S19" s="46" t="str">
        <f t="shared" si="7"/>
        <v/>
      </c>
      <c r="U19" s="27" t="str">
        <f t="shared" ref="U19:Y21" si="9">IF($Q19="","",IF($Q19&gt;0.0001,O19,""))</f>
        <v/>
      </c>
      <c r="V19" s="1" t="str">
        <f t="shared" si="9"/>
        <v/>
      </c>
      <c r="W19" s="1" t="str">
        <f t="shared" si="9"/>
        <v/>
      </c>
      <c r="X19" s="1" t="str">
        <f t="shared" si="9"/>
        <v/>
      </c>
      <c r="Y19" s="47" t="str">
        <f t="shared" si="9"/>
        <v/>
      </c>
    </row>
    <row r="20" spans="1:25" x14ac:dyDescent="0.3">
      <c r="A20" s="28" t="str">
        <f>IF('US Transaction'!A20= "","",'US Transaction'!A20)</f>
        <v/>
      </c>
      <c r="B20" s="28" t="str">
        <f>IF('US Transaction'!B20= "","",'US Transaction'!B20)</f>
        <v/>
      </c>
      <c r="C20" s="28" t="str">
        <f>IF('US Transaction'!C20= "","",IF(B20="BUY",'US Transaction'!C20,-'US Transaction'!C20))</f>
        <v/>
      </c>
      <c r="D20" s="28" t="str">
        <f>IF('US Transaction'!D20= "","",IF(B20="BUY",'US Transaction'!D20,-'US Transaction'!D20))</f>
        <v/>
      </c>
      <c r="E20" s="28" t="str">
        <f>IF('US Transaction'!E20= "","",'US Transaction'!E20)</f>
        <v/>
      </c>
      <c r="F20" s="33"/>
      <c r="G20" s="28" t="str">
        <f t="shared" si="1"/>
        <v/>
      </c>
      <c r="H20" s="28" t="str">
        <f>IF(A20="","",COUNTIF($G$2:G20,G20))</f>
        <v/>
      </c>
      <c r="I20" s="28" t="str">
        <f t="shared" si="2"/>
        <v/>
      </c>
      <c r="J20" s="28" t="str">
        <f>IF(G20="","",IF(COUNTIF($G$2:G20,G20)&gt;1,SUMIF($A$2:A20,G20,$C$2:C20),C20))</f>
        <v/>
      </c>
      <c r="K20" s="45" t="str">
        <f>IF(G20="","",IF(COUNTIF($G$2:G20,G20)&gt;1,SUMIF($A$2:A20,G20,$D$2:D20),D20) +SUMIF($G$2:G20,G20,$M$2:M20))</f>
        <v/>
      </c>
      <c r="L20" s="45" t="str">
        <f t="shared" si="3"/>
        <v/>
      </c>
      <c r="M20" s="46" t="str">
        <f>IF(G20="","",IF(B20 = "BUY", 0,(E20-VLOOKUP(CONCATENATE(G20,(H20-1)),$I$2:L19,4,FALSE))*-C20))</f>
        <v/>
      </c>
      <c r="O20" s="27"/>
      <c r="P20" s="28" t="str">
        <f t="shared" si="4"/>
        <v/>
      </c>
      <c r="Q20" s="28" t="str">
        <f t="shared" si="5"/>
        <v/>
      </c>
      <c r="R20" s="28" t="str">
        <f t="shared" si="6"/>
        <v/>
      </c>
      <c r="S20" s="46" t="str">
        <f t="shared" si="7"/>
        <v/>
      </c>
      <c r="U20" s="27" t="str">
        <f t="shared" si="9"/>
        <v/>
      </c>
      <c r="V20" s="1" t="str">
        <f t="shared" si="9"/>
        <v/>
      </c>
      <c r="W20" s="1" t="str">
        <f t="shared" si="9"/>
        <v/>
      </c>
      <c r="X20" s="1" t="str">
        <f t="shared" si="9"/>
        <v/>
      </c>
      <c r="Y20" s="47" t="str">
        <f t="shared" si="9"/>
        <v/>
      </c>
    </row>
    <row r="21" spans="1:25" ht="15" thickBot="1" x14ac:dyDescent="0.35">
      <c r="A21" s="28" t="str">
        <f>IF('US Transaction'!A21= "","",'US Transaction'!A21)</f>
        <v/>
      </c>
      <c r="B21" s="28" t="str">
        <f>IF('US Transaction'!B21= "","",'US Transaction'!B21)</f>
        <v/>
      </c>
      <c r="C21" s="28" t="str">
        <f>IF('US Transaction'!C21= "","",IF(B21="BUY",'US Transaction'!C21,-'US Transaction'!C21))</f>
        <v/>
      </c>
      <c r="D21" s="28" t="str">
        <f>IF('US Transaction'!D21= "","",IF(B21="BUY",'US Transaction'!D21,-'US Transaction'!D21))</f>
        <v/>
      </c>
      <c r="E21" s="28" t="str">
        <f>IF('US Transaction'!E21= "","",'US Transaction'!E21)</f>
        <v/>
      </c>
      <c r="F21" s="33"/>
      <c r="G21" s="28" t="str">
        <f t="shared" si="1"/>
        <v/>
      </c>
      <c r="H21" s="28" t="str">
        <f>IF(A21="","",COUNTIF($G$2:G21,G21))</f>
        <v/>
      </c>
      <c r="I21" s="28" t="str">
        <f t="shared" si="2"/>
        <v/>
      </c>
      <c r="J21" s="28" t="str">
        <f>IF(G21="","",IF(COUNTIF($G$2:G21,G21)&gt;1,SUMIF($A$2:A21,G21,$C$2:C21),C21))</f>
        <v/>
      </c>
      <c r="K21" s="45" t="str">
        <f>IF(G21="","",IF(COUNTIF($G$2:G21,G21)&gt;1,SUMIF($A$2:A21,G21,$D$2:D21),D21) +SUMIF($G$2:G21,G21,$M$2:M21))</f>
        <v/>
      </c>
      <c r="L21" s="45" t="str">
        <f t="shared" si="3"/>
        <v/>
      </c>
      <c r="M21" s="46" t="str">
        <f>IF(G21="","",IF(B21 = "BUY", 0,(E21-VLOOKUP(CONCATENATE(G21,(H21-1)),$I$2:L20,4,FALSE))*-C21))</f>
        <v/>
      </c>
      <c r="O21" s="30"/>
      <c r="P21" s="31" t="str">
        <f t="shared" si="4"/>
        <v/>
      </c>
      <c r="Q21" s="31" t="str">
        <f t="shared" si="5"/>
        <v/>
      </c>
      <c r="R21" s="31" t="str">
        <f t="shared" si="6"/>
        <v/>
      </c>
      <c r="S21" s="48" t="str">
        <f t="shared" si="7"/>
        <v/>
      </c>
      <c r="U21" s="30" t="str">
        <f t="shared" si="9"/>
        <v/>
      </c>
      <c r="V21" s="31" t="str">
        <f t="shared" si="9"/>
        <v/>
      </c>
      <c r="W21" s="31" t="str">
        <f t="shared" si="9"/>
        <v/>
      </c>
      <c r="X21" s="31" t="str">
        <f t="shared" si="9"/>
        <v/>
      </c>
      <c r="Y21" s="49" t="str">
        <f t="shared" si="9"/>
        <v/>
      </c>
    </row>
    <row r="22" spans="1:25" x14ac:dyDescent="0.3">
      <c r="A22" s="28" t="str">
        <f>IF('US Transaction'!A22= "","",'US Transaction'!A22)</f>
        <v/>
      </c>
      <c r="B22" s="28" t="str">
        <f>IF('US Transaction'!B22= "","",'US Transaction'!B22)</f>
        <v/>
      </c>
      <c r="C22" s="28" t="str">
        <f>IF('US Transaction'!C22= "","",IF(B22="BUY",'US Transaction'!C22,-'US Transaction'!C22))</f>
        <v/>
      </c>
      <c r="D22" s="28" t="str">
        <f>IF('US Transaction'!D22= "","",IF(B22="BUY",'US Transaction'!D22,-'US Transaction'!D22))</f>
        <v/>
      </c>
      <c r="E22" s="28" t="str">
        <f>IF('US Transaction'!E22= "","",'US Transaction'!E22)</f>
        <v/>
      </c>
      <c r="F22" s="33"/>
      <c r="G22" s="28" t="str">
        <f t="shared" si="1"/>
        <v/>
      </c>
      <c r="H22" s="28" t="str">
        <f>IF(A22="","",COUNTIF($G$2:G22,G22))</f>
        <v/>
      </c>
      <c r="I22" s="28" t="str">
        <f t="shared" si="2"/>
        <v/>
      </c>
      <c r="J22" s="28" t="str">
        <f>IF(G22="","",IF(COUNTIF($G$2:G22,G22)&gt;1,SUMIF($A$2:A22,G22,$C$2:C22),C22))</f>
        <v/>
      </c>
      <c r="K22" s="45" t="str">
        <f>IF(G22="","",IF(COUNTIF($G$2:G22,G22)&gt;1,SUMIF($A$2:A22,G22,$D$2:D22),D22) +SUMIF($G$2:G22,G22,$M$2:M22))</f>
        <v/>
      </c>
      <c r="L22" s="45" t="str">
        <f t="shared" si="3"/>
        <v/>
      </c>
      <c r="M22" s="46" t="str">
        <f>IF(G22="","",IF(B22 = "BUY", 0,(E22-VLOOKUP(CONCATENATE(G22,(H22-1)),$I$2:L21,4,FALSE))*-C22))</f>
        <v/>
      </c>
      <c r="P22" s="1" t="str">
        <f t="shared" ref="P22:P51" si="10">IF(O22="","",SUMIF($G$2:$G$51,O22,$M$2:$M$51))</f>
        <v/>
      </c>
      <c r="Q22" s="1" t="str">
        <f t="shared" ref="Q22:Q51" si="11">IF(O22="","",VLOOKUP(CONCATENATE(O22,(COUNTIF($G$2:$G$51,O22))),$I$2:$L$51,2,FALSE))</f>
        <v/>
      </c>
      <c r="R22" s="1" t="str">
        <f t="shared" ref="R22:R51" si="12">IF(O22="","",VLOOKUP(CONCATENATE(O22,(COUNTIF($G$2:$G$51,O22))),$I$2:$L$51,3,FALSE))</f>
        <v/>
      </c>
      <c r="S22" s="1" t="str">
        <f t="shared" ref="S22:S51" si="13">IF(O22="","",VLOOKUP(CONCATENATE(O22,(COUNTIF($G$2:$G$51,O22))),$I$2:$L$51,4,FALSE))</f>
        <v/>
      </c>
    </row>
    <row r="23" spans="1:25" x14ac:dyDescent="0.3">
      <c r="A23" s="28" t="str">
        <f>IF('US Transaction'!A23= "","",'US Transaction'!A23)</f>
        <v/>
      </c>
      <c r="B23" s="28" t="str">
        <f>IF('US Transaction'!B23= "","",'US Transaction'!B23)</f>
        <v/>
      </c>
      <c r="C23" s="28" t="str">
        <f>IF('US Transaction'!C23= "","",IF(B23="BUY",'US Transaction'!C23,-'US Transaction'!C23))</f>
        <v/>
      </c>
      <c r="D23" s="28" t="str">
        <f>IF('US Transaction'!D23= "","",IF(B23="BUY",'US Transaction'!D23,-'US Transaction'!D23))</f>
        <v/>
      </c>
      <c r="E23" s="28" t="str">
        <f>IF('US Transaction'!E23= "","",'US Transaction'!E23)</f>
        <v/>
      </c>
      <c r="F23" s="33"/>
      <c r="G23" s="28" t="str">
        <f t="shared" si="1"/>
        <v/>
      </c>
      <c r="H23" s="28" t="str">
        <f>IF(A23="","",COUNTIF($G$2:G23,G23))</f>
        <v/>
      </c>
      <c r="I23" s="28" t="str">
        <f t="shared" si="2"/>
        <v/>
      </c>
      <c r="J23" s="28" t="str">
        <f>IF(G23="","",IF(COUNTIF($G$2:G23,G23)&gt;1,SUMIF($A$2:A23,G23,$C$2:C23),C23))</f>
        <v/>
      </c>
      <c r="K23" s="45" t="str">
        <f>IF(G23="","",IF(COUNTIF($G$2:G23,G23)&gt;1,SUMIF($A$2:A23,G23,$D$2:D23),D23) +SUMIF($G$2:G23,G23,$M$2:M23))</f>
        <v/>
      </c>
      <c r="L23" s="45" t="str">
        <f t="shared" si="3"/>
        <v/>
      </c>
      <c r="M23" s="46" t="str">
        <f>IF(G23="","",IF(B23 = "BUY", 0,(E23-VLOOKUP(CONCATENATE(G23,(H23-1)),$I$2:L22,4,FALSE))*-C23))</f>
        <v/>
      </c>
      <c r="P23" s="1" t="str">
        <f t="shared" si="10"/>
        <v/>
      </c>
      <c r="Q23" s="1" t="str">
        <f t="shared" si="11"/>
        <v/>
      </c>
      <c r="R23" s="1" t="str">
        <f t="shared" si="12"/>
        <v/>
      </c>
      <c r="S23" s="1" t="str">
        <f t="shared" si="13"/>
        <v/>
      </c>
    </row>
    <row r="24" spans="1:25" x14ac:dyDescent="0.3">
      <c r="A24" s="28" t="str">
        <f>IF('US Transaction'!A24= "","",'US Transaction'!A24)</f>
        <v/>
      </c>
      <c r="B24" s="28" t="str">
        <f>IF('US Transaction'!B24= "","",'US Transaction'!B24)</f>
        <v/>
      </c>
      <c r="C24" s="28" t="str">
        <f>IF('US Transaction'!C24= "","",IF(B24="BUY",'US Transaction'!C24,-'US Transaction'!C24))</f>
        <v/>
      </c>
      <c r="D24" s="28" t="str">
        <f>IF('US Transaction'!D24= "","",IF(B24="BUY",'US Transaction'!D24,-'US Transaction'!D24))</f>
        <v/>
      </c>
      <c r="E24" s="28" t="str">
        <f>IF('US Transaction'!E24= "","",'US Transaction'!E24)</f>
        <v/>
      </c>
      <c r="F24" s="33"/>
      <c r="G24" s="28" t="str">
        <f t="shared" si="1"/>
        <v/>
      </c>
      <c r="H24" s="28" t="str">
        <f>IF(A24="","",COUNTIF($G$2:G24,G24))</f>
        <v/>
      </c>
      <c r="I24" s="28" t="str">
        <f t="shared" si="2"/>
        <v/>
      </c>
      <c r="J24" s="28" t="str">
        <f>IF(G24="","",IF(COUNTIF($G$2:G24,G24)&gt;1,SUMIF($A$2:A24,G24,$C$2:C24),C24))</f>
        <v/>
      </c>
      <c r="K24" s="45" t="str">
        <f>IF(G24="","",IF(COUNTIF($G$2:G24,G24)&gt;1,SUMIF($A$2:A24,G24,$D$2:D24),D24) +SUMIF($G$2:G24,G24,$M$2:M24))</f>
        <v/>
      </c>
      <c r="L24" s="45" t="str">
        <f t="shared" si="3"/>
        <v/>
      </c>
      <c r="M24" s="46" t="str">
        <f>IF(G24="","",IF(B24 = "BUY", 0,(E24-VLOOKUP(CONCATENATE(G24,(H24-1)),$I$2:L23,4,FALSE))*-C24))</f>
        <v/>
      </c>
      <c r="P24" s="1" t="str">
        <f t="shared" si="10"/>
        <v/>
      </c>
      <c r="Q24" s="1" t="str">
        <f t="shared" si="11"/>
        <v/>
      </c>
      <c r="R24" s="1" t="str">
        <f t="shared" si="12"/>
        <v/>
      </c>
      <c r="S24" s="1" t="str">
        <f t="shared" si="13"/>
        <v/>
      </c>
    </row>
    <row r="25" spans="1:25" x14ac:dyDescent="0.3">
      <c r="A25" s="28" t="str">
        <f>IF('US Transaction'!A25= "","",'US Transaction'!A25)</f>
        <v/>
      </c>
      <c r="B25" s="28" t="str">
        <f>IF('US Transaction'!B25= "","",'US Transaction'!B25)</f>
        <v/>
      </c>
      <c r="C25" s="28" t="str">
        <f>IF('US Transaction'!C25= "","",IF(B25="BUY",'US Transaction'!C25,-'US Transaction'!C25))</f>
        <v/>
      </c>
      <c r="D25" s="28" t="str">
        <f>IF('US Transaction'!D25= "","",IF(B25="BUY",'US Transaction'!D25,-'US Transaction'!D25))</f>
        <v/>
      </c>
      <c r="E25" s="28" t="str">
        <f>IF('US Transaction'!E25= "","",'US Transaction'!E25)</f>
        <v/>
      </c>
      <c r="F25" s="33"/>
      <c r="G25" s="28" t="str">
        <f t="shared" si="1"/>
        <v/>
      </c>
      <c r="H25" s="28" t="str">
        <f>IF(A25="","",COUNTIF($G$2:G25,G25))</f>
        <v/>
      </c>
      <c r="I25" s="28" t="str">
        <f t="shared" si="2"/>
        <v/>
      </c>
      <c r="J25" s="28" t="str">
        <f>IF(G25="","",IF(COUNTIF($G$2:G25,G25)&gt;1,SUMIF($A$2:A25,G25,$C$2:C25),C25))</f>
        <v/>
      </c>
      <c r="K25" s="45" t="str">
        <f>IF(G25="","",IF(COUNTIF($G$2:G25,G25)&gt;1,SUMIF($A$2:A25,G25,$D$2:D25),D25) +SUMIF($G$2:G25,G25,$M$2:M25))</f>
        <v/>
      </c>
      <c r="L25" s="45" t="str">
        <f t="shared" si="3"/>
        <v/>
      </c>
      <c r="M25" s="46" t="str">
        <f>IF(G25="","",IF(B25 = "BUY", 0,(E25-VLOOKUP(CONCATENATE(G25,(H25-1)),$I$2:L24,4,FALSE))*-C25))</f>
        <v/>
      </c>
      <c r="P25" s="1" t="str">
        <f t="shared" si="10"/>
        <v/>
      </c>
      <c r="Q25" s="1" t="str">
        <f t="shared" si="11"/>
        <v/>
      </c>
      <c r="R25" s="1" t="str">
        <f t="shared" si="12"/>
        <v/>
      </c>
      <c r="S25" s="1" t="str">
        <f t="shared" si="13"/>
        <v/>
      </c>
    </row>
    <row r="26" spans="1:25" x14ac:dyDescent="0.3">
      <c r="A26" s="28" t="str">
        <f>IF('US Transaction'!A26= "","",'US Transaction'!A26)</f>
        <v/>
      </c>
      <c r="B26" s="28" t="str">
        <f>IF('US Transaction'!B26= "","",'US Transaction'!B26)</f>
        <v/>
      </c>
      <c r="C26" s="28" t="str">
        <f>IF('US Transaction'!C26= "","",IF(B26="BUY",'US Transaction'!C26,-'US Transaction'!C26))</f>
        <v/>
      </c>
      <c r="D26" s="28" t="str">
        <f>IF('US Transaction'!D26= "","",IF(B26="BUY",'US Transaction'!D26,-'US Transaction'!D26))</f>
        <v/>
      </c>
      <c r="E26" s="28" t="str">
        <f>IF('US Transaction'!E26= "","",'US Transaction'!E26)</f>
        <v/>
      </c>
      <c r="F26" s="33"/>
      <c r="G26" s="28" t="str">
        <f t="shared" si="1"/>
        <v/>
      </c>
      <c r="H26" s="28" t="str">
        <f>IF(A26="","",COUNTIF($G$2:G26,G26))</f>
        <v/>
      </c>
      <c r="I26" s="28" t="str">
        <f t="shared" si="2"/>
        <v/>
      </c>
      <c r="J26" s="28" t="str">
        <f>IF(G26="","",IF(COUNTIF($G$2:G26,G26)&gt;1,SUMIF($A$2:A26,G26,$C$2:C26),C26))</f>
        <v/>
      </c>
      <c r="K26" s="45" t="str">
        <f>IF(G26="","",IF(COUNTIF($G$2:G26,G26)&gt;1,SUMIF($A$2:A26,G26,$D$2:D26),D26) +SUMIF($G$2:G26,G26,$M$2:M26))</f>
        <v/>
      </c>
      <c r="L26" s="45" t="str">
        <f t="shared" si="3"/>
        <v/>
      </c>
      <c r="M26" s="46" t="str">
        <f>IF(G26="","",IF(B26 = "BUY", 0,(E26-VLOOKUP(CONCATENATE(G26,(H26-1)),$I$2:L25,4,FALSE))*-C26))</f>
        <v/>
      </c>
      <c r="P26" s="1" t="str">
        <f t="shared" si="10"/>
        <v/>
      </c>
      <c r="Q26" s="1" t="str">
        <f t="shared" si="11"/>
        <v/>
      </c>
      <c r="R26" s="1" t="str">
        <f t="shared" si="12"/>
        <v/>
      </c>
      <c r="S26" s="1" t="str">
        <f t="shared" si="13"/>
        <v/>
      </c>
    </row>
    <row r="27" spans="1:25" x14ac:dyDescent="0.3">
      <c r="A27" s="28" t="str">
        <f>IF('US Transaction'!A27= "","",'US Transaction'!A27)</f>
        <v/>
      </c>
      <c r="B27" s="28" t="str">
        <f>IF('US Transaction'!B27= "","",'US Transaction'!B27)</f>
        <v/>
      </c>
      <c r="C27" s="28" t="str">
        <f>IF('US Transaction'!C27= "","",IF(B27="BUY",'US Transaction'!C27,-'US Transaction'!C27))</f>
        <v/>
      </c>
      <c r="D27" s="28" t="str">
        <f>IF('US Transaction'!D27= "","",IF(B27="BUY",'US Transaction'!D27,-'US Transaction'!D27))</f>
        <v/>
      </c>
      <c r="E27" s="28" t="str">
        <f>IF('US Transaction'!E27= "","",'US Transaction'!E27)</f>
        <v/>
      </c>
      <c r="F27" s="33"/>
      <c r="G27" s="28" t="str">
        <f t="shared" si="1"/>
        <v/>
      </c>
      <c r="H27" s="28" t="str">
        <f>IF(A27="","",COUNTIF($G$2:G27,G27))</f>
        <v/>
      </c>
      <c r="I27" s="28" t="str">
        <f t="shared" si="2"/>
        <v/>
      </c>
      <c r="J27" s="28" t="str">
        <f>IF(G27="","",IF(COUNTIF($G$2:G27,G27)&gt;1,SUMIF($A$2:A27,G27,$C$2:C27),C27))</f>
        <v/>
      </c>
      <c r="K27" s="45" t="str">
        <f>IF(G27="","",IF(COUNTIF($G$2:G27,G27)&gt;1,SUMIF($A$2:A27,G27,$D$2:D27),D27) +SUMIF($G$2:G27,G27,$M$2:M27))</f>
        <v/>
      </c>
      <c r="L27" s="45" t="str">
        <f t="shared" si="3"/>
        <v/>
      </c>
      <c r="M27" s="46" t="str">
        <f>IF(G27="","",IF(B27 = "BUY", 0,(E27-VLOOKUP(CONCATENATE(G27,(H27-1)),$I$2:L26,4,FALSE))*-C27))</f>
        <v/>
      </c>
      <c r="P27" s="1" t="str">
        <f t="shared" si="10"/>
        <v/>
      </c>
      <c r="Q27" s="1" t="str">
        <f t="shared" si="11"/>
        <v/>
      </c>
      <c r="R27" s="1" t="str">
        <f t="shared" si="12"/>
        <v/>
      </c>
      <c r="S27" s="1" t="str">
        <f t="shared" si="13"/>
        <v/>
      </c>
    </row>
    <row r="28" spans="1:25" x14ac:dyDescent="0.3">
      <c r="A28" s="28" t="str">
        <f>IF('US Transaction'!A28= "","",'US Transaction'!A28)</f>
        <v/>
      </c>
      <c r="B28" s="28" t="str">
        <f>IF('US Transaction'!B28= "","",'US Transaction'!B28)</f>
        <v/>
      </c>
      <c r="C28" s="28" t="str">
        <f>IF('US Transaction'!C28= "","",IF(B28="BUY",'US Transaction'!C28,-'US Transaction'!C28))</f>
        <v/>
      </c>
      <c r="D28" s="28" t="str">
        <f>IF('US Transaction'!D28= "","",IF(B28="BUY",'US Transaction'!D28,-'US Transaction'!D28))</f>
        <v/>
      </c>
      <c r="E28" s="28" t="str">
        <f>IF('US Transaction'!E28= "","",'US Transaction'!E28)</f>
        <v/>
      </c>
      <c r="F28" s="33"/>
      <c r="G28" s="28" t="str">
        <f t="shared" si="1"/>
        <v/>
      </c>
      <c r="H28" s="28" t="str">
        <f>IF(A28="","",COUNTIF($G$2:G28,G28))</f>
        <v/>
      </c>
      <c r="I28" s="28" t="str">
        <f t="shared" si="2"/>
        <v/>
      </c>
      <c r="J28" s="28" t="str">
        <f>IF(G28="","",IF(COUNTIF($G$2:G28,G28)&gt;1,SUMIF($A$2:A28,G28,$C$2:C28),C28))</f>
        <v/>
      </c>
      <c r="K28" s="45" t="str">
        <f>IF(G28="","",IF(COUNTIF($G$2:G28,G28)&gt;1,SUMIF($A$2:A28,G28,$D$2:D28),D28) +SUMIF($G$2:G28,G28,$M$2:M28))</f>
        <v/>
      </c>
      <c r="L28" s="45" t="str">
        <f t="shared" si="3"/>
        <v/>
      </c>
      <c r="M28" s="46" t="str">
        <f>IF(G28="","",IF(B28 = "BUY", 0,(E28-VLOOKUP(CONCATENATE(G28,(H28-1)),$I$2:L27,4,FALSE))*-C28))</f>
        <v/>
      </c>
      <c r="P28" s="1" t="str">
        <f t="shared" si="10"/>
        <v/>
      </c>
      <c r="Q28" s="1" t="str">
        <f t="shared" si="11"/>
        <v/>
      </c>
      <c r="R28" s="1" t="str">
        <f t="shared" si="12"/>
        <v/>
      </c>
      <c r="S28" s="1" t="str">
        <f t="shared" si="13"/>
        <v/>
      </c>
    </row>
    <row r="29" spans="1:25" x14ac:dyDescent="0.3">
      <c r="A29" s="28" t="str">
        <f>IF('US Transaction'!A29= "","",'US Transaction'!A29)</f>
        <v/>
      </c>
      <c r="B29" s="28" t="str">
        <f>IF('US Transaction'!B29= "","",'US Transaction'!B29)</f>
        <v/>
      </c>
      <c r="C29" s="28" t="str">
        <f>IF('US Transaction'!C29= "","",IF(B29="BUY",'US Transaction'!C29,-'US Transaction'!C29))</f>
        <v/>
      </c>
      <c r="D29" s="28" t="str">
        <f>IF('US Transaction'!D29= "","",IF(B29="BUY",'US Transaction'!D29,-'US Transaction'!D29))</f>
        <v/>
      </c>
      <c r="E29" s="28" t="str">
        <f>IF('US Transaction'!E29= "","",'US Transaction'!E29)</f>
        <v/>
      </c>
      <c r="F29" s="33"/>
      <c r="G29" s="28" t="str">
        <f t="shared" si="1"/>
        <v/>
      </c>
      <c r="H29" s="28" t="str">
        <f>IF(A29="","",COUNTIF($G$2:G29,G29))</f>
        <v/>
      </c>
      <c r="I29" s="28" t="str">
        <f t="shared" si="2"/>
        <v/>
      </c>
      <c r="J29" s="28" t="str">
        <f>IF(G29="","",IF(COUNTIF($G$2:G29,G29)&gt;1,SUMIF($A$2:A29,G29,$C$2:C29),C29))</f>
        <v/>
      </c>
      <c r="K29" s="45" t="str">
        <f>IF(G29="","",IF(COUNTIF($G$2:G29,G29)&gt;1,SUMIF($A$2:A29,G29,$D$2:D29),D29) +SUMIF($G$2:G29,G29,$M$2:M29))</f>
        <v/>
      </c>
      <c r="L29" s="45" t="str">
        <f t="shared" si="3"/>
        <v/>
      </c>
      <c r="M29" s="46" t="str">
        <f>IF(G29="","",IF(B29 = "BUY", 0,(E29-VLOOKUP(CONCATENATE(G29,(H29-1)),$I$2:L28,4,FALSE))*-C29))</f>
        <v/>
      </c>
      <c r="P29" s="1" t="str">
        <f t="shared" si="10"/>
        <v/>
      </c>
      <c r="Q29" s="1" t="str">
        <f t="shared" si="11"/>
        <v/>
      </c>
      <c r="R29" s="1" t="str">
        <f t="shared" si="12"/>
        <v/>
      </c>
      <c r="S29" s="1" t="str">
        <f t="shared" si="13"/>
        <v/>
      </c>
    </row>
    <row r="30" spans="1:25" x14ac:dyDescent="0.3">
      <c r="A30" s="28" t="str">
        <f>IF('US Transaction'!A30= "","",'US Transaction'!A30)</f>
        <v/>
      </c>
      <c r="B30" s="28" t="str">
        <f>IF('US Transaction'!B30= "","",'US Transaction'!B30)</f>
        <v/>
      </c>
      <c r="C30" s="28" t="str">
        <f>IF('US Transaction'!C30= "","",IF(B30="BUY",'US Transaction'!C30,-'US Transaction'!C30))</f>
        <v/>
      </c>
      <c r="D30" s="28" t="str">
        <f>IF('US Transaction'!D30= "","",IF(B30="BUY",'US Transaction'!D30,-'US Transaction'!D30))</f>
        <v/>
      </c>
      <c r="E30" s="28" t="str">
        <f>IF('US Transaction'!E30= "","",'US Transaction'!E30)</f>
        <v/>
      </c>
      <c r="F30" s="33"/>
      <c r="G30" s="28" t="str">
        <f t="shared" si="1"/>
        <v/>
      </c>
      <c r="H30" s="28" t="str">
        <f>IF(A30="","",COUNTIF($G$2:G30,G30))</f>
        <v/>
      </c>
      <c r="I30" s="28" t="str">
        <f t="shared" si="2"/>
        <v/>
      </c>
      <c r="J30" s="28" t="str">
        <f>IF(G30="","",IF(COUNTIF($G$2:G30,G30)&gt;1,SUMIF($A$2:A30,G30,$C$2:C30),C30))</f>
        <v/>
      </c>
      <c r="K30" s="45" t="str">
        <f>IF(G30="","",IF(COUNTIF($G$2:G30,G30)&gt;1,SUMIF($A$2:A30,G30,$D$2:D30),D30) +SUMIF($G$2:G30,G30,$M$2:M30))</f>
        <v/>
      </c>
      <c r="L30" s="45" t="str">
        <f t="shared" si="3"/>
        <v/>
      </c>
      <c r="M30" s="46" t="str">
        <f>IF(G30="","",IF(B30 = "BUY", 0,(E30-VLOOKUP(CONCATENATE(G30,(H30-1)),$I$2:L29,4,FALSE))*-C30))</f>
        <v/>
      </c>
      <c r="P30" s="1" t="str">
        <f t="shared" si="10"/>
        <v/>
      </c>
      <c r="Q30" s="1" t="str">
        <f t="shared" si="11"/>
        <v/>
      </c>
      <c r="R30" s="1" t="str">
        <f t="shared" si="12"/>
        <v/>
      </c>
      <c r="S30" s="1" t="str">
        <f t="shared" si="13"/>
        <v/>
      </c>
    </row>
    <row r="31" spans="1:25" x14ac:dyDescent="0.3">
      <c r="A31" s="28" t="str">
        <f>IF('US Transaction'!A31= "","",'US Transaction'!A31)</f>
        <v/>
      </c>
      <c r="B31" s="28" t="str">
        <f>IF('US Transaction'!B31= "","",'US Transaction'!B31)</f>
        <v/>
      </c>
      <c r="C31" s="28" t="str">
        <f>IF('US Transaction'!C31= "","",IF(B31="BUY",'US Transaction'!C31,-'US Transaction'!C31))</f>
        <v/>
      </c>
      <c r="D31" s="28" t="str">
        <f>IF('US Transaction'!D31= "","",IF(B31="BUY",'US Transaction'!D31,-'US Transaction'!D31))</f>
        <v/>
      </c>
      <c r="E31" s="28" t="str">
        <f>IF('US Transaction'!E31= "","",'US Transaction'!E31)</f>
        <v/>
      </c>
      <c r="F31" s="33"/>
      <c r="G31" s="28" t="str">
        <f t="shared" si="1"/>
        <v/>
      </c>
      <c r="H31" s="28" t="str">
        <f>IF(A31="","",COUNTIF($G$2:G31,G31))</f>
        <v/>
      </c>
      <c r="I31" s="28" t="str">
        <f t="shared" si="2"/>
        <v/>
      </c>
      <c r="J31" s="28" t="str">
        <f>IF(G31="","",IF(COUNTIF($G$2:G31,G31)&gt;1,SUMIF($A$2:A31,G31,$C$2:C31),C31))</f>
        <v/>
      </c>
      <c r="K31" s="45" t="str">
        <f>IF(G31="","",IF(COUNTIF($G$2:G31,G31)&gt;1,SUMIF($A$2:A31,G31,$D$2:D31),D31) +SUMIF($G$2:G31,G31,$M$2:M31))</f>
        <v/>
      </c>
      <c r="L31" s="45" t="str">
        <f t="shared" si="3"/>
        <v/>
      </c>
      <c r="M31" s="46" t="str">
        <f>IF(G31="","",IF(B31 = "BUY", 0,(E31-VLOOKUP(CONCATENATE(G31,(H31-1)),$I$2:L30,4,FALSE))*-C31))</f>
        <v/>
      </c>
      <c r="P31" s="1" t="str">
        <f t="shared" si="10"/>
        <v/>
      </c>
      <c r="Q31" s="1" t="str">
        <f t="shared" si="11"/>
        <v/>
      </c>
      <c r="R31" s="1" t="str">
        <f t="shared" si="12"/>
        <v/>
      </c>
      <c r="S31" s="1" t="str">
        <f t="shared" si="13"/>
        <v/>
      </c>
    </row>
    <row r="32" spans="1:25" x14ac:dyDescent="0.3">
      <c r="A32" s="28" t="str">
        <f>IF('US Transaction'!A32= "","",'US Transaction'!A32)</f>
        <v/>
      </c>
      <c r="B32" s="28" t="str">
        <f>IF('US Transaction'!B32= "","",'US Transaction'!B32)</f>
        <v/>
      </c>
      <c r="C32" s="28" t="str">
        <f>IF('US Transaction'!C32= "","",IF(B32="BUY",'US Transaction'!C32,-'US Transaction'!C32))</f>
        <v/>
      </c>
      <c r="D32" s="28" t="str">
        <f>IF('US Transaction'!D32= "","",IF(B32="BUY",'US Transaction'!D32,-'US Transaction'!D32))</f>
        <v/>
      </c>
      <c r="E32" s="28" t="str">
        <f>IF('US Transaction'!E32= "","",'US Transaction'!E32)</f>
        <v/>
      </c>
      <c r="F32" s="33"/>
      <c r="G32" s="28" t="str">
        <f t="shared" si="1"/>
        <v/>
      </c>
      <c r="H32" s="28" t="str">
        <f>IF(A32="","",COUNTIF($G$2:G32,G32))</f>
        <v/>
      </c>
      <c r="I32" s="28" t="str">
        <f t="shared" si="2"/>
        <v/>
      </c>
      <c r="J32" s="28" t="str">
        <f>IF(G32="","",IF(COUNTIF($G$2:G32,G32)&gt;1,SUMIF($A$2:A32,G32,$C$2:C32),C32))</f>
        <v/>
      </c>
      <c r="K32" s="45" t="str">
        <f>IF(G32="","",IF(COUNTIF($G$2:G32,G32)&gt;1,SUMIF($A$2:A32,G32,$D$2:D32),D32) +SUMIF($G$2:G32,G32,$M$2:M32))</f>
        <v/>
      </c>
      <c r="L32" s="45" t="str">
        <f t="shared" si="3"/>
        <v/>
      </c>
      <c r="M32" s="46" t="str">
        <f>IF(G32="","",IF(B32 = "BUY", 0,(E32-VLOOKUP(CONCATENATE(G32,(H32-1)),$I$2:L31,4,FALSE))*-C32))</f>
        <v/>
      </c>
      <c r="P32" s="1" t="str">
        <f t="shared" si="10"/>
        <v/>
      </c>
      <c r="Q32" s="1" t="str">
        <f t="shared" si="11"/>
        <v/>
      </c>
      <c r="R32" s="1" t="str">
        <f t="shared" si="12"/>
        <v/>
      </c>
      <c r="S32" s="1" t="str">
        <f t="shared" si="13"/>
        <v/>
      </c>
    </row>
    <row r="33" spans="1:19" x14ac:dyDescent="0.3">
      <c r="A33" s="28" t="str">
        <f>IF('US Transaction'!A33= "","",'US Transaction'!A33)</f>
        <v/>
      </c>
      <c r="B33" s="28" t="str">
        <f>IF('US Transaction'!B33= "","",'US Transaction'!B33)</f>
        <v/>
      </c>
      <c r="C33" s="28" t="str">
        <f>IF('US Transaction'!C33= "","",IF(B33="BUY",'US Transaction'!C33,-'US Transaction'!C33))</f>
        <v/>
      </c>
      <c r="D33" s="28" t="str">
        <f>IF('US Transaction'!D33= "","",IF(B33="BUY",'US Transaction'!D33,-'US Transaction'!D33))</f>
        <v/>
      </c>
      <c r="E33" s="28" t="str">
        <f>IF('US Transaction'!E33= "","",'US Transaction'!E33)</f>
        <v/>
      </c>
      <c r="F33" s="33"/>
      <c r="G33" s="28" t="str">
        <f t="shared" si="1"/>
        <v/>
      </c>
      <c r="H33" s="28" t="str">
        <f>IF(A33="","",COUNTIF($G$2:G33,G33))</f>
        <v/>
      </c>
      <c r="I33" s="28" t="str">
        <f t="shared" si="2"/>
        <v/>
      </c>
      <c r="J33" s="28" t="str">
        <f>IF(G33="","",IF(COUNTIF($G$2:G33,G33)&gt;1,SUMIF($A$2:A33,G33,$C$2:C33),C33))</f>
        <v/>
      </c>
      <c r="K33" s="45" t="str">
        <f>IF(G33="","",IF(COUNTIF($G$2:G33,G33)&gt;1,SUMIF($A$2:A33,G33,$D$2:D33),D33) +SUMIF($G$2:G33,G33,$M$2:M33))</f>
        <v/>
      </c>
      <c r="L33" s="45" t="str">
        <f t="shared" si="3"/>
        <v/>
      </c>
      <c r="M33" s="46" t="str">
        <f>IF(G33="","",IF(B33 = "BUY", 0,(E33-VLOOKUP(CONCATENATE(G33,(H33-1)),$I$2:L32,4,FALSE))*-C33))</f>
        <v/>
      </c>
      <c r="P33" s="1" t="str">
        <f t="shared" si="10"/>
        <v/>
      </c>
      <c r="Q33" s="1" t="str">
        <f t="shared" si="11"/>
        <v/>
      </c>
      <c r="R33" s="1" t="str">
        <f t="shared" si="12"/>
        <v/>
      </c>
      <c r="S33" s="1" t="str">
        <f t="shared" si="13"/>
        <v/>
      </c>
    </row>
    <row r="34" spans="1:19" x14ac:dyDescent="0.3">
      <c r="A34" s="28" t="str">
        <f>IF('US Transaction'!A34= "","",'US Transaction'!A34)</f>
        <v/>
      </c>
      <c r="B34" s="28" t="str">
        <f>IF('US Transaction'!B34= "","",'US Transaction'!B34)</f>
        <v/>
      </c>
      <c r="C34" s="28" t="str">
        <f>IF('US Transaction'!C34= "","",IF(B34="BUY",'US Transaction'!C34,-'US Transaction'!C34))</f>
        <v/>
      </c>
      <c r="D34" s="28" t="str">
        <f>IF('US Transaction'!D34= "","",IF(B34="BUY",'US Transaction'!D34,-'US Transaction'!D34))</f>
        <v/>
      </c>
      <c r="E34" s="28" t="str">
        <f>IF('US Transaction'!E34= "","",'US Transaction'!E34)</f>
        <v/>
      </c>
      <c r="F34" s="33"/>
      <c r="G34" s="28" t="str">
        <f t="shared" si="1"/>
        <v/>
      </c>
      <c r="H34" s="28" t="str">
        <f>IF(A34="","",COUNTIF($G$2:G34,G34))</f>
        <v/>
      </c>
      <c r="I34" s="28" t="str">
        <f t="shared" si="2"/>
        <v/>
      </c>
      <c r="J34" s="28" t="str">
        <f>IF(G34="","",IF(COUNTIF($G$2:G34,G34)&gt;1,SUMIF($A$2:A34,G34,$C$2:C34),C34))</f>
        <v/>
      </c>
      <c r="K34" s="45" t="str">
        <f>IF(G34="","",IF(COUNTIF($G$2:G34,G34)&gt;1,SUMIF($A$2:A34,G34,$D$2:D34),D34) +SUMIF($G$2:G34,G34,$M$2:M34))</f>
        <v/>
      </c>
      <c r="L34" s="45" t="str">
        <f t="shared" si="3"/>
        <v/>
      </c>
      <c r="M34" s="46" t="str">
        <f>IF(G34="","",IF(B34 = "BUY", 0,(E34-VLOOKUP(CONCATENATE(G34,(H34-1)),$I$2:L33,4,FALSE))*-C34))</f>
        <v/>
      </c>
      <c r="P34" s="1" t="str">
        <f t="shared" si="10"/>
        <v/>
      </c>
      <c r="Q34" s="1" t="str">
        <f t="shared" si="11"/>
        <v/>
      </c>
      <c r="R34" s="1" t="str">
        <f t="shared" si="12"/>
        <v/>
      </c>
      <c r="S34" s="1" t="str">
        <f t="shared" si="13"/>
        <v/>
      </c>
    </row>
    <row r="35" spans="1:19" x14ac:dyDescent="0.3">
      <c r="A35" s="28" t="str">
        <f>IF('US Transaction'!A35= "","",'US Transaction'!A35)</f>
        <v/>
      </c>
      <c r="B35" s="28" t="str">
        <f>IF('US Transaction'!B35= "","",'US Transaction'!B35)</f>
        <v/>
      </c>
      <c r="C35" s="28" t="str">
        <f>IF('US Transaction'!C35= "","",IF(B35="BUY",'US Transaction'!C35,-'US Transaction'!C35))</f>
        <v/>
      </c>
      <c r="D35" s="28" t="str">
        <f>IF('US Transaction'!D35= "","",IF(B35="BUY",'US Transaction'!D35,-'US Transaction'!D35))</f>
        <v/>
      </c>
      <c r="E35" s="28" t="str">
        <f>IF('US Transaction'!E35= "","",'US Transaction'!E35)</f>
        <v/>
      </c>
      <c r="F35" s="33"/>
      <c r="G35" s="28" t="str">
        <f t="shared" si="1"/>
        <v/>
      </c>
      <c r="H35" s="28" t="str">
        <f>IF(A35="","",COUNTIF($G$2:G35,G35))</f>
        <v/>
      </c>
      <c r="I35" s="28" t="str">
        <f t="shared" si="2"/>
        <v/>
      </c>
      <c r="J35" s="28" t="str">
        <f>IF(G35="","",IF(COUNTIF($G$2:G35,G35)&gt;1,SUMIF($A$2:A35,G35,$C$2:C35),C35))</f>
        <v/>
      </c>
      <c r="K35" s="45" t="str">
        <f>IF(G35="","",IF(COUNTIF($G$2:G35,G35)&gt;1,SUMIF($A$2:A35,G35,$D$2:D35),D35) +SUMIF($G$2:G35,G35,$M$2:M35))</f>
        <v/>
      </c>
      <c r="L35" s="45" t="str">
        <f t="shared" si="3"/>
        <v/>
      </c>
      <c r="M35" s="46" t="str">
        <f>IF(G35="","",IF(B35 = "BUY", 0,(E35-VLOOKUP(CONCATENATE(G35,(H35-1)),$I$2:L34,4,FALSE))*-C35))</f>
        <v/>
      </c>
      <c r="P35" s="1" t="str">
        <f t="shared" si="10"/>
        <v/>
      </c>
      <c r="Q35" s="1" t="str">
        <f t="shared" si="11"/>
        <v/>
      </c>
      <c r="R35" s="1" t="str">
        <f t="shared" si="12"/>
        <v/>
      </c>
      <c r="S35" s="1" t="str">
        <f t="shared" si="13"/>
        <v/>
      </c>
    </row>
    <row r="36" spans="1:19" x14ac:dyDescent="0.3">
      <c r="A36" s="28" t="str">
        <f>IF('US Transaction'!A36= "","",'US Transaction'!A36)</f>
        <v/>
      </c>
      <c r="B36" s="28" t="str">
        <f>IF('US Transaction'!B36= "","",'US Transaction'!B36)</f>
        <v/>
      </c>
      <c r="C36" s="28" t="str">
        <f>IF('US Transaction'!C36= "","",IF(B36="BUY",'US Transaction'!C36,-'US Transaction'!C36))</f>
        <v/>
      </c>
      <c r="D36" s="28" t="str">
        <f>IF('US Transaction'!D36= "","",IF(B36="BUY",'US Transaction'!D36,-'US Transaction'!D36))</f>
        <v/>
      </c>
      <c r="E36" s="28" t="str">
        <f>IF('US Transaction'!E36= "","",'US Transaction'!E36)</f>
        <v/>
      </c>
      <c r="F36" s="33"/>
      <c r="G36" s="28" t="str">
        <f t="shared" si="1"/>
        <v/>
      </c>
      <c r="H36" s="28" t="str">
        <f>IF(A36="","",COUNTIF($G$2:G36,G36))</f>
        <v/>
      </c>
      <c r="I36" s="28" t="str">
        <f t="shared" si="2"/>
        <v/>
      </c>
      <c r="J36" s="28" t="str">
        <f>IF(G36="","",IF(COUNTIF($G$2:G36,G36)&gt;1,SUMIF($A$2:A36,G36,$C$2:C36),C36))</f>
        <v/>
      </c>
      <c r="K36" s="45" t="str">
        <f>IF(G36="","",IF(COUNTIF($G$2:G36,G36)&gt;1,SUMIF($A$2:A36,G36,$D$2:D36),D36) +SUMIF($G$2:G36,G36,$M$2:M36))</f>
        <v/>
      </c>
      <c r="L36" s="45" t="str">
        <f t="shared" si="3"/>
        <v/>
      </c>
      <c r="M36" s="46" t="str">
        <f>IF(G36="","",IF(B36 = "BUY", 0,(E36-VLOOKUP(CONCATENATE(G36,(H36-1)),$I$2:L35,4,FALSE))*-C36))</f>
        <v/>
      </c>
      <c r="P36" s="1" t="str">
        <f t="shared" si="10"/>
        <v/>
      </c>
      <c r="Q36" s="1" t="str">
        <f t="shared" si="11"/>
        <v/>
      </c>
      <c r="R36" s="1" t="str">
        <f t="shared" si="12"/>
        <v/>
      </c>
      <c r="S36" s="1" t="str">
        <f t="shared" si="13"/>
        <v/>
      </c>
    </row>
    <row r="37" spans="1:19" x14ac:dyDescent="0.3">
      <c r="A37" s="28" t="str">
        <f>IF('US Transaction'!A37= "","",'US Transaction'!A37)</f>
        <v/>
      </c>
      <c r="B37" s="28" t="str">
        <f>IF('US Transaction'!B37= "","",'US Transaction'!B37)</f>
        <v/>
      </c>
      <c r="C37" s="28" t="str">
        <f>IF('US Transaction'!C37= "","",IF(B37="BUY",'US Transaction'!C37,-'US Transaction'!C37))</f>
        <v/>
      </c>
      <c r="D37" s="28" t="str">
        <f>IF('US Transaction'!D37= "","",IF(B37="BUY",'US Transaction'!D37,-'US Transaction'!D37))</f>
        <v/>
      </c>
      <c r="E37" s="28" t="str">
        <f>IF('US Transaction'!E37= "","",'US Transaction'!E37)</f>
        <v/>
      </c>
      <c r="F37" s="33"/>
      <c r="G37" s="28" t="str">
        <f t="shared" si="1"/>
        <v/>
      </c>
      <c r="H37" s="28" t="str">
        <f>IF(A37="","",COUNTIF($G$2:G37,G37))</f>
        <v/>
      </c>
      <c r="I37" s="28" t="str">
        <f t="shared" si="2"/>
        <v/>
      </c>
      <c r="J37" s="28" t="str">
        <f>IF(G37="","",IF(COUNTIF($G$2:G37,G37)&gt;1,SUMIF($A$2:A37,G37,$C$2:C37),C37))</f>
        <v/>
      </c>
      <c r="K37" s="45" t="str">
        <f>IF(G37="","",IF(COUNTIF($G$2:G37,G37)&gt;1,SUMIF($A$2:A37,G37,$D$2:D37),D37) +SUMIF($G$2:G37,G37,$M$2:M37))</f>
        <v/>
      </c>
      <c r="L37" s="45" t="str">
        <f t="shared" si="3"/>
        <v/>
      </c>
      <c r="M37" s="46" t="str">
        <f>IF(G37="","",IF(B37 = "BUY", 0,(E37-VLOOKUP(CONCATENATE(G37,(H37-1)),$I$2:L36,4,FALSE))*-C37))</f>
        <v/>
      </c>
      <c r="P37" s="1" t="str">
        <f t="shared" si="10"/>
        <v/>
      </c>
      <c r="Q37" s="1" t="str">
        <f t="shared" si="11"/>
        <v/>
      </c>
      <c r="R37" s="1" t="str">
        <f t="shared" si="12"/>
        <v/>
      </c>
      <c r="S37" s="1" t="str">
        <f t="shared" si="13"/>
        <v/>
      </c>
    </row>
    <row r="38" spans="1:19" x14ac:dyDescent="0.3">
      <c r="A38" s="28" t="str">
        <f>IF('US Transaction'!A38= "","",'US Transaction'!A38)</f>
        <v/>
      </c>
      <c r="B38" s="28" t="str">
        <f>IF('US Transaction'!B38= "","",'US Transaction'!B38)</f>
        <v/>
      </c>
      <c r="C38" s="28" t="str">
        <f>IF('US Transaction'!C38= "","",IF(B38="BUY",'US Transaction'!C38,-'US Transaction'!C38))</f>
        <v/>
      </c>
      <c r="D38" s="28" t="str">
        <f>IF('US Transaction'!D38= "","",IF(B38="BUY",'US Transaction'!D38,-'US Transaction'!D38))</f>
        <v/>
      </c>
      <c r="E38" s="28" t="str">
        <f>IF('US Transaction'!E38= "","",'US Transaction'!E38)</f>
        <v/>
      </c>
      <c r="F38" s="33"/>
      <c r="G38" s="28" t="str">
        <f t="shared" si="1"/>
        <v/>
      </c>
      <c r="H38" s="28" t="str">
        <f>IF(A38="","",COUNTIF($G$2:G38,G38))</f>
        <v/>
      </c>
      <c r="I38" s="28" t="str">
        <f t="shared" si="2"/>
        <v/>
      </c>
      <c r="J38" s="28" t="str">
        <f>IF(G38="","",IF(COUNTIF($G$2:G38,G38)&gt;1,SUMIF($A$2:A38,G38,$C$2:C38),C38))</f>
        <v/>
      </c>
      <c r="K38" s="45" t="str">
        <f>IF(G38="","",IF(COUNTIF($G$2:G38,G38)&gt;1,SUMIF($A$2:A38,G38,$D$2:D38),D38) +SUMIF($G$2:G38,G38,$M$2:M38))</f>
        <v/>
      </c>
      <c r="L38" s="45" t="str">
        <f t="shared" si="3"/>
        <v/>
      </c>
      <c r="M38" s="46" t="str">
        <f>IF(G38="","",IF(B38 = "BUY", 0,(E38-VLOOKUP(CONCATENATE(G38,(H38-1)),$I$2:L37,4,FALSE))*-C38))</f>
        <v/>
      </c>
      <c r="P38" s="1" t="str">
        <f t="shared" si="10"/>
        <v/>
      </c>
      <c r="Q38" s="1" t="str">
        <f t="shared" si="11"/>
        <v/>
      </c>
      <c r="R38" s="1" t="str">
        <f t="shared" si="12"/>
        <v/>
      </c>
      <c r="S38" s="1" t="str">
        <f t="shared" si="13"/>
        <v/>
      </c>
    </row>
    <row r="39" spans="1:19" x14ac:dyDescent="0.3">
      <c r="A39" s="28" t="str">
        <f>IF('US Transaction'!A39= "","",'US Transaction'!A39)</f>
        <v/>
      </c>
      <c r="B39" s="28" t="str">
        <f>IF('US Transaction'!B39= "","",'US Transaction'!B39)</f>
        <v/>
      </c>
      <c r="C39" s="28" t="str">
        <f>IF('US Transaction'!C39= "","",IF(B39="BUY",'US Transaction'!C39,-'US Transaction'!C39))</f>
        <v/>
      </c>
      <c r="D39" s="28" t="str">
        <f>IF('US Transaction'!D39= "","",IF(B39="BUY",'US Transaction'!D39,-'US Transaction'!D39))</f>
        <v/>
      </c>
      <c r="E39" s="28" t="str">
        <f>IF('US Transaction'!E39= "","",'US Transaction'!E39)</f>
        <v/>
      </c>
      <c r="F39" s="33"/>
      <c r="G39" s="28" t="str">
        <f t="shared" si="1"/>
        <v/>
      </c>
      <c r="H39" s="28" t="str">
        <f>IF(A39="","",COUNTIF($G$2:G39,G39))</f>
        <v/>
      </c>
      <c r="I39" s="28" t="str">
        <f t="shared" si="2"/>
        <v/>
      </c>
      <c r="J39" s="28" t="str">
        <f>IF(G39="","",IF(COUNTIF($G$2:G39,G39)&gt;1,SUMIF($A$2:A39,G39,$C$2:C39),C39))</f>
        <v/>
      </c>
      <c r="K39" s="45" t="str">
        <f>IF(G39="","",IF(COUNTIF($G$2:G39,G39)&gt;1,SUMIF($A$2:A39,G39,$D$2:D39),D39) +SUMIF($G$2:G39,G39,$M$2:M39))</f>
        <v/>
      </c>
      <c r="L39" s="45" t="str">
        <f t="shared" si="3"/>
        <v/>
      </c>
      <c r="M39" s="46" t="str">
        <f>IF(G39="","",IF(B39 = "BUY", 0,(E39-VLOOKUP(CONCATENATE(G39,(H39-1)),$I$2:L38,4,FALSE))*-C39))</f>
        <v/>
      </c>
      <c r="P39" s="1" t="str">
        <f t="shared" si="10"/>
        <v/>
      </c>
      <c r="Q39" s="1" t="str">
        <f t="shared" si="11"/>
        <v/>
      </c>
      <c r="R39" s="1" t="str">
        <f t="shared" si="12"/>
        <v/>
      </c>
      <c r="S39" s="1" t="str">
        <f t="shared" si="13"/>
        <v/>
      </c>
    </row>
    <row r="40" spans="1:19" x14ac:dyDescent="0.3">
      <c r="A40" s="28" t="str">
        <f>IF('US Transaction'!A40= "","",'US Transaction'!A40)</f>
        <v/>
      </c>
      <c r="B40" s="28" t="str">
        <f>IF('US Transaction'!B40= "","",'US Transaction'!B40)</f>
        <v/>
      </c>
      <c r="C40" s="28" t="str">
        <f>IF('US Transaction'!C40= "","",IF(B40="BUY",'US Transaction'!C40,-'US Transaction'!C40))</f>
        <v/>
      </c>
      <c r="D40" s="28" t="str">
        <f>IF('US Transaction'!D40= "","",IF(B40="BUY",'US Transaction'!D40,-'US Transaction'!D40))</f>
        <v/>
      </c>
      <c r="E40" s="28" t="str">
        <f>IF('US Transaction'!E40= "","",'US Transaction'!E40)</f>
        <v/>
      </c>
      <c r="F40" s="33"/>
      <c r="G40" s="28" t="str">
        <f t="shared" si="1"/>
        <v/>
      </c>
      <c r="H40" s="28" t="str">
        <f>IF(A40="","",COUNTIF($G$2:G40,G40))</f>
        <v/>
      </c>
      <c r="I40" s="28" t="str">
        <f t="shared" si="2"/>
        <v/>
      </c>
      <c r="J40" s="28" t="str">
        <f>IF(G40="","",IF(COUNTIF($G$2:G40,G40)&gt;1,SUMIF($A$2:A40,G40,$C$2:C40),C40))</f>
        <v/>
      </c>
      <c r="K40" s="45" t="str">
        <f>IF(G40="","",IF(COUNTIF($G$2:G40,G40)&gt;1,SUMIF($A$2:A40,G40,$D$2:D40),D40) +SUMIF($G$2:G40,G40,$M$2:M40))</f>
        <v/>
      </c>
      <c r="L40" s="45" t="str">
        <f t="shared" si="3"/>
        <v/>
      </c>
      <c r="M40" s="46" t="str">
        <f>IF(G40="","",IF(B40 = "BUY", 0,(E40-VLOOKUP(CONCATENATE(G40,(H40-1)),$I$2:L39,4,FALSE))*-C40))</f>
        <v/>
      </c>
      <c r="P40" s="1" t="str">
        <f t="shared" si="10"/>
        <v/>
      </c>
      <c r="Q40" s="1" t="str">
        <f t="shared" si="11"/>
        <v/>
      </c>
      <c r="R40" s="1" t="str">
        <f t="shared" si="12"/>
        <v/>
      </c>
      <c r="S40" s="1" t="str">
        <f t="shared" si="13"/>
        <v/>
      </c>
    </row>
    <row r="41" spans="1:19" x14ac:dyDescent="0.3">
      <c r="A41" s="28" t="str">
        <f>IF('US Transaction'!A41= "","",'US Transaction'!A41)</f>
        <v/>
      </c>
      <c r="B41" s="28" t="str">
        <f>IF('US Transaction'!B41= "","",'US Transaction'!B41)</f>
        <v/>
      </c>
      <c r="C41" s="28" t="str">
        <f>IF('US Transaction'!C41= "","",IF(B41="BUY",'US Transaction'!C41,-'US Transaction'!C41))</f>
        <v/>
      </c>
      <c r="D41" s="28" t="str">
        <f>IF('US Transaction'!D41= "","",IF(B41="BUY",'US Transaction'!D41,-'US Transaction'!D41))</f>
        <v/>
      </c>
      <c r="E41" s="28" t="str">
        <f>IF('US Transaction'!E41= "","",'US Transaction'!E41)</f>
        <v/>
      </c>
      <c r="F41" s="33"/>
      <c r="G41" s="28" t="str">
        <f t="shared" si="1"/>
        <v/>
      </c>
      <c r="H41" s="28" t="str">
        <f>IF(A41="","",COUNTIF($G$2:G41,G41))</f>
        <v/>
      </c>
      <c r="I41" s="28" t="str">
        <f t="shared" si="2"/>
        <v/>
      </c>
      <c r="J41" s="28" t="str">
        <f>IF(G41="","",IF(COUNTIF($G$2:G41,G41)&gt;1,SUMIF($A$2:A41,G41,$C$2:C41),C41))</f>
        <v/>
      </c>
      <c r="K41" s="45" t="str">
        <f>IF(G41="","",IF(COUNTIF($G$2:G41,G41)&gt;1,SUMIF($A$2:A41,G41,$D$2:D41),D41) +SUMIF($G$2:G41,G41,$M$2:M41))</f>
        <v/>
      </c>
      <c r="L41" s="45" t="str">
        <f t="shared" si="3"/>
        <v/>
      </c>
      <c r="M41" s="46" t="str">
        <f>IF(G41="","",IF(B41 = "BUY", 0,(E41-VLOOKUP(CONCATENATE(G41,(H41-1)),$I$2:L40,4,FALSE))*-C41))</f>
        <v/>
      </c>
      <c r="P41" s="1" t="str">
        <f t="shared" si="10"/>
        <v/>
      </c>
      <c r="Q41" s="1" t="str">
        <f t="shared" si="11"/>
        <v/>
      </c>
      <c r="R41" s="1" t="str">
        <f t="shared" si="12"/>
        <v/>
      </c>
      <c r="S41" s="1" t="str">
        <f t="shared" si="13"/>
        <v/>
      </c>
    </row>
    <row r="42" spans="1:19" x14ac:dyDescent="0.3">
      <c r="A42" s="28" t="str">
        <f>IF('US Transaction'!A42= "","",'US Transaction'!A42)</f>
        <v/>
      </c>
      <c r="B42" s="28" t="str">
        <f>IF('US Transaction'!B42= "","",'US Transaction'!B42)</f>
        <v/>
      </c>
      <c r="C42" s="28" t="str">
        <f>IF('US Transaction'!C42= "","",IF(B42="BUY",'US Transaction'!C42,-'US Transaction'!C42))</f>
        <v/>
      </c>
      <c r="D42" s="28" t="str">
        <f>IF('US Transaction'!D42= "","",IF(B42="BUY",'US Transaction'!D42,-'US Transaction'!D42))</f>
        <v/>
      </c>
      <c r="E42" s="28" t="str">
        <f>IF('US Transaction'!E42= "","",'US Transaction'!E42)</f>
        <v/>
      </c>
      <c r="F42" s="33"/>
      <c r="G42" s="28" t="str">
        <f t="shared" si="1"/>
        <v/>
      </c>
      <c r="H42" s="28" t="str">
        <f>IF(A42="","",COUNTIF($G$2:G42,G42))</f>
        <v/>
      </c>
      <c r="I42" s="28" t="str">
        <f t="shared" si="2"/>
        <v/>
      </c>
      <c r="J42" s="28" t="str">
        <f>IF(G42="","",IF(COUNTIF($G$2:G42,G42)&gt;1,SUMIF($A$2:A42,G42,$C$2:C42),C42))</f>
        <v/>
      </c>
      <c r="K42" s="45" t="str">
        <f>IF(G42="","",IF(COUNTIF($G$2:G42,G42)&gt;1,SUMIF($A$2:A42,G42,$D$2:D42),D42) +SUMIF($G$2:G42,G42,$M$2:M42))</f>
        <v/>
      </c>
      <c r="L42" s="45" t="str">
        <f t="shared" si="3"/>
        <v/>
      </c>
      <c r="M42" s="46" t="str">
        <f>IF(G42="","",IF(B42 = "BUY", 0,(E42-VLOOKUP(CONCATENATE(G42,(H42-1)),$I$2:L41,4,FALSE))*-C42))</f>
        <v/>
      </c>
      <c r="P42" s="1" t="str">
        <f t="shared" si="10"/>
        <v/>
      </c>
      <c r="Q42" s="1" t="str">
        <f t="shared" si="11"/>
        <v/>
      </c>
      <c r="R42" s="1" t="str">
        <f t="shared" si="12"/>
        <v/>
      </c>
      <c r="S42" s="1" t="str">
        <f t="shared" si="13"/>
        <v/>
      </c>
    </row>
    <row r="43" spans="1:19" x14ac:dyDescent="0.3">
      <c r="A43" s="28" t="str">
        <f>IF('US Transaction'!A43= "","",'US Transaction'!A43)</f>
        <v/>
      </c>
      <c r="B43" s="28" t="str">
        <f>IF('US Transaction'!B43= "","",'US Transaction'!B43)</f>
        <v/>
      </c>
      <c r="C43" s="28" t="str">
        <f>IF('US Transaction'!C43= "","",IF(B43="BUY",'US Transaction'!C43,-'US Transaction'!C43))</f>
        <v/>
      </c>
      <c r="D43" s="28" t="str">
        <f>IF('US Transaction'!D43= "","",IF(B43="BUY",'US Transaction'!D43,-'US Transaction'!D43))</f>
        <v/>
      </c>
      <c r="E43" s="28" t="str">
        <f>IF('US Transaction'!E43= "","",'US Transaction'!E43)</f>
        <v/>
      </c>
      <c r="F43" s="33"/>
      <c r="G43" s="28" t="str">
        <f t="shared" si="1"/>
        <v/>
      </c>
      <c r="H43" s="28" t="str">
        <f>IF(A43="","",COUNTIF($G$2:G43,G43))</f>
        <v/>
      </c>
      <c r="I43" s="28" t="str">
        <f t="shared" si="2"/>
        <v/>
      </c>
      <c r="J43" s="28" t="str">
        <f>IF(G43="","",IF(COUNTIF($G$2:G43,G43)&gt;1,SUMIF($A$2:A43,G43,$C$2:C43),C43))</f>
        <v/>
      </c>
      <c r="K43" s="45" t="str">
        <f>IF(G43="","",IF(COUNTIF($G$2:G43,G43)&gt;1,SUMIF($A$2:A43,G43,$D$2:D43),D43) +SUMIF($G$2:G43,G43,$M$2:M43))</f>
        <v/>
      </c>
      <c r="L43" s="45" t="str">
        <f t="shared" si="3"/>
        <v/>
      </c>
      <c r="M43" s="46" t="str">
        <f>IF(G43="","",IF(B43 = "BUY", 0,(E43-VLOOKUP(CONCATENATE(G43,(H43-1)),$I$2:L42,4,FALSE))*-C43))</f>
        <v/>
      </c>
      <c r="P43" s="1" t="str">
        <f t="shared" si="10"/>
        <v/>
      </c>
      <c r="Q43" s="1" t="str">
        <f t="shared" si="11"/>
        <v/>
      </c>
      <c r="R43" s="1" t="str">
        <f t="shared" si="12"/>
        <v/>
      </c>
      <c r="S43" s="1" t="str">
        <f t="shared" si="13"/>
        <v/>
      </c>
    </row>
    <row r="44" spans="1:19" x14ac:dyDescent="0.3">
      <c r="A44" s="28" t="str">
        <f>IF('US Transaction'!A44= "","",'US Transaction'!A44)</f>
        <v/>
      </c>
      <c r="B44" s="28" t="str">
        <f>IF('US Transaction'!B44= "","",'US Transaction'!B44)</f>
        <v/>
      </c>
      <c r="C44" s="28" t="str">
        <f>IF('US Transaction'!C44= "","",IF(B44="BUY",'US Transaction'!C44,-'US Transaction'!C44))</f>
        <v/>
      </c>
      <c r="D44" s="28" t="str">
        <f>IF('US Transaction'!D44= "","",IF(B44="BUY",'US Transaction'!D44,-'US Transaction'!D44))</f>
        <v/>
      </c>
      <c r="E44" s="28" t="str">
        <f>IF('US Transaction'!E44= "","",'US Transaction'!E44)</f>
        <v/>
      </c>
      <c r="F44" s="33"/>
      <c r="G44" s="28" t="str">
        <f t="shared" si="1"/>
        <v/>
      </c>
      <c r="H44" s="28" t="str">
        <f>IF(A44="","",COUNTIF($G$2:G44,G44))</f>
        <v/>
      </c>
      <c r="I44" s="28" t="str">
        <f t="shared" si="2"/>
        <v/>
      </c>
      <c r="J44" s="28" t="str">
        <f>IF(G44="","",IF(COUNTIF($G$2:G44,G44)&gt;1,SUMIF($A$2:A44,G44,$C$2:C44),C44))</f>
        <v/>
      </c>
      <c r="K44" s="45" t="str">
        <f>IF(G44="","",IF(COUNTIF($G$2:G44,G44)&gt;1,SUMIF($A$2:A44,G44,$D$2:D44),D44) +SUMIF($G$2:G44,G44,$M$2:M44))</f>
        <v/>
      </c>
      <c r="L44" s="45" t="str">
        <f t="shared" si="3"/>
        <v/>
      </c>
      <c r="M44" s="46" t="str">
        <f>IF(G44="","",IF(B44 = "BUY", 0,(E44-VLOOKUP(CONCATENATE(G44,(H44-1)),$I$2:L43,4,FALSE))*-C44))</f>
        <v/>
      </c>
      <c r="P44" s="1" t="str">
        <f t="shared" si="10"/>
        <v/>
      </c>
      <c r="Q44" s="1" t="str">
        <f t="shared" si="11"/>
        <v/>
      </c>
      <c r="R44" s="1" t="str">
        <f t="shared" si="12"/>
        <v/>
      </c>
      <c r="S44" s="1" t="str">
        <f t="shared" si="13"/>
        <v/>
      </c>
    </row>
    <row r="45" spans="1:19" x14ac:dyDescent="0.3">
      <c r="A45" s="28" t="str">
        <f>IF('US Transaction'!A45= "","",'US Transaction'!A45)</f>
        <v/>
      </c>
      <c r="B45" s="28" t="str">
        <f>IF('US Transaction'!B45= "","",'US Transaction'!B45)</f>
        <v/>
      </c>
      <c r="C45" s="28" t="str">
        <f>IF('US Transaction'!C45= "","",IF(B45="BUY",'US Transaction'!C45,-'US Transaction'!C45))</f>
        <v/>
      </c>
      <c r="D45" s="28" t="str">
        <f>IF('US Transaction'!D45= "","",IF(B45="BUY",'US Transaction'!D45,-'US Transaction'!D45))</f>
        <v/>
      </c>
      <c r="E45" s="28" t="str">
        <f>IF('US Transaction'!E45= "","",'US Transaction'!E45)</f>
        <v/>
      </c>
      <c r="F45" s="33"/>
      <c r="G45" s="28" t="str">
        <f t="shared" si="1"/>
        <v/>
      </c>
      <c r="H45" s="28" t="str">
        <f>IF(A45="","",COUNTIF($G$2:G45,G45))</f>
        <v/>
      </c>
      <c r="I45" s="28" t="str">
        <f t="shared" si="2"/>
        <v/>
      </c>
      <c r="J45" s="28" t="str">
        <f>IF(G45="","",IF(COUNTIF($G$2:G45,G45)&gt;1,SUMIF($A$2:A45,G45,$C$2:C45),C45))</f>
        <v/>
      </c>
      <c r="K45" s="45" t="str">
        <f>IF(G45="","",IF(COUNTIF($G$2:G45,G45)&gt;1,SUMIF($A$2:A45,G45,$D$2:D45),D45) +SUMIF($G$2:G45,G45,$M$2:M45))</f>
        <v/>
      </c>
      <c r="L45" s="45" t="str">
        <f t="shared" si="3"/>
        <v/>
      </c>
      <c r="M45" s="46" t="str">
        <f>IF(G45="","",IF(B45 = "BUY", 0,(E45-VLOOKUP(CONCATENATE(G45,(H45-1)),$I$2:L44,4,FALSE))*-C45))</f>
        <v/>
      </c>
      <c r="P45" s="1" t="str">
        <f t="shared" si="10"/>
        <v/>
      </c>
      <c r="Q45" s="1" t="str">
        <f t="shared" si="11"/>
        <v/>
      </c>
      <c r="R45" s="1" t="str">
        <f t="shared" si="12"/>
        <v/>
      </c>
      <c r="S45" s="1" t="str">
        <f t="shared" si="13"/>
        <v/>
      </c>
    </row>
    <row r="46" spans="1:19" x14ac:dyDescent="0.3">
      <c r="A46" s="28" t="str">
        <f>IF('US Transaction'!A46= "","",'US Transaction'!A46)</f>
        <v/>
      </c>
      <c r="B46" s="28" t="str">
        <f>IF('US Transaction'!B46= "","",'US Transaction'!B46)</f>
        <v/>
      </c>
      <c r="C46" s="28" t="str">
        <f>IF('US Transaction'!C46= "","",IF(B46="BUY",'US Transaction'!C46,-'US Transaction'!C46))</f>
        <v/>
      </c>
      <c r="D46" s="28" t="str">
        <f>IF('US Transaction'!D46= "","",IF(B46="BUY",'US Transaction'!D46,-'US Transaction'!D46))</f>
        <v/>
      </c>
      <c r="E46" s="28" t="str">
        <f>IF('US Transaction'!E46= "","",'US Transaction'!E46)</f>
        <v/>
      </c>
      <c r="F46" s="33"/>
      <c r="G46" s="28" t="str">
        <f t="shared" si="1"/>
        <v/>
      </c>
      <c r="H46" s="28" t="str">
        <f>IF(A46="","",COUNTIF($G$2:G46,G46))</f>
        <v/>
      </c>
      <c r="I46" s="28" t="str">
        <f t="shared" si="2"/>
        <v/>
      </c>
      <c r="J46" s="28" t="str">
        <f>IF(G46="","",IF(COUNTIF($G$2:G46,G46)&gt;1,SUMIF($A$2:A46,G46,$C$2:C46),C46))</f>
        <v/>
      </c>
      <c r="K46" s="45" t="str">
        <f>IF(G46="","",IF(COUNTIF($G$2:G46,G46)&gt;1,SUMIF($A$2:A46,G46,$D$2:D46),D46) +SUMIF($G$2:G46,G46,$M$2:M46))</f>
        <v/>
      </c>
      <c r="L46" s="45" t="str">
        <f t="shared" si="3"/>
        <v/>
      </c>
      <c r="M46" s="46" t="str">
        <f>IF(G46="","",IF(B46 = "BUY", 0,(E46-VLOOKUP(CONCATENATE(G46,(H46-1)),$I$2:L45,4,FALSE))*-C46))</f>
        <v/>
      </c>
      <c r="P46" s="1" t="str">
        <f t="shared" si="10"/>
        <v/>
      </c>
      <c r="Q46" s="1" t="str">
        <f t="shared" si="11"/>
        <v/>
      </c>
      <c r="R46" s="1" t="str">
        <f t="shared" si="12"/>
        <v/>
      </c>
      <c r="S46" s="1" t="str">
        <f t="shared" si="13"/>
        <v/>
      </c>
    </row>
    <row r="47" spans="1:19" x14ac:dyDescent="0.3">
      <c r="A47" s="28" t="str">
        <f>IF('US Transaction'!A47= "","",'US Transaction'!A47)</f>
        <v/>
      </c>
      <c r="B47" s="28" t="str">
        <f>IF('US Transaction'!B47= "","",'US Transaction'!B47)</f>
        <v/>
      </c>
      <c r="C47" s="28" t="str">
        <f>IF('US Transaction'!C47= "","",IF(B47="BUY",'US Transaction'!C47,-'US Transaction'!C47))</f>
        <v/>
      </c>
      <c r="D47" s="28" t="str">
        <f>IF('US Transaction'!D47= "","",IF(B47="BUY",'US Transaction'!D47,-'US Transaction'!D47))</f>
        <v/>
      </c>
      <c r="E47" s="28" t="str">
        <f>IF('US Transaction'!E47= "","",'US Transaction'!E47)</f>
        <v/>
      </c>
      <c r="F47" s="33"/>
      <c r="G47" s="28" t="str">
        <f t="shared" si="1"/>
        <v/>
      </c>
      <c r="H47" s="28" t="str">
        <f>IF(A47="","",COUNTIF($G$2:G47,G47))</f>
        <v/>
      </c>
      <c r="I47" s="28" t="str">
        <f t="shared" si="2"/>
        <v/>
      </c>
      <c r="J47" s="28" t="str">
        <f>IF(G47="","",IF(COUNTIF($G$2:G47,G47)&gt;1,SUMIF($A$2:A47,G47,$C$2:C47),C47))</f>
        <v/>
      </c>
      <c r="K47" s="45" t="str">
        <f>IF(G47="","",IF(COUNTIF($G$2:G47,G47)&gt;1,SUMIF($A$2:A47,G47,$D$2:D47),D47) +SUMIF($G$2:G47,G47,$M$2:M47))</f>
        <v/>
      </c>
      <c r="L47" s="45" t="str">
        <f t="shared" si="3"/>
        <v/>
      </c>
      <c r="M47" s="46" t="str">
        <f>IF(G47="","",IF(B47 = "BUY", 0,(E47-VLOOKUP(CONCATENATE(G47,(H47-1)),$I$2:L46,4,FALSE))*-C47))</f>
        <v/>
      </c>
      <c r="P47" s="1" t="str">
        <f t="shared" si="10"/>
        <v/>
      </c>
      <c r="Q47" s="1" t="str">
        <f t="shared" si="11"/>
        <v/>
      </c>
      <c r="R47" s="1" t="str">
        <f t="shared" si="12"/>
        <v/>
      </c>
      <c r="S47" s="1" t="str">
        <f t="shared" si="13"/>
        <v/>
      </c>
    </row>
    <row r="48" spans="1:19" x14ac:dyDescent="0.3">
      <c r="A48" s="28" t="str">
        <f>IF('US Transaction'!A48= "","",'US Transaction'!A48)</f>
        <v/>
      </c>
      <c r="B48" s="28" t="str">
        <f>IF('US Transaction'!B48= "","",'US Transaction'!B48)</f>
        <v/>
      </c>
      <c r="C48" s="28" t="str">
        <f>IF('US Transaction'!C48= "","",IF(B48="BUY",'US Transaction'!C48,-'US Transaction'!C48))</f>
        <v/>
      </c>
      <c r="D48" s="28" t="str">
        <f>IF('US Transaction'!D48= "","",IF(B48="BUY",'US Transaction'!D48,-'US Transaction'!D48))</f>
        <v/>
      </c>
      <c r="E48" s="28" t="str">
        <f>IF('US Transaction'!E48= "","",'US Transaction'!E48)</f>
        <v/>
      </c>
      <c r="F48" s="33"/>
      <c r="G48" s="28" t="str">
        <f t="shared" si="1"/>
        <v/>
      </c>
      <c r="H48" s="28" t="str">
        <f>IF(A48="","",COUNTIF($G$2:G48,G48))</f>
        <v/>
      </c>
      <c r="I48" s="28" t="str">
        <f t="shared" si="2"/>
        <v/>
      </c>
      <c r="J48" s="28" t="str">
        <f>IF(G48="","",IF(COUNTIF($G$2:G48,G48)&gt;1,SUMIF($A$2:A48,G48,$C$2:C48),C48))</f>
        <v/>
      </c>
      <c r="K48" s="45" t="str">
        <f>IF(G48="","",IF(COUNTIF($G$2:G48,G48)&gt;1,SUMIF($A$2:A48,G48,$D$2:D48),D48) +SUMIF($G$2:G48,G48,$M$2:M48))</f>
        <v/>
      </c>
      <c r="L48" s="45" t="str">
        <f t="shared" si="3"/>
        <v/>
      </c>
      <c r="M48" s="46" t="str">
        <f>IF(G48="","",IF(B48 = "BUY", 0,(E48-VLOOKUP(CONCATENATE(G48,(H48-1)),$I$2:L47,4,FALSE))*-C48))</f>
        <v/>
      </c>
      <c r="P48" s="1" t="str">
        <f t="shared" si="10"/>
        <v/>
      </c>
      <c r="Q48" s="1" t="str">
        <f t="shared" si="11"/>
        <v/>
      </c>
      <c r="R48" s="1" t="str">
        <f t="shared" si="12"/>
        <v/>
      </c>
      <c r="S48" s="1" t="str">
        <f t="shared" si="13"/>
        <v/>
      </c>
    </row>
    <row r="49" spans="1:19" x14ac:dyDescent="0.3">
      <c r="A49" s="28" t="str">
        <f>IF('US Transaction'!A49= "","",'US Transaction'!A49)</f>
        <v/>
      </c>
      <c r="B49" s="28" t="str">
        <f>IF('US Transaction'!B49= "","",'US Transaction'!B49)</f>
        <v/>
      </c>
      <c r="C49" s="28" t="str">
        <f>IF('US Transaction'!C49= "","",IF(B49="BUY",'US Transaction'!C49,-'US Transaction'!C49))</f>
        <v/>
      </c>
      <c r="D49" s="28" t="str">
        <f>IF('US Transaction'!D49= "","",IF(B49="BUY",'US Transaction'!D49,-'US Transaction'!D49))</f>
        <v/>
      </c>
      <c r="E49" s="28" t="str">
        <f>IF('US Transaction'!E49= "","",'US Transaction'!E49)</f>
        <v/>
      </c>
      <c r="F49" s="33"/>
      <c r="G49" s="28" t="str">
        <f t="shared" si="1"/>
        <v/>
      </c>
      <c r="H49" s="28" t="str">
        <f>IF(A49="","",COUNTIF($G$2:G49,G49))</f>
        <v/>
      </c>
      <c r="I49" s="28" t="str">
        <f t="shared" si="2"/>
        <v/>
      </c>
      <c r="J49" s="28" t="str">
        <f>IF(G49="","",IF(COUNTIF($G$2:G49,G49)&gt;1,SUMIF($A$2:A49,G49,$C$2:C49),C49))</f>
        <v/>
      </c>
      <c r="K49" s="45" t="str">
        <f>IF(G49="","",IF(COUNTIF($G$2:G49,G49)&gt;1,SUMIF($A$2:A49,G49,$D$2:D49),D49) +SUMIF($G$2:G49,G49,$M$2:M49))</f>
        <v/>
      </c>
      <c r="L49" s="45" t="str">
        <f t="shared" si="3"/>
        <v/>
      </c>
      <c r="M49" s="46" t="str">
        <f>IF(G49="","",IF(B49 = "BUY", 0,(E49-VLOOKUP(CONCATENATE(G49,(H49-1)),$I$2:L48,4,FALSE))*-C49))</f>
        <v/>
      </c>
      <c r="P49" s="1" t="str">
        <f t="shared" si="10"/>
        <v/>
      </c>
      <c r="Q49" s="1" t="str">
        <f t="shared" si="11"/>
        <v/>
      </c>
      <c r="R49" s="1" t="str">
        <f t="shared" si="12"/>
        <v/>
      </c>
      <c r="S49" s="1" t="str">
        <f t="shared" si="13"/>
        <v/>
      </c>
    </row>
    <row r="50" spans="1:19" x14ac:dyDescent="0.3">
      <c r="A50" s="28" t="str">
        <f>IF('US Transaction'!A50= "","",'US Transaction'!A50)</f>
        <v/>
      </c>
      <c r="B50" s="28" t="str">
        <f>IF('US Transaction'!B50= "","",'US Transaction'!B50)</f>
        <v/>
      </c>
      <c r="C50" s="28" t="str">
        <f>IF('US Transaction'!C50= "","",IF(B50="BUY",'US Transaction'!C50,-'US Transaction'!C50))</f>
        <v/>
      </c>
      <c r="D50" s="28" t="str">
        <f>IF('US Transaction'!D50= "","",IF(B50="BUY",'US Transaction'!D50,-'US Transaction'!D50))</f>
        <v/>
      </c>
      <c r="E50" s="28" t="str">
        <f>IF('US Transaction'!E50= "","",'US Transaction'!E50)</f>
        <v/>
      </c>
      <c r="F50" s="33"/>
      <c r="G50" s="28" t="str">
        <f t="shared" si="1"/>
        <v/>
      </c>
      <c r="H50" s="28" t="str">
        <f>IF(A50="","",COUNTIF($G$2:G50,G50))</f>
        <v/>
      </c>
      <c r="I50" s="28" t="str">
        <f t="shared" si="2"/>
        <v/>
      </c>
      <c r="J50" s="28" t="str">
        <f>IF(G50="","",IF(COUNTIF($G$2:G50,G50)&gt;1,SUMIF($A$2:A50,G50,$C$2:C50),C50))</f>
        <v/>
      </c>
      <c r="K50" s="45" t="str">
        <f>IF(G50="","",IF(COUNTIF($G$2:G50,G50)&gt;1,SUMIF($A$2:A50,G50,$D$2:D50),D50) +SUMIF($G$2:G50,G50,$M$2:M50))</f>
        <v/>
      </c>
      <c r="L50" s="45" t="str">
        <f t="shared" si="3"/>
        <v/>
      </c>
      <c r="M50" s="46" t="str">
        <f>IF(G50="","",IF(B50 = "BUY", 0,(E50-VLOOKUP(CONCATENATE(G50,(H50-1)),$I$2:L49,4,FALSE))*-C50))</f>
        <v/>
      </c>
      <c r="P50" s="1" t="str">
        <f t="shared" si="10"/>
        <v/>
      </c>
      <c r="Q50" s="1" t="str">
        <f t="shared" si="11"/>
        <v/>
      </c>
      <c r="R50" s="1" t="str">
        <f t="shared" si="12"/>
        <v/>
      </c>
      <c r="S50" s="1" t="str">
        <f t="shared" si="13"/>
        <v/>
      </c>
    </row>
    <row r="51" spans="1:19" ht="15" thickBot="1" x14ac:dyDescent="0.35">
      <c r="A51" s="28" t="str">
        <f>IF('US Transaction'!A51= "","",'US Transaction'!A51)</f>
        <v/>
      </c>
      <c r="B51" s="28" t="str">
        <f>IF('US Transaction'!B51= "","",'US Transaction'!B51)</f>
        <v/>
      </c>
      <c r="C51" s="28" t="str">
        <f>IF('US Transaction'!C51= "","",IF(B51="BUY",'US Transaction'!C51,-'US Transaction'!C51))</f>
        <v/>
      </c>
      <c r="D51" s="28" t="str">
        <f>IF('US Transaction'!D51= "","",IF(B51="BUY",'US Transaction'!D51,-'US Transaction'!D51))</f>
        <v/>
      </c>
      <c r="E51" s="28" t="str">
        <f>IF('US Transaction'!E51= "","",'US Transaction'!E51)</f>
        <v/>
      </c>
      <c r="F51" s="23"/>
      <c r="G51" s="28" t="str">
        <f t="shared" si="1"/>
        <v/>
      </c>
      <c r="H51" s="28" t="str">
        <f>IF(A51="","",COUNTIF($G$2:G51,G51))</f>
        <v/>
      </c>
      <c r="I51" s="28" t="str">
        <f t="shared" si="2"/>
        <v/>
      </c>
      <c r="J51" s="28" t="str">
        <f>IF(G51="","",IF(COUNTIF($G$2:G51,G51)&gt;1,SUMIF($A$2:A51,G51,$C$2:C51),C51))</f>
        <v/>
      </c>
      <c r="K51" s="45" t="str">
        <f>IF(G51="","",IF(COUNTIF($G$2:G51,G51)&gt;1,SUMIF($A$2:A51,G51,$D$2:D51),D51) +SUMIF($G$2:G51,G51,$M$2:M51))</f>
        <v/>
      </c>
      <c r="L51" s="45" t="str">
        <f t="shared" si="3"/>
        <v/>
      </c>
      <c r="M51" s="46" t="str">
        <f>IF(G51="","",IF(B51 = "BUY", 0,(E51-VLOOKUP(CONCATENATE(G51,(H51-1)),$I$2:L50,4,FALSE))*-C51))</f>
        <v/>
      </c>
      <c r="P51" s="1" t="str">
        <f t="shared" si="10"/>
        <v/>
      </c>
      <c r="Q51" s="1" t="str">
        <f t="shared" si="11"/>
        <v/>
      </c>
      <c r="R51" s="1" t="str">
        <f t="shared" si="12"/>
        <v/>
      </c>
      <c r="S51" s="1" t="str">
        <f t="shared" si="13"/>
        <v/>
      </c>
    </row>
    <row r="52" spans="1:19" ht="15" thickBot="1" x14ac:dyDescent="0.35">
      <c r="A52" s="28" t="str">
        <f>IF('US Transaction'!A52= "","",'US Transaction'!A52)</f>
        <v/>
      </c>
      <c r="B52" s="28" t="str">
        <f>IF('US Transaction'!B52= "","",'US Transaction'!B52)</f>
        <v/>
      </c>
      <c r="C52" s="28" t="str">
        <f>IF('US Transaction'!C52= "","",IF(B52="BUY",'US Transaction'!C52,-'US Transaction'!C52))</f>
        <v/>
      </c>
      <c r="D52" s="28" t="str">
        <f>IF('US Transaction'!D52= "","",IF(B52="BUY",'US Transaction'!D52,-'US Transaction'!D52))</f>
        <v/>
      </c>
      <c r="E52" s="28" t="str">
        <f>IF('US Transaction'!E52= "","",'US Transaction'!E52)</f>
        <v/>
      </c>
      <c r="F52" s="23"/>
      <c r="G52" s="28" t="str">
        <f t="shared" si="1"/>
        <v/>
      </c>
      <c r="H52" s="28" t="str">
        <f>IF(A52="","",COUNTIF($G$2:G52,G52))</f>
        <v/>
      </c>
      <c r="I52" s="28" t="str">
        <f t="shared" si="2"/>
        <v/>
      </c>
      <c r="J52" s="28" t="str">
        <f>IF(G52="","",IF(COUNTIF($G$2:G52,G52)&gt;1,SUMIF($A$2:A52,G52,$C$2:C52),C52))</f>
        <v/>
      </c>
      <c r="K52" s="45" t="str">
        <f>IF(G52="","",IF(COUNTIF($G$2:G52,G52)&gt;1,SUMIF($A$2:A52,G52,$D$2:D52),D52) +SUMIF($G$2:G52,G52,$M$2:M52))</f>
        <v/>
      </c>
      <c r="L52" s="45" t="str">
        <f t="shared" si="3"/>
        <v/>
      </c>
      <c r="M52" s="46" t="str">
        <f>IF(G52="","",IF(B52 = "BUY", 0,(E52-VLOOKUP(CONCATENATE(G52,(H52-1)),$I$2:L51,4,FALSE))*-C52))</f>
        <v/>
      </c>
    </row>
    <row r="53" spans="1:19" ht="15" thickBot="1" x14ac:dyDescent="0.35">
      <c r="A53" s="28" t="str">
        <f>IF('US Transaction'!A53= "","",'US Transaction'!A53)</f>
        <v/>
      </c>
      <c r="B53" s="28" t="str">
        <f>IF('US Transaction'!B53= "","",'US Transaction'!B53)</f>
        <v/>
      </c>
      <c r="C53" s="28" t="str">
        <f>IF('US Transaction'!C53= "","",IF(B53="BUY",'US Transaction'!C53,-'US Transaction'!C53))</f>
        <v/>
      </c>
      <c r="D53" s="28" t="str">
        <f>IF('US Transaction'!D53= "","",IF(B53="BUY",'US Transaction'!D53,-'US Transaction'!D53))</f>
        <v/>
      </c>
      <c r="E53" s="28" t="str">
        <f>IF('US Transaction'!E53= "","",'US Transaction'!E53)</f>
        <v/>
      </c>
      <c r="F53" s="23"/>
      <c r="G53" s="28" t="str">
        <f t="shared" si="1"/>
        <v/>
      </c>
      <c r="H53" s="28" t="str">
        <f>IF(A53="","",COUNTIF($G$2:G53,G53))</f>
        <v/>
      </c>
      <c r="I53" s="28" t="str">
        <f t="shared" si="2"/>
        <v/>
      </c>
      <c r="J53" s="28" t="str">
        <f>IF(G53="","",IF(COUNTIF($G$2:G53,G53)&gt;1,SUMIF($A$2:A53,G53,$C$2:C53),C53))</f>
        <v/>
      </c>
      <c r="K53" s="45" t="str">
        <f>IF(G53="","",IF(COUNTIF($G$2:G53,G53)&gt;1,SUMIF($A$2:A53,G53,$D$2:D53),D53) +SUMIF($G$2:G53,G53,$M$2:M53))</f>
        <v/>
      </c>
      <c r="L53" s="45" t="str">
        <f t="shared" si="3"/>
        <v/>
      </c>
      <c r="M53" s="46" t="str">
        <f>IF(G53="","",IF(B53 = "BUY", 0,(E53-VLOOKUP(CONCATENATE(G53,(H53-1)),$I$2:L52,4,FALSE))*-C53))</f>
        <v/>
      </c>
    </row>
    <row r="54" spans="1:19" ht="15" thickBot="1" x14ac:dyDescent="0.35">
      <c r="A54" s="28" t="str">
        <f>IF('US Transaction'!A54= "","",'US Transaction'!A54)</f>
        <v/>
      </c>
      <c r="B54" s="28" t="str">
        <f>IF('US Transaction'!B54= "","",'US Transaction'!B54)</f>
        <v/>
      </c>
      <c r="C54" s="28" t="str">
        <f>IF('US Transaction'!C54= "","",IF(B54="BUY",'US Transaction'!C54,-'US Transaction'!C54))</f>
        <v/>
      </c>
      <c r="D54" s="28" t="str">
        <f>IF('US Transaction'!D54= "","",IF(B54="BUY",'US Transaction'!D54,-'US Transaction'!D54))</f>
        <v/>
      </c>
      <c r="E54" s="28" t="str">
        <f>IF('US Transaction'!E54= "","",'US Transaction'!E54)</f>
        <v/>
      </c>
      <c r="F54" s="23"/>
      <c r="G54" s="28" t="str">
        <f t="shared" si="1"/>
        <v/>
      </c>
      <c r="H54" s="28" t="str">
        <f>IF(A54="","",COUNTIF($G$2:G54,G54))</f>
        <v/>
      </c>
      <c r="I54" s="28" t="str">
        <f t="shared" si="2"/>
        <v/>
      </c>
      <c r="J54" s="28" t="str">
        <f>IF(G54="","",IF(COUNTIF($G$2:G54,G54)&gt;1,SUMIF($A$2:A54,G54,$C$2:C54),C54))</f>
        <v/>
      </c>
      <c r="K54" s="45" t="str">
        <f>IF(G54="","",IF(COUNTIF($G$2:G54,G54)&gt;1,SUMIF($A$2:A54,G54,$D$2:D54),D54) +SUMIF($G$2:G54,G54,$M$2:M54))</f>
        <v/>
      </c>
      <c r="L54" s="45" t="str">
        <f t="shared" si="3"/>
        <v/>
      </c>
      <c r="M54" s="46" t="str">
        <f>IF(G54="","",IF(B54 = "BUY", 0,(E54-VLOOKUP(CONCATENATE(G54,(H54-1)),$I$2:L53,4,FALSE))*-C54))</f>
        <v/>
      </c>
    </row>
    <row r="55" spans="1:19" ht="15" thickBot="1" x14ac:dyDescent="0.35">
      <c r="A55" s="28" t="str">
        <f>IF('US Transaction'!A55= "","",'US Transaction'!A55)</f>
        <v/>
      </c>
      <c r="B55" s="28" t="str">
        <f>IF('US Transaction'!B55= "","",'US Transaction'!B55)</f>
        <v/>
      </c>
      <c r="C55" s="28" t="str">
        <f>IF('US Transaction'!C55= "","",IF(B55="BUY",'US Transaction'!C55,-'US Transaction'!C55))</f>
        <v/>
      </c>
      <c r="D55" s="28" t="str">
        <f>IF('US Transaction'!D55= "","",IF(B55="BUY",'US Transaction'!D55,-'US Transaction'!D55))</f>
        <v/>
      </c>
      <c r="E55" s="28" t="str">
        <f>IF('US Transaction'!E55= "","",'US Transaction'!E55)</f>
        <v/>
      </c>
      <c r="F55" s="23"/>
      <c r="G55" s="28" t="str">
        <f t="shared" si="1"/>
        <v/>
      </c>
      <c r="H55" s="28" t="str">
        <f>IF(A55="","",COUNTIF($G$2:G55,G55))</f>
        <v/>
      </c>
      <c r="I55" s="28" t="str">
        <f t="shared" si="2"/>
        <v/>
      </c>
      <c r="J55" s="28" t="str">
        <f>IF(G55="","",IF(COUNTIF($G$2:G55,G55)&gt;1,SUMIF($A$2:A55,G55,$C$2:C55),C55))</f>
        <v/>
      </c>
      <c r="K55" s="45" t="str">
        <f>IF(G55="","",IF(COUNTIF($G$2:G55,G55)&gt;1,SUMIF($A$2:A55,G55,$D$2:D55),D55) +SUMIF($G$2:G55,G55,$M$2:M55))</f>
        <v/>
      </c>
      <c r="L55" s="45" t="str">
        <f t="shared" si="3"/>
        <v/>
      </c>
      <c r="M55" s="46" t="str">
        <f>IF(G55="","",IF(B55 = "BUY", 0,(E55-VLOOKUP(CONCATENATE(G55,(H55-1)),$I$2:L54,4,FALSE))*-C55))</f>
        <v/>
      </c>
    </row>
    <row r="56" spans="1:19" ht="15" thickBot="1" x14ac:dyDescent="0.35">
      <c r="A56" s="28" t="str">
        <f>IF('US Transaction'!A56= "","",'US Transaction'!A56)</f>
        <v/>
      </c>
      <c r="B56" s="28" t="str">
        <f>IF('US Transaction'!B56= "","",'US Transaction'!B56)</f>
        <v/>
      </c>
      <c r="C56" s="28" t="str">
        <f>IF('US Transaction'!C56= "","",IF(B56="BUY",'US Transaction'!C56,-'US Transaction'!C56))</f>
        <v/>
      </c>
      <c r="D56" s="28" t="str">
        <f>IF('US Transaction'!D56= "","",IF(B56="BUY",'US Transaction'!D56,-'US Transaction'!D56))</f>
        <v/>
      </c>
      <c r="E56" s="28" t="str">
        <f>IF('US Transaction'!E56= "","",'US Transaction'!E56)</f>
        <v/>
      </c>
      <c r="F56" s="23"/>
      <c r="G56" s="28" t="str">
        <f t="shared" si="1"/>
        <v/>
      </c>
      <c r="H56" s="28" t="str">
        <f>IF(A56="","",COUNTIF($G$2:G56,G56))</f>
        <v/>
      </c>
      <c r="I56" s="28" t="str">
        <f t="shared" si="2"/>
        <v/>
      </c>
      <c r="J56" s="28" t="str">
        <f>IF(G56="","",IF(COUNTIF($G$2:G56,G56)&gt;1,SUMIF($A$2:A56,G56,$C$2:C56),C56))</f>
        <v/>
      </c>
      <c r="K56" s="45" t="str">
        <f>IF(G56="","",IF(COUNTIF($G$2:G56,G56)&gt;1,SUMIF($A$2:A56,G56,$D$2:D56),D56) +SUMIF($G$2:G56,G56,$M$2:M56))</f>
        <v/>
      </c>
      <c r="L56" s="45" t="str">
        <f t="shared" si="3"/>
        <v/>
      </c>
      <c r="M56" s="46" t="str">
        <f>IF(G56="","",IF(B56 = "BUY", 0,(E56-VLOOKUP(CONCATENATE(G56,(H56-1)),$I$2:L55,4,FALSE))*-C56))</f>
        <v/>
      </c>
    </row>
    <row r="57" spans="1:19" ht="15" thickBot="1" x14ac:dyDescent="0.35">
      <c r="A57" s="28" t="str">
        <f>IF('US Transaction'!A57= "","",'US Transaction'!A57)</f>
        <v/>
      </c>
      <c r="B57" s="28" t="str">
        <f>IF('US Transaction'!B57= "","",'US Transaction'!B57)</f>
        <v/>
      </c>
      <c r="C57" s="28" t="str">
        <f>IF('US Transaction'!C57= "","",IF(B57="BUY",'US Transaction'!C57,-'US Transaction'!C57))</f>
        <v/>
      </c>
      <c r="D57" s="28" t="str">
        <f>IF('US Transaction'!D57= "","",IF(B57="BUY",'US Transaction'!D57,-'US Transaction'!D57))</f>
        <v/>
      </c>
      <c r="E57" s="28" t="str">
        <f>IF('US Transaction'!E57= "","",'US Transaction'!E57)</f>
        <v/>
      </c>
      <c r="F57" s="23"/>
      <c r="G57" s="28" t="str">
        <f t="shared" si="1"/>
        <v/>
      </c>
      <c r="H57" s="28" t="str">
        <f>IF(A57="","",COUNTIF($G$2:G57,G57))</f>
        <v/>
      </c>
      <c r="I57" s="28" t="str">
        <f t="shared" si="2"/>
        <v/>
      </c>
      <c r="J57" s="28" t="str">
        <f>IF(G57="","",IF(COUNTIF($G$2:G57,G57)&gt;1,SUMIF($A$2:A57,G57,$C$2:C57),C57))</f>
        <v/>
      </c>
      <c r="K57" s="45" t="str">
        <f>IF(G57="","",IF(COUNTIF($G$2:G57,G57)&gt;1,SUMIF($A$2:A57,G57,$D$2:D57),D57) +SUMIF($G$2:G57,G57,$M$2:M57))</f>
        <v/>
      </c>
      <c r="L57" s="45" t="str">
        <f t="shared" si="3"/>
        <v/>
      </c>
      <c r="M57" s="46" t="str">
        <f>IF(G57="","",IF(B57 = "BUY", 0,(E57-VLOOKUP(CONCATENATE(G57,(H57-1)),$I$2:L56,4,FALSE))*-C57))</f>
        <v/>
      </c>
    </row>
    <row r="58" spans="1:19" ht="15" thickBot="1" x14ac:dyDescent="0.35">
      <c r="A58" s="28" t="str">
        <f>IF('US Transaction'!A58= "","",'US Transaction'!A58)</f>
        <v/>
      </c>
      <c r="B58" s="28" t="str">
        <f>IF('US Transaction'!B58= "","",'US Transaction'!B58)</f>
        <v/>
      </c>
      <c r="C58" s="28" t="str">
        <f>IF('US Transaction'!C58= "","",IF(B58="BUY",'US Transaction'!C58,-'US Transaction'!C58))</f>
        <v/>
      </c>
      <c r="D58" s="28" t="str">
        <f>IF('US Transaction'!D58= "","",IF(B58="BUY",'US Transaction'!D58,-'US Transaction'!D58))</f>
        <v/>
      </c>
      <c r="E58" s="28" t="str">
        <f>IF('US Transaction'!E58= "","",'US Transaction'!E58)</f>
        <v/>
      </c>
      <c r="F58" s="23"/>
      <c r="G58" s="28" t="str">
        <f t="shared" si="1"/>
        <v/>
      </c>
      <c r="H58" s="28" t="str">
        <f>IF(A58="","",COUNTIF($G$2:G58,G58))</f>
        <v/>
      </c>
      <c r="I58" s="28" t="str">
        <f t="shared" si="2"/>
        <v/>
      </c>
      <c r="J58" s="28" t="str">
        <f>IF(G58="","",IF(COUNTIF($G$2:G58,G58)&gt;1,SUMIF($A$2:A58,G58,$C$2:C58),C58))</f>
        <v/>
      </c>
      <c r="K58" s="45" t="str">
        <f>IF(G58="","",IF(COUNTIF($G$2:G58,G58)&gt;1,SUMIF($A$2:A58,G58,$D$2:D58),D58) +SUMIF($G$2:G58,G58,$M$2:M58))</f>
        <v/>
      </c>
      <c r="L58" s="45" t="str">
        <f t="shared" si="3"/>
        <v/>
      </c>
      <c r="M58" s="46" t="str">
        <f>IF(G58="","",IF(B58 = "BUY", 0,(E58-VLOOKUP(CONCATENATE(G58,(H58-1)),$I$2:L57,4,FALSE))*-C58))</f>
        <v/>
      </c>
    </row>
    <row r="59" spans="1:19" ht="15" thickBot="1" x14ac:dyDescent="0.35">
      <c r="A59" s="28" t="str">
        <f>IF('US Transaction'!A59= "","",'US Transaction'!A59)</f>
        <v/>
      </c>
      <c r="B59" s="28" t="str">
        <f>IF('US Transaction'!B59= "","",'US Transaction'!B59)</f>
        <v/>
      </c>
      <c r="C59" s="28" t="str">
        <f>IF('US Transaction'!C59= "","",IF(B59="BUY",'US Transaction'!C59,-'US Transaction'!C59))</f>
        <v/>
      </c>
      <c r="D59" s="28" t="str">
        <f>IF('US Transaction'!D59= "","",IF(B59="BUY",'US Transaction'!D59,-'US Transaction'!D59))</f>
        <v/>
      </c>
      <c r="E59" s="28" t="str">
        <f>IF('US Transaction'!E59= "","",'US Transaction'!E59)</f>
        <v/>
      </c>
      <c r="F59" s="23"/>
      <c r="G59" s="28" t="str">
        <f t="shared" si="1"/>
        <v/>
      </c>
      <c r="H59" s="28" t="str">
        <f>IF(A59="","",COUNTIF($G$2:G59,G59))</f>
        <v/>
      </c>
      <c r="I59" s="28" t="str">
        <f t="shared" si="2"/>
        <v/>
      </c>
      <c r="J59" s="28" t="str">
        <f>IF(G59="","",IF(COUNTIF($G$2:G59,G59)&gt;1,SUMIF($A$2:A59,G59,$C$2:C59),C59))</f>
        <v/>
      </c>
      <c r="K59" s="45" t="str">
        <f>IF(G59="","",IF(COUNTIF($G$2:G59,G59)&gt;1,SUMIF($A$2:A59,G59,$D$2:D59),D59) +SUMIF($G$2:G59,G59,$M$2:M59))</f>
        <v/>
      </c>
      <c r="L59" s="45" t="str">
        <f t="shared" si="3"/>
        <v/>
      </c>
      <c r="M59" s="46" t="str">
        <f>IF(G59="","",IF(B59 = "BUY", 0,(E59-VLOOKUP(CONCATENATE(G59,(H59-1)),$I$2:L58,4,FALSE))*-C59))</f>
        <v/>
      </c>
    </row>
    <row r="60" spans="1:19" ht="15" thickBot="1" x14ac:dyDescent="0.35">
      <c r="A60" s="28" t="str">
        <f>IF('US Transaction'!A60= "","",'US Transaction'!A60)</f>
        <v/>
      </c>
      <c r="B60" s="28" t="str">
        <f>IF('US Transaction'!B60= "","",'US Transaction'!B60)</f>
        <v/>
      </c>
      <c r="C60" s="28" t="str">
        <f>IF('US Transaction'!C60= "","",IF(B60="BUY",'US Transaction'!C60,-'US Transaction'!C60))</f>
        <v/>
      </c>
      <c r="D60" s="28" t="str">
        <f>IF('US Transaction'!D60= "","",IF(B60="BUY",'US Transaction'!D60,-'US Transaction'!D60))</f>
        <v/>
      </c>
      <c r="E60" s="28" t="str">
        <f>IF('US Transaction'!E60= "","",'US Transaction'!E60)</f>
        <v/>
      </c>
      <c r="F60" s="23"/>
      <c r="G60" s="28" t="str">
        <f t="shared" si="1"/>
        <v/>
      </c>
      <c r="H60" s="28" t="str">
        <f>IF(A60="","",COUNTIF($G$2:G60,G60))</f>
        <v/>
      </c>
      <c r="I60" s="28" t="str">
        <f t="shared" si="2"/>
        <v/>
      </c>
      <c r="J60" s="28" t="str">
        <f>IF(G60="","",IF(COUNTIF($G$2:G60,G60)&gt;1,SUMIF($A$2:A60,G60,$C$2:C60),C60))</f>
        <v/>
      </c>
      <c r="K60" s="45" t="str">
        <f>IF(G60="","",IF(COUNTIF($G$2:G60,G60)&gt;1,SUMIF($A$2:A60,G60,$D$2:D60),D60) +SUMIF($G$2:G60,G60,$M$2:M60))</f>
        <v/>
      </c>
      <c r="L60" s="45" t="str">
        <f t="shared" si="3"/>
        <v/>
      </c>
      <c r="M60" s="46" t="str">
        <f>IF(G60="","",IF(B60 = "BUY", 0,(E60-VLOOKUP(CONCATENATE(G60,(H60-1)),$I$2:L59,4,FALSE))*-C60))</f>
        <v/>
      </c>
    </row>
    <row r="61" spans="1:19" ht="15" thickBot="1" x14ac:dyDescent="0.35">
      <c r="A61" s="28" t="str">
        <f>IF('US Transaction'!A61= "","",'US Transaction'!A61)</f>
        <v/>
      </c>
      <c r="B61" s="28" t="str">
        <f>IF('US Transaction'!B61= "","",'US Transaction'!B61)</f>
        <v/>
      </c>
      <c r="C61" s="28" t="str">
        <f>IF('US Transaction'!C61= "","",IF(B61="BUY",'US Transaction'!C61,-'US Transaction'!C61))</f>
        <v/>
      </c>
      <c r="D61" s="28" t="str">
        <f>IF('US Transaction'!D61= "","",IF(B61="BUY",'US Transaction'!D61,-'US Transaction'!D61))</f>
        <v/>
      </c>
      <c r="E61" s="28" t="str">
        <f>IF('US Transaction'!E61= "","",'US Transaction'!E61)</f>
        <v/>
      </c>
      <c r="F61" s="23"/>
      <c r="G61" s="28" t="str">
        <f t="shared" si="1"/>
        <v/>
      </c>
      <c r="H61" s="28" t="str">
        <f>IF(A61="","",COUNTIF($G$2:G61,G61))</f>
        <v/>
      </c>
      <c r="I61" s="28" t="str">
        <f t="shared" si="2"/>
        <v/>
      </c>
      <c r="J61" s="28" t="str">
        <f>IF(G61="","",IF(COUNTIF($G$2:G61,G61)&gt;1,SUMIF($A$2:A61,G61,$C$2:C61),C61))</f>
        <v/>
      </c>
      <c r="K61" s="45" t="str">
        <f>IF(G61="","",IF(COUNTIF($G$2:G61,G61)&gt;1,SUMIF($A$2:A61,G61,$D$2:D61),D61) +SUMIF($G$2:G61,G61,$M$2:M61))</f>
        <v/>
      </c>
      <c r="L61" s="45" t="str">
        <f t="shared" si="3"/>
        <v/>
      </c>
      <c r="M61" s="46" t="str">
        <f>IF(G61="","",IF(B61 = "BUY", 0,(E61-VLOOKUP(CONCATENATE(G61,(H61-1)),$I$2:L60,4,FALSE))*-C61))</f>
        <v/>
      </c>
    </row>
    <row r="62" spans="1:19" ht="15" thickBot="1" x14ac:dyDescent="0.35">
      <c r="A62" s="28" t="str">
        <f>IF('US Transaction'!A62= "","",'US Transaction'!A62)</f>
        <v/>
      </c>
      <c r="B62" s="28" t="str">
        <f>IF('US Transaction'!B62= "","",'US Transaction'!B62)</f>
        <v/>
      </c>
      <c r="C62" s="28" t="str">
        <f>IF('US Transaction'!C62= "","",IF(B62="BUY",'US Transaction'!C62,-'US Transaction'!C62))</f>
        <v/>
      </c>
      <c r="D62" s="28" t="str">
        <f>IF('US Transaction'!D62= "","",IF(B62="BUY",'US Transaction'!D62,-'US Transaction'!D62))</f>
        <v/>
      </c>
      <c r="E62" s="28" t="str">
        <f>IF('US Transaction'!E62= "","",'US Transaction'!E62)</f>
        <v/>
      </c>
      <c r="F62" s="23"/>
      <c r="G62" s="28" t="str">
        <f t="shared" si="1"/>
        <v/>
      </c>
      <c r="H62" s="28" t="str">
        <f>IF(A62="","",COUNTIF($G$2:G62,G62))</f>
        <v/>
      </c>
      <c r="I62" s="28" t="str">
        <f t="shared" si="2"/>
        <v/>
      </c>
      <c r="J62" s="28" t="str">
        <f>IF(G62="","",IF(COUNTIF($G$2:G62,G62)&gt;1,SUMIF($A$2:A62,G62,$C$2:C62),C62))</f>
        <v/>
      </c>
      <c r="K62" s="45" t="str">
        <f>IF(G62="","",IF(COUNTIF($G$2:G62,G62)&gt;1,SUMIF($A$2:A62,G62,$D$2:D62),D62) +SUMIF($G$2:G62,G62,$M$2:M62))</f>
        <v/>
      </c>
      <c r="L62" s="45" t="str">
        <f t="shared" si="3"/>
        <v/>
      </c>
      <c r="M62" s="46" t="str">
        <f>IF(G62="","",IF(B62 = "BUY", 0,(E62-VLOOKUP(CONCATENATE(G62,(H62-1)),$I$2:L61,4,FALSE))*-C62))</f>
        <v/>
      </c>
    </row>
    <row r="63" spans="1:19" ht="15" thickBot="1" x14ac:dyDescent="0.35">
      <c r="A63" s="28" t="str">
        <f>IF('US Transaction'!A63= "","",'US Transaction'!A63)</f>
        <v/>
      </c>
      <c r="B63" s="28" t="str">
        <f>IF('US Transaction'!B63= "","",'US Transaction'!B63)</f>
        <v/>
      </c>
      <c r="C63" s="28" t="str">
        <f>IF('US Transaction'!C63= "","",IF(B63="BUY",'US Transaction'!C63,-'US Transaction'!C63))</f>
        <v/>
      </c>
      <c r="D63" s="28" t="str">
        <f>IF('US Transaction'!D63= "","",IF(B63="BUY",'US Transaction'!D63,-'US Transaction'!D63))</f>
        <v/>
      </c>
      <c r="E63" s="28" t="str">
        <f>IF('US Transaction'!E63= "","",'US Transaction'!E63)</f>
        <v/>
      </c>
      <c r="F63" s="23"/>
      <c r="G63" s="28" t="str">
        <f t="shared" si="1"/>
        <v/>
      </c>
      <c r="H63" s="28" t="str">
        <f>IF(A63="","",COUNTIF($G$2:G63,G63))</f>
        <v/>
      </c>
      <c r="I63" s="28" t="str">
        <f t="shared" si="2"/>
        <v/>
      </c>
      <c r="J63" s="28" t="str">
        <f>IF(G63="","",IF(COUNTIF($G$2:G63,G63)&gt;1,SUMIF($A$2:A63,G63,$C$2:C63),C63))</f>
        <v/>
      </c>
      <c r="K63" s="45" t="str">
        <f>IF(G63="","",IF(COUNTIF($G$2:G63,G63)&gt;1,SUMIF($A$2:A63,G63,$D$2:D63),D63) +SUMIF($G$2:G63,G63,$M$2:M63))</f>
        <v/>
      </c>
      <c r="L63" s="45" t="str">
        <f t="shared" si="3"/>
        <v/>
      </c>
      <c r="M63" s="46" t="str">
        <f>IF(G63="","",IF(B63 = "BUY", 0,(E63-VLOOKUP(CONCATENATE(G63,(H63-1)),$I$2:L62,4,FALSE))*-C63))</f>
        <v/>
      </c>
    </row>
    <row r="64" spans="1:19" ht="15" thickBot="1" x14ac:dyDescent="0.35">
      <c r="A64" s="28" t="str">
        <f>IF('US Transaction'!A64= "","",'US Transaction'!A64)</f>
        <v/>
      </c>
      <c r="B64" s="28" t="str">
        <f>IF('US Transaction'!B64= "","",'US Transaction'!B64)</f>
        <v/>
      </c>
      <c r="C64" s="28" t="str">
        <f>IF('US Transaction'!C64= "","",IF(B64="BUY",'US Transaction'!C64,-'US Transaction'!C64))</f>
        <v/>
      </c>
      <c r="D64" s="28" t="str">
        <f>IF('US Transaction'!D64= "","",IF(B64="BUY",'US Transaction'!D64,-'US Transaction'!D64))</f>
        <v/>
      </c>
      <c r="E64" s="28" t="str">
        <f>IF('US Transaction'!E64= "","",'US Transaction'!E64)</f>
        <v/>
      </c>
      <c r="F64" s="23"/>
      <c r="G64" s="28" t="str">
        <f t="shared" si="1"/>
        <v/>
      </c>
      <c r="H64" s="28" t="str">
        <f>IF(A64="","",COUNTIF($G$2:G64,G64))</f>
        <v/>
      </c>
      <c r="I64" s="28" t="str">
        <f t="shared" si="2"/>
        <v/>
      </c>
      <c r="J64" s="28" t="str">
        <f>IF(G64="","",IF(COUNTIF($G$2:G64,G64)&gt;1,SUMIF($A$2:A64,G64,$C$2:C64),C64))</f>
        <v/>
      </c>
      <c r="K64" s="45" t="str">
        <f>IF(G64="","",IF(COUNTIF($G$2:G64,G64)&gt;1,SUMIF($A$2:A64,G64,$D$2:D64),D64) +SUMIF($G$2:G64,G64,$M$2:M64))</f>
        <v/>
      </c>
      <c r="L64" s="45" t="str">
        <f t="shared" si="3"/>
        <v/>
      </c>
      <c r="M64" s="46" t="str">
        <f>IF(G64="","",IF(B64 = "BUY", 0,(E64-VLOOKUP(CONCATENATE(G64,(H64-1)),$I$2:L63,4,FALSE))*-C64))</f>
        <v/>
      </c>
    </row>
    <row r="65" spans="1:13" ht="15" thickBot="1" x14ac:dyDescent="0.35">
      <c r="A65" s="28" t="str">
        <f>IF('US Transaction'!A65= "","",'US Transaction'!A65)</f>
        <v/>
      </c>
      <c r="B65" s="28" t="str">
        <f>IF('US Transaction'!B65= "","",'US Transaction'!B65)</f>
        <v/>
      </c>
      <c r="C65" s="28" t="str">
        <f>IF('US Transaction'!C65= "","",IF(B65="BUY",'US Transaction'!C65,-'US Transaction'!C65))</f>
        <v/>
      </c>
      <c r="D65" s="28" t="str">
        <f>IF('US Transaction'!D65= "","",IF(B65="BUY",'US Transaction'!D65,-'US Transaction'!D65))</f>
        <v/>
      </c>
      <c r="E65" s="28" t="str">
        <f>IF('US Transaction'!E65= "","",'US Transaction'!E65)</f>
        <v/>
      </c>
      <c r="F65" s="23"/>
      <c r="G65" s="28" t="str">
        <f t="shared" si="1"/>
        <v/>
      </c>
      <c r="H65" s="28" t="str">
        <f>IF(A65="","",COUNTIF($G$2:G65,G65))</f>
        <v/>
      </c>
      <c r="I65" s="28" t="str">
        <f t="shared" si="2"/>
        <v/>
      </c>
      <c r="J65" s="28" t="str">
        <f>IF(G65="","",IF(COUNTIF($G$2:G65,G65)&gt;1,SUMIF($A$2:A65,G65,$C$2:C65),C65))</f>
        <v/>
      </c>
      <c r="K65" s="45" t="str">
        <f>IF(G65="","",IF(COUNTIF($G$2:G65,G65)&gt;1,SUMIF($A$2:A65,G65,$D$2:D65),D65) +SUMIF($G$2:G65,G65,$M$2:M65))</f>
        <v/>
      </c>
      <c r="L65" s="45" t="str">
        <f t="shared" si="3"/>
        <v/>
      </c>
      <c r="M65" s="46" t="str">
        <f>IF(G65="","",IF(B65 = "BUY", 0,(E65-VLOOKUP(CONCATENATE(G65,(H65-1)),$I$2:L64,4,FALSE))*-C65))</f>
        <v/>
      </c>
    </row>
    <row r="66" spans="1:13" ht="15" thickBot="1" x14ac:dyDescent="0.35">
      <c r="A66" s="28" t="str">
        <f>IF('US Transaction'!A66= "","",'US Transaction'!A66)</f>
        <v/>
      </c>
      <c r="B66" s="28" t="str">
        <f>IF('US Transaction'!B66= "","",'US Transaction'!B66)</f>
        <v/>
      </c>
      <c r="C66" s="28" t="str">
        <f>IF('US Transaction'!C66= "","",IF(B66="BUY",'US Transaction'!C66,-'US Transaction'!C66))</f>
        <v/>
      </c>
      <c r="D66" s="28" t="str">
        <f>IF('US Transaction'!D66= "","",IF(B66="BUY",'US Transaction'!D66,-'US Transaction'!D66))</f>
        <v/>
      </c>
      <c r="E66" s="28" t="str">
        <f>IF('US Transaction'!E66= "","",'US Transaction'!E66)</f>
        <v/>
      </c>
      <c r="F66" s="23"/>
      <c r="G66" s="28" t="str">
        <f t="shared" si="1"/>
        <v/>
      </c>
      <c r="H66" s="28" t="str">
        <f>IF(A66="","",COUNTIF($G$2:G66,G66))</f>
        <v/>
      </c>
      <c r="I66" s="28" t="str">
        <f t="shared" si="2"/>
        <v/>
      </c>
      <c r="J66" s="28" t="str">
        <f>IF(G66="","",IF(COUNTIF($G$2:G66,G66)&gt;1,SUMIF($A$2:A66,G66,$C$2:C66),C66))</f>
        <v/>
      </c>
      <c r="K66" s="45" t="str">
        <f>IF(G66="","",IF(COUNTIF($G$2:G66,G66)&gt;1,SUMIF($A$2:A66,G66,$D$2:D66),D66) +SUMIF($G$2:G66,G66,$M$2:M66))</f>
        <v/>
      </c>
      <c r="L66" s="45" t="str">
        <f t="shared" si="3"/>
        <v/>
      </c>
      <c r="M66" s="46" t="str">
        <f>IF(G66="","",IF(B66 = "BUY", 0,(E66-VLOOKUP(CONCATENATE(G66,(H66-1)),$I$2:L65,4,FALSE))*-C66))</f>
        <v/>
      </c>
    </row>
    <row r="67" spans="1:13" ht="15" thickBot="1" x14ac:dyDescent="0.35">
      <c r="A67" s="28" t="str">
        <f>IF('US Transaction'!A67= "","",'US Transaction'!A67)</f>
        <v/>
      </c>
      <c r="B67" s="28" t="str">
        <f>IF('US Transaction'!B67= "","",'US Transaction'!B67)</f>
        <v/>
      </c>
      <c r="C67" s="28" t="str">
        <f>IF('US Transaction'!C67= "","",IF(B67="BUY",'US Transaction'!C67,-'US Transaction'!C67))</f>
        <v/>
      </c>
      <c r="D67" s="28" t="str">
        <f>IF('US Transaction'!D67= "","",IF(B67="BUY",'US Transaction'!D67,-'US Transaction'!D67))</f>
        <v/>
      </c>
      <c r="E67" s="28" t="str">
        <f>IF('US Transaction'!E67= "","",'US Transaction'!E67)</f>
        <v/>
      </c>
      <c r="F67" s="23"/>
      <c r="G67" s="28" t="str">
        <f t="shared" ref="G67:G130" si="14">A67</f>
        <v/>
      </c>
      <c r="H67" s="28" t="str">
        <f>IF(A67="","",COUNTIF($G$2:G67,G67))</f>
        <v/>
      </c>
      <c r="I67" s="28" t="str">
        <f t="shared" ref="I67:I130" si="15">_xlfn.CONCAT(G67,H67)</f>
        <v/>
      </c>
      <c r="J67" s="28" t="str">
        <f>IF(G67="","",IF(COUNTIF($G$2:G67,G67)&gt;1,SUMIF($A$2:A67,G67,$C$2:C67),C67))</f>
        <v/>
      </c>
      <c r="K67" s="45" t="str">
        <f>IF(G67="","",IF(COUNTIF($G$2:G67,G67)&gt;1,SUMIF($A$2:A67,G67,$D$2:D67),D67) +SUMIF($G$2:G67,G67,$M$2:M67))</f>
        <v/>
      </c>
      <c r="L67" s="45" t="str">
        <f t="shared" ref="L67:L130" si="16">IF(G67="","",IFERROR(K67/J67,0))</f>
        <v/>
      </c>
      <c r="M67" s="46" t="str">
        <f>IF(G67="","",IF(B67 = "BUY", 0,(E67-VLOOKUP(CONCATENATE(G67,(H67-1)),$I$2:L66,4,FALSE))*-C67))</f>
        <v/>
      </c>
    </row>
    <row r="68" spans="1:13" ht="15" thickBot="1" x14ac:dyDescent="0.35">
      <c r="A68" s="28" t="str">
        <f>IF('US Transaction'!A68= "","",'US Transaction'!A68)</f>
        <v/>
      </c>
      <c r="B68" s="28" t="str">
        <f>IF('US Transaction'!B68= "","",'US Transaction'!B68)</f>
        <v/>
      </c>
      <c r="C68" s="28" t="str">
        <f>IF('US Transaction'!C68= "","",IF(B68="BUY",'US Transaction'!C68,-'US Transaction'!C68))</f>
        <v/>
      </c>
      <c r="D68" s="28" t="str">
        <f>IF('US Transaction'!D68= "","",IF(B68="BUY",'US Transaction'!D68,-'US Transaction'!D68))</f>
        <v/>
      </c>
      <c r="E68" s="28" t="str">
        <f>IF('US Transaction'!E68= "","",'US Transaction'!E68)</f>
        <v/>
      </c>
      <c r="F68" s="23"/>
      <c r="G68" s="28" t="str">
        <f t="shared" si="14"/>
        <v/>
      </c>
      <c r="H68" s="28" t="str">
        <f>IF(A68="","",COUNTIF($G$2:G68,G68))</f>
        <v/>
      </c>
      <c r="I68" s="28" t="str">
        <f t="shared" si="15"/>
        <v/>
      </c>
      <c r="J68" s="28" t="str">
        <f>IF(G68="","",IF(COUNTIF($G$2:G68,G68)&gt;1,SUMIF($A$2:A68,G68,$C$2:C68),C68))</f>
        <v/>
      </c>
      <c r="K68" s="45" t="str">
        <f>IF(G68="","",IF(COUNTIF($G$2:G68,G68)&gt;1,SUMIF($A$2:A68,G68,$D$2:D68),D68) +SUMIF($G$2:G68,G68,$M$2:M68))</f>
        <v/>
      </c>
      <c r="L68" s="45" t="str">
        <f t="shared" si="16"/>
        <v/>
      </c>
      <c r="M68" s="46" t="str">
        <f>IF(G68="","",IF(B68 = "BUY", 0,(E68-VLOOKUP(CONCATENATE(G68,(H68-1)),$I$2:L67,4,FALSE))*-C68))</f>
        <v/>
      </c>
    </row>
    <row r="69" spans="1:13" ht="15" thickBot="1" x14ac:dyDescent="0.35">
      <c r="A69" s="28" t="str">
        <f>IF('US Transaction'!A69= "","",'US Transaction'!A69)</f>
        <v/>
      </c>
      <c r="B69" s="28" t="str">
        <f>IF('US Transaction'!B69= "","",'US Transaction'!B69)</f>
        <v/>
      </c>
      <c r="C69" s="28" t="str">
        <f>IF('US Transaction'!C69= "","",IF(B69="BUY",'US Transaction'!C69,-'US Transaction'!C69))</f>
        <v/>
      </c>
      <c r="D69" s="28" t="str">
        <f>IF('US Transaction'!D69= "","",IF(B69="BUY",'US Transaction'!D69,-'US Transaction'!D69))</f>
        <v/>
      </c>
      <c r="E69" s="28" t="str">
        <f>IF('US Transaction'!E69= "","",'US Transaction'!E69)</f>
        <v/>
      </c>
      <c r="F69" s="23"/>
      <c r="G69" s="28" t="str">
        <f t="shared" si="14"/>
        <v/>
      </c>
      <c r="H69" s="28" t="str">
        <f>IF(A69="","",COUNTIF($G$2:G69,G69))</f>
        <v/>
      </c>
      <c r="I69" s="28" t="str">
        <f t="shared" si="15"/>
        <v/>
      </c>
      <c r="J69" s="28" t="str">
        <f>IF(G69="","",IF(COUNTIF($G$2:G69,G69)&gt;1,SUMIF($A$2:A69,G69,$C$2:C69),C69))</f>
        <v/>
      </c>
      <c r="K69" s="45" t="str">
        <f>IF(G69="","",IF(COUNTIF($G$2:G69,G69)&gt;1,SUMIF($A$2:A69,G69,$D$2:D69),D69) +SUMIF($G$2:G69,G69,$M$2:M69))</f>
        <v/>
      </c>
      <c r="L69" s="45" t="str">
        <f t="shared" si="16"/>
        <v/>
      </c>
      <c r="M69" s="46" t="str">
        <f>IF(G69="","",IF(B69 = "BUY", 0,(E69-VLOOKUP(CONCATENATE(G69,(H69-1)),$I$2:L68,4,FALSE))*-C69))</f>
        <v/>
      </c>
    </row>
    <row r="70" spans="1:13" ht="15" thickBot="1" x14ac:dyDescent="0.35">
      <c r="A70" s="28" t="str">
        <f>IF('US Transaction'!A70= "","",'US Transaction'!A70)</f>
        <v/>
      </c>
      <c r="B70" s="28" t="str">
        <f>IF('US Transaction'!B70= "","",'US Transaction'!B70)</f>
        <v/>
      </c>
      <c r="C70" s="28" t="str">
        <f>IF('US Transaction'!C70= "","",IF(B70="BUY",'US Transaction'!C70,-'US Transaction'!C70))</f>
        <v/>
      </c>
      <c r="D70" s="28" t="str">
        <f>IF('US Transaction'!D70= "","",IF(B70="BUY",'US Transaction'!D70,-'US Transaction'!D70))</f>
        <v/>
      </c>
      <c r="E70" s="28" t="str">
        <f>IF('US Transaction'!E70= "","",'US Transaction'!E70)</f>
        <v/>
      </c>
      <c r="F70" s="23"/>
      <c r="G70" s="28" t="str">
        <f t="shared" si="14"/>
        <v/>
      </c>
      <c r="H70" s="28" t="str">
        <f>IF(A70="","",COUNTIF($G$2:G70,G70))</f>
        <v/>
      </c>
      <c r="I70" s="28" t="str">
        <f t="shared" si="15"/>
        <v/>
      </c>
      <c r="J70" s="28" t="str">
        <f>IF(G70="","",IF(COUNTIF($G$2:G70,G70)&gt;1,SUMIF($A$2:A70,G70,$C$2:C70),C70))</f>
        <v/>
      </c>
      <c r="K70" s="45" t="str">
        <f>IF(G70="","",IF(COUNTIF($G$2:G70,G70)&gt;1,SUMIF($A$2:A70,G70,$D$2:D70),D70) +SUMIF($G$2:G70,G70,$M$2:M70))</f>
        <v/>
      </c>
      <c r="L70" s="45" t="str">
        <f t="shared" si="16"/>
        <v/>
      </c>
      <c r="M70" s="46" t="str">
        <f>IF(G70="","",IF(B70 = "BUY", 0,(E70-VLOOKUP(CONCATENATE(G70,(H70-1)),$I$2:L69,4,FALSE))*-C70))</f>
        <v/>
      </c>
    </row>
    <row r="71" spans="1:13" ht="15" thickBot="1" x14ac:dyDescent="0.35">
      <c r="A71" s="28" t="str">
        <f>IF('US Transaction'!A71= "","",'US Transaction'!A71)</f>
        <v/>
      </c>
      <c r="B71" s="28" t="str">
        <f>IF('US Transaction'!B71= "","",'US Transaction'!B71)</f>
        <v/>
      </c>
      <c r="C71" s="28" t="str">
        <f>IF('US Transaction'!C71= "","",IF(B71="BUY",'US Transaction'!C71,-'US Transaction'!C71))</f>
        <v/>
      </c>
      <c r="D71" s="28" t="str">
        <f>IF('US Transaction'!D71= "","",IF(B71="BUY",'US Transaction'!D71,-'US Transaction'!D71))</f>
        <v/>
      </c>
      <c r="E71" s="28" t="str">
        <f>IF('US Transaction'!E71= "","",'US Transaction'!E71)</f>
        <v/>
      </c>
      <c r="F71" s="23"/>
      <c r="G71" s="28" t="str">
        <f t="shared" si="14"/>
        <v/>
      </c>
      <c r="H71" s="28" t="str">
        <f>IF(A71="","",COUNTIF($G$2:G71,G71))</f>
        <v/>
      </c>
      <c r="I71" s="28" t="str">
        <f t="shared" si="15"/>
        <v/>
      </c>
      <c r="J71" s="28" t="str">
        <f>IF(G71="","",IF(COUNTIF($G$2:G71,G71)&gt;1,SUMIF($A$2:A71,G71,$C$2:C71),C71))</f>
        <v/>
      </c>
      <c r="K71" s="45" t="str">
        <f>IF(G71="","",IF(COUNTIF($G$2:G71,G71)&gt;1,SUMIF($A$2:A71,G71,$D$2:D71),D71) +SUMIF($G$2:G71,G71,$M$2:M71))</f>
        <v/>
      </c>
      <c r="L71" s="45" t="str">
        <f t="shared" si="16"/>
        <v/>
      </c>
      <c r="M71" s="46" t="str">
        <f>IF(G71="","",IF(B71 = "BUY", 0,(E71-VLOOKUP(CONCATENATE(G71,(H71-1)),$I$2:L70,4,FALSE))*-C71))</f>
        <v/>
      </c>
    </row>
    <row r="72" spans="1:13" ht="15" thickBot="1" x14ac:dyDescent="0.35">
      <c r="A72" s="28" t="str">
        <f>IF('US Transaction'!A72= "","",'US Transaction'!A72)</f>
        <v/>
      </c>
      <c r="B72" s="28" t="str">
        <f>IF('US Transaction'!B72= "","",'US Transaction'!B72)</f>
        <v/>
      </c>
      <c r="C72" s="28" t="str">
        <f>IF('US Transaction'!C72= "","",IF(B72="BUY",'US Transaction'!C72,-'US Transaction'!C72))</f>
        <v/>
      </c>
      <c r="D72" s="28" t="str">
        <f>IF('US Transaction'!D72= "","",IF(B72="BUY",'US Transaction'!D72,-'US Transaction'!D72))</f>
        <v/>
      </c>
      <c r="E72" s="28" t="str">
        <f>IF('US Transaction'!E72= "","",'US Transaction'!E72)</f>
        <v/>
      </c>
      <c r="F72" s="23"/>
      <c r="G72" s="28" t="str">
        <f t="shared" si="14"/>
        <v/>
      </c>
      <c r="H72" s="28" t="str">
        <f>IF(A72="","",COUNTIF($G$2:G72,G72))</f>
        <v/>
      </c>
      <c r="I72" s="28" t="str">
        <f t="shared" si="15"/>
        <v/>
      </c>
      <c r="J72" s="28" t="str">
        <f>IF(G72="","",IF(COUNTIF($G$2:G72,G72)&gt;1,SUMIF($A$2:A72,G72,$C$2:C72),C72))</f>
        <v/>
      </c>
      <c r="K72" s="45" t="str">
        <f>IF(G72="","",IF(COUNTIF($G$2:G72,G72)&gt;1,SUMIF($A$2:A72,G72,$D$2:D72),D72) +SUMIF($G$2:G72,G72,$M$2:M72))</f>
        <v/>
      </c>
      <c r="L72" s="45" t="str">
        <f t="shared" si="16"/>
        <v/>
      </c>
      <c r="M72" s="46" t="str">
        <f>IF(G72="","",IF(B72 = "BUY", 0,(E72-VLOOKUP(CONCATENATE(G72,(H72-1)),$I$2:L71,4,FALSE))*-C72))</f>
        <v/>
      </c>
    </row>
    <row r="73" spans="1:13" ht="15" thickBot="1" x14ac:dyDescent="0.35">
      <c r="A73" s="28" t="str">
        <f>IF('US Transaction'!A73= "","",'US Transaction'!A73)</f>
        <v/>
      </c>
      <c r="B73" s="28" t="str">
        <f>IF('US Transaction'!B73= "","",'US Transaction'!B73)</f>
        <v/>
      </c>
      <c r="C73" s="28" t="str">
        <f>IF('US Transaction'!C73= "","",IF(B73="BUY",'US Transaction'!C73,-'US Transaction'!C73))</f>
        <v/>
      </c>
      <c r="D73" s="28" t="str">
        <f>IF('US Transaction'!D73= "","",IF(B73="BUY",'US Transaction'!D73,-'US Transaction'!D73))</f>
        <v/>
      </c>
      <c r="E73" s="28" t="str">
        <f>IF('US Transaction'!E73= "","",'US Transaction'!E73)</f>
        <v/>
      </c>
      <c r="F73" s="23"/>
      <c r="G73" s="28" t="str">
        <f t="shared" si="14"/>
        <v/>
      </c>
      <c r="H73" s="28" t="str">
        <f>IF(A73="","",COUNTIF($G$2:G73,G73))</f>
        <v/>
      </c>
      <c r="I73" s="28" t="str">
        <f t="shared" si="15"/>
        <v/>
      </c>
      <c r="J73" s="28" t="str">
        <f>IF(G73="","",IF(COUNTIF($G$2:G73,G73)&gt;1,SUMIF($A$2:A73,G73,$C$2:C73),C73))</f>
        <v/>
      </c>
      <c r="K73" s="45" t="str">
        <f>IF(G73="","",IF(COUNTIF($G$2:G73,G73)&gt;1,SUMIF($A$2:A73,G73,$D$2:D73),D73) +SUMIF($G$2:G73,G73,$M$2:M73))</f>
        <v/>
      </c>
      <c r="L73" s="45" t="str">
        <f t="shared" si="16"/>
        <v/>
      </c>
      <c r="M73" s="46" t="str">
        <f>IF(G73="","",IF(B73 = "BUY", 0,(E73-VLOOKUP(CONCATENATE(G73,(H73-1)),$I$2:L72,4,FALSE))*-C73))</f>
        <v/>
      </c>
    </row>
    <row r="74" spans="1:13" ht="15" thickBot="1" x14ac:dyDescent="0.35">
      <c r="A74" s="28" t="str">
        <f>IF('US Transaction'!A74= "","",'US Transaction'!A74)</f>
        <v/>
      </c>
      <c r="B74" s="28" t="str">
        <f>IF('US Transaction'!B74= "","",'US Transaction'!B74)</f>
        <v/>
      </c>
      <c r="C74" s="28" t="str">
        <f>IF('US Transaction'!C74= "","",IF(B74="BUY",'US Transaction'!C74,-'US Transaction'!C74))</f>
        <v/>
      </c>
      <c r="D74" s="28" t="str">
        <f>IF('US Transaction'!D74= "","",IF(B74="BUY",'US Transaction'!D74,-'US Transaction'!D74))</f>
        <v/>
      </c>
      <c r="E74" s="28" t="str">
        <f>IF('US Transaction'!E74= "","",'US Transaction'!E74)</f>
        <v/>
      </c>
      <c r="F74" s="23"/>
      <c r="G74" s="28" t="str">
        <f t="shared" si="14"/>
        <v/>
      </c>
      <c r="H74" s="28" t="str">
        <f>IF(A74="","",COUNTIF($G$2:G74,G74))</f>
        <v/>
      </c>
      <c r="I74" s="28" t="str">
        <f t="shared" si="15"/>
        <v/>
      </c>
      <c r="J74" s="28" t="str">
        <f>IF(G74="","",IF(COUNTIF($G$2:G74,G74)&gt;1,SUMIF($A$2:A74,G74,$C$2:C74),C74))</f>
        <v/>
      </c>
      <c r="K74" s="45" t="str">
        <f>IF(G74="","",IF(COUNTIF($G$2:G74,G74)&gt;1,SUMIF($A$2:A74,G74,$D$2:D74),D74) +SUMIF($G$2:G74,G74,$M$2:M74))</f>
        <v/>
      </c>
      <c r="L74" s="45" t="str">
        <f t="shared" si="16"/>
        <v/>
      </c>
      <c r="M74" s="46" t="str">
        <f>IF(G74="","",IF(B74 = "BUY", 0,(E74-VLOOKUP(CONCATENATE(G74,(H74-1)),$I$2:L73,4,FALSE))*-C74))</f>
        <v/>
      </c>
    </row>
    <row r="75" spans="1:13" ht="15" thickBot="1" x14ac:dyDescent="0.35">
      <c r="A75" s="28" t="str">
        <f>IF('US Transaction'!A75= "","",'US Transaction'!A75)</f>
        <v/>
      </c>
      <c r="B75" s="28" t="str">
        <f>IF('US Transaction'!B75= "","",'US Transaction'!B75)</f>
        <v/>
      </c>
      <c r="C75" s="28" t="str">
        <f>IF('US Transaction'!C75= "","",IF(B75="BUY",'US Transaction'!C75,-'US Transaction'!C75))</f>
        <v/>
      </c>
      <c r="D75" s="28" t="str">
        <f>IF('US Transaction'!D75= "","",IF(B75="BUY",'US Transaction'!D75,-'US Transaction'!D75))</f>
        <v/>
      </c>
      <c r="E75" s="28" t="str">
        <f>IF('US Transaction'!E75= "","",'US Transaction'!E75)</f>
        <v/>
      </c>
      <c r="F75" s="23"/>
      <c r="G75" s="28" t="str">
        <f t="shared" si="14"/>
        <v/>
      </c>
      <c r="H75" s="28" t="str">
        <f>IF(A75="","",COUNTIF($G$2:G75,G75))</f>
        <v/>
      </c>
      <c r="I75" s="28" t="str">
        <f t="shared" si="15"/>
        <v/>
      </c>
      <c r="J75" s="28" t="str">
        <f>IF(G75="","",IF(COUNTIF($G$2:G75,G75)&gt;1,SUMIF($A$2:A75,G75,$C$2:C75),C75))</f>
        <v/>
      </c>
      <c r="K75" s="45" t="str">
        <f>IF(G75="","",IF(COUNTIF($G$2:G75,G75)&gt;1,SUMIF($A$2:A75,G75,$D$2:D75),D75) +SUMIF($G$2:G75,G75,$M$2:M75))</f>
        <v/>
      </c>
      <c r="L75" s="45" t="str">
        <f t="shared" si="16"/>
        <v/>
      </c>
      <c r="M75" s="46" t="str">
        <f>IF(G75="","",IF(B75 = "BUY", 0,(E75-VLOOKUP(CONCATENATE(G75,(H75-1)),$I$2:L74,4,FALSE))*-C75))</f>
        <v/>
      </c>
    </row>
    <row r="76" spans="1:13" ht="15" thickBot="1" x14ac:dyDescent="0.35">
      <c r="A76" s="28" t="str">
        <f>IF('US Transaction'!A76= "","",'US Transaction'!A76)</f>
        <v/>
      </c>
      <c r="B76" s="28" t="str">
        <f>IF('US Transaction'!B76= "","",'US Transaction'!B76)</f>
        <v/>
      </c>
      <c r="C76" s="28" t="str">
        <f>IF('US Transaction'!C76= "","",IF(B76="BUY",'US Transaction'!C76,-'US Transaction'!C76))</f>
        <v/>
      </c>
      <c r="D76" s="28" t="str">
        <f>IF('US Transaction'!D76= "","",IF(B76="BUY",'US Transaction'!D76,-'US Transaction'!D76))</f>
        <v/>
      </c>
      <c r="E76" s="28" t="str">
        <f>IF('US Transaction'!E76= "","",'US Transaction'!E76)</f>
        <v/>
      </c>
      <c r="F76" s="23"/>
      <c r="G76" s="28" t="str">
        <f t="shared" si="14"/>
        <v/>
      </c>
      <c r="H76" s="28" t="str">
        <f>IF(A76="","",COUNTIF($G$2:G76,G76))</f>
        <v/>
      </c>
      <c r="I76" s="28" t="str">
        <f t="shared" si="15"/>
        <v/>
      </c>
      <c r="J76" s="28" t="str">
        <f>IF(G76="","",IF(COUNTIF($G$2:G76,G76)&gt;1,SUMIF($A$2:A76,G76,$C$2:C76),C76))</f>
        <v/>
      </c>
      <c r="K76" s="45" t="str">
        <f>IF(G76="","",IF(COUNTIF($G$2:G76,G76)&gt;1,SUMIF($A$2:A76,G76,$D$2:D76),D76) +SUMIF($G$2:G76,G76,$M$2:M76))</f>
        <v/>
      </c>
      <c r="L76" s="45" t="str">
        <f t="shared" si="16"/>
        <v/>
      </c>
      <c r="M76" s="46" t="str">
        <f>IF(G76="","",IF(B76 = "BUY", 0,(E76-VLOOKUP(CONCATENATE(G76,(H76-1)),$I$2:L75,4,FALSE))*-C76))</f>
        <v/>
      </c>
    </row>
    <row r="77" spans="1:13" ht="15" thickBot="1" x14ac:dyDescent="0.35">
      <c r="A77" s="28" t="str">
        <f>IF('US Transaction'!A77= "","",'US Transaction'!A77)</f>
        <v/>
      </c>
      <c r="B77" s="28" t="str">
        <f>IF('US Transaction'!B77= "","",'US Transaction'!B77)</f>
        <v/>
      </c>
      <c r="C77" s="28" t="str">
        <f>IF('US Transaction'!C77= "","",IF(B77="BUY",'US Transaction'!C77,-'US Transaction'!C77))</f>
        <v/>
      </c>
      <c r="D77" s="28" t="str">
        <f>IF('US Transaction'!D77= "","",IF(B77="BUY",'US Transaction'!D77,-'US Transaction'!D77))</f>
        <v/>
      </c>
      <c r="E77" s="28" t="str">
        <f>IF('US Transaction'!E77= "","",'US Transaction'!E77)</f>
        <v/>
      </c>
      <c r="F77" s="23"/>
      <c r="G77" s="28" t="str">
        <f t="shared" si="14"/>
        <v/>
      </c>
      <c r="H77" s="28" t="str">
        <f>IF(A77="","",COUNTIF($G$2:G77,G77))</f>
        <v/>
      </c>
      <c r="I77" s="28" t="str">
        <f t="shared" si="15"/>
        <v/>
      </c>
      <c r="J77" s="28" t="str">
        <f>IF(G77="","",IF(COUNTIF($G$2:G77,G77)&gt;1,SUMIF($A$2:A77,G77,$C$2:C77),C77))</f>
        <v/>
      </c>
      <c r="K77" s="45" t="str">
        <f>IF(G77="","",IF(COUNTIF($G$2:G77,G77)&gt;1,SUMIF($A$2:A77,G77,$D$2:D77),D77) +SUMIF($G$2:G77,G77,$M$2:M77))</f>
        <v/>
      </c>
      <c r="L77" s="45" t="str">
        <f t="shared" si="16"/>
        <v/>
      </c>
      <c r="M77" s="46" t="str">
        <f>IF(G77="","",IF(B77 = "BUY", 0,(E77-VLOOKUP(CONCATENATE(G77,(H77-1)),$I$2:L76,4,FALSE))*-C77))</f>
        <v/>
      </c>
    </row>
    <row r="78" spans="1:13" ht="15" thickBot="1" x14ac:dyDescent="0.35">
      <c r="A78" s="28" t="str">
        <f>IF('US Transaction'!A78= "","",'US Transaction'!A78)</f>
        <v/>
      </c>
      <c r="B78" s="28" t="str">
        <f>IF('US Transaction'!B78= "","",'US Transaction'!B78)</f>
        <v/>
      </c>
      <c r="C78" s="28" t="str">
        <f>IF('US Transaction'!C78= "","",IF(B78="BUY",'US Transaction'!C78,-'US Transaction'!C78))</f>
        <v/>
      </c>
      <c r="D78" s="28" t="str">
        <f>IF('US Transaction'!D78= "","",IF(B78="BUY",'US Transaction'!D78,-'US Transaction'!D78))</f>
        <v/>
      </c>
      <c r="E78" s="28" t="str">
        <f>IF('US Transaction'!E78= "","",'US Transaction'!E78)</f>
        <v/>
      </c>
      <c r="F78" s="23"/>
      <c r="G78" s="28" t="str">
        <f t="shared" si="14"/>
        <v/>
      </c>
      <c r="H78" s="28" t="str">
        <f>IF(A78="","",COUNTIF($G$2:G78,G78))</f>
        <v/>
      </c>
      <c r="I78" s="28" t="str">
        <f t="shared" si="15"/>
        <v/>
      </c>
      <c r="J78" s="28" t="str">
        <f>IF(G78="","",IF(COUNTIF($G$2:G78,G78)&gt;1,SUMIF($A$2:A78,G78,$C$2:C78),C78))</f>
        <v/>
      </c>
      <c r="K78" s="45" t="str">
        <f>IF(G78="","",IF(COUNTIF($G$2:G78,G78)&gt;1,SUMIF($A$2:A78,G78,$D$2:D78),D78) +SUMIF($G$2:G78,G78,$M$2:M78))</f>
        <v/>
      </c>
      <c r="L78" s="45" t="str">
        <f t="shared" si="16"/>
        <v/>
      </c>
      <c r="M78" s="46" t="str">
        <f>IF(G78="","",IF(B78 = "BUY", 0,(E78-VLOOKUP(CONCATENATE(G78,(H78-1)),$I$2:L77,4,FALSE))*-C78))</f>
        <v/>
      </c>
    </row>
    <row r="79" spans="1:13" ht="15" thickBot="1" x14ac:dyDescent="0.35">
      <c r="A79" s="28" t="str">
        <f>IF('US Transaction'!A79= "","",'US Transaction'!A79)</f>
        <v/>
      </c>
      <c r="B79" s="28" t="str">
        <f>IF('US Transaction'!B79= "","",'US Transaction'!B79)</f>
        <v/>
      </c>
      <c r="C79" s="28" t="str">
        <f>IF('US Transaction'!C79= "","",IF(B79="BUY",'US Transaction'!C79,-'US Transaction'!C79))</f>
        <v/>
      </c>
      <c r="D79" s="28" t="str">
        <f>IF('US Transaction'!D79= "","",IF(B79="BUY",'US Transaction'!D79,-'US Transaction'!D79))</f>
        <v/>
      </c>
      <c r="E79" s="28" t="str">
        <f>IF('US Transaction'!E79= "","",'US Transaction'!E79)</f>
        <v/>
      </c>
      <c r="F79" s="23"/>
      <c r="G79" s="28" t="str">
        <f t="shared" si="14"/>
        <v/>
      </c>
      <c r="H79" s="28" t="str">
        <f>IF(A79="","",COUNTIF($G$2:G79,G79))</f>
        <v/>
      </c>
      <c r="I79" s="28" t="str">
        <f t="shared" si="15"/>
        <v/>
      </c>
      <c r="J79" s="28" t="str">
        <f>IF(G79="","",IF(COUNTIF($G$2:G79,G79)&gt;1,SUMIF($A$2:A79,G79,$C$2:C79),C79))</f>
        <v/>
      </c>
      <c r="K79" s="45" t="str">
        <f>IF(G79="","",IF(COUNTIF($G$2:G79,G79)&gt;1,SUMIF($A$2:A79,G79,$D$2:D79),D79) +SUMIF($G$2:G79,G79,$M$2:M79))</f>
        <v/>
      </c>
      <c r="L79" s="45" t="str">
        <f t="shared" si="16"/>
        <v/>
      </c>
      <c r="M79" s="46" t="str">
        <f>IF(G79="","",IF(B79 = "BUY", 0,(E79-VLOOKUP(CONCATENATE(G79,(H79-1)),$I$2:L78,4,FALSE))*-C79))</f>
        <v/>
      </c>
    </row>
    <row r="80" spans="1:13" ht="15" thickBot="1" x14ac:dyDescent="0.35">
      <c r="A80" s="28" t="str">
        <f>IF('US Transaction'!A80= "","",'US Transaction'!A80)</f>
        <v/>
      </c>
      <c r="B80" s="28" t="str">
        <f>IF('US Transaction'!B80= "","",'US Transaction'!B80)</f>
        <v/>
      </c>
      <c r="C80" s="28" t="str">
        <f>IF('US Transaction'!C80= "","",IF(B80="BUY",'US Transaction'!C80,-'US Transaction'!C80))</f>
        <v/>
      </c>
      <c r="D80" s="28" t="str">
        <f>IF('US Transaction'!D80= "","",IF(B80="BUY",'US Transaction'!D80,-'US Transaction'!D80))</f>
        <v/>
      </c>
      <c r="E80" s="28" t="str">
        <f>IF('US Transaction'!E80= "","",'US Transaction'!E80)</f>
        <v/>
      </c>
      <c r="F80" s="23"/>
      <c r="G80" s="28" t="str">
        <f t="shared" si="14"/>
        <v/>
      </c>
      <c r="H80" s="28" t="str">
        <f>IF(A80="","",COUNTIF($G$2:G80,G80))</f>
        <v/>
      </c>
      <c r="I80" s="28" t="str">
        <f t="shared" si="15"/>
        <v/>
      </c>
      <c r="J80" s="28" t="str">
        <f>IF(G80="","",IF(COUNTIF($G$2:G80,G80)&gt;1,SUMIF($A$2:A80,G80,$C$2:C80),C80))</f>
        <v/>
      </c>
      <c r="K80" s="45" t="str">
        <f>IF(G80="","",IF(COUNTIF($G$2:G80,G80)&gt;1,SUMIF($A$2:A80,G80,$D$2:D80),D80) +SUMIF($G$2:G80,G80,$M$2:M80))</f>
        <v/>
      </c>
      <c r="L80" s="45" t="str">
        <f t="shared" si="16"/>
        <v/>
      </c>
      <c r="M80" s="46" t="str">
        <f>IF(G80="","",IF(B80 = "BUY", 0,(E80-VLOOKUP(CONCATENATE(G80,(H80-1)),$I$2:L79,4,FALSE))*-C80))</f>
        <v/>
      </c>
    </row>
    <row r="81" spans="1:13" ht="15" thickBot="1" x14ac:dyDescent="0.35">
      <c r="A81" s="28" t="str">
        <f>IF('US Transaction'!A81= "","",'US Transaction'!A81)</f>
        <v/>
      </c>
      <c r="B81" s="28" t="str">
        <f>IF('US Transaction'!B81= "","",'US Transaction'!B81)</f>
        <v/>
      </c>
      <c r="C81" s="28" t="str">
        <f>IF('US Transaction'!C81= "","",IF(B81="BUY",'US Transaction'!C81,-'US Transaction'!C81))</f>
        <v/>
      </c>
      <c r="D81" s="28" t="str">
        <f>IF('US Transaction'!D81= "","",IF(B81="BUY",'US Transaction'!D81,-'US Transaction'!D81))</f>
        <v/>
      </c>
      <c r="E81" s="28" t="str">
        <f>IF('US Transaction'!E81= "","",'US Transaction'!E81)</f>
        <v/>
      </c>
      <c r="F81" s="23"/>
      <c r="G81" s="28" t="str">
        <f t="shared" si="14"/>
        <v/>
      </c>
      <c r="H81" s="28" t="str">
        <f>IF(A81="","",COUNTIF($G$2:G81,G81))</f>
        <v/>
      </c>
      <c r="I81" s="28" t="str">
        <f t="shared" si="15"/>
        <v/>
      </c>
      <c r="J81" s="28" t="str">
        <f>IF(G81="","",IF(COUNTIF($G$2:G81,G81)&gt;1,SUMIF($A$2:A81,G81,$C$2:C81),C81))</f>
        <v/>
      </c>
      <c r="K81" s="45" t="str">
        <f>IF(G81="","",IF(COUNTIF($G$2:G81,G81)&gt;1,SUMIF($A$2:A81,G81,$D$2:D81),D81) +SUMIF($G$2:G81,G81,$M$2:M81))</f>
        <v/>
      </c>
      <c r="L81" s="45" t="str">
        <f t="shared" si="16"/>
        <v/>
      </c>
      <c r="M81" s="46" t="str">
        <f>IF(G81="","",IF(B81 = "BUY", 0,(E81-VLOOKUP(CONCATENATE(G81,(H81-1)),$I$2:L80,4,FALSE))*-C81))</f>
        <v/>
      </c>
    </row>
    <row r="82" spans="1:13" ht="15" thickBot="1" x14ac:dyDescent="0.35">
      <c r="A82" s="28" t="str">
        <f>IF('US Transaction'!A82= "","",'US Transaction'!A82)</f>
        <v/>
      </c>
      <c r="B82" s="28" t="str">
        <f>IF('US Transaction'!B82= "","",'US Transaction'!B82)</f>
        <v/>
      </c>
      <c r="C82" s="28" t="str">
        <f>IF('US Transaction'!C82= "","",IF(B82="BUY",'US Transaction'!C82,-'US Transaction'!C82))</f>
        <v/>
      </c>
      <c r="D82" s="28" t="str">
        <f>IF('US Transaction'!D82= "","",IF(B82="BUY",'US Transaction'!D82,-'US Transaction'!D82))</f>
        <v/>
      </c>
      <c r="E82" s="28" t="str">
        <f>IF('US Transaction'!E82= "","",'US Transaction'!E82)</f>
        <v/>
      </c>
      <c r="F82" s="23"/>
      <c r="G82" s="28" t="str">
        <f t="shared" si="14"/>
        <v/>
      </c>
      <c r="H82" s="28" t="str">
        <f>IF(A82="","",COUNTIF($G$2:G82,G82))</f>
        <v/>
      </c>
      <c r="I82" s="28" t="str">
        <f t="shared" si="15"/>
        <v/>
      </c>
      <c r="J82" s="28" t="str">
        <f>IF(G82="","",IF(COUNTIF($G$2:G82,G82)&gt;1,SUMIF($A$2:A82,G82,$C$2:C82),C82))</f>
        <v/>
      </c>
      <c r="K82" s="45" t="str">
        <f>IF(G82="","",IF(COUNTIF($G$2:G82,G82)&gt;1,SUMIF($A$2:A82,G82,$D$2:D82),D82) +SUMIF($G$2:G82,G82,$M$2:M82))</f>
        <v/>
      </c>
      <c r="L82" s="45" t="str">
        <f t="shared" si="16"/>
        <v/>
      </c>
      <c r="M82" s="46" t="str">
        <f>IF(G82="","",IF(B82 = "BUY", 0,(E82-VLOOKUP(CONCATENATE(G82,(H82-1)),$I$2:L81,4,FALSE))*-C82))</f>
        <v/>
      </c>
    </row>
    <row r="83" spans="1:13" ht="15" thickBot="1" x14ac:dyDescent="0.35">
      <c r="A83" s="28" t="str">
        <f>IF('US Transaction'!A83= "","",'US Transaction'!A83)</f>
        <v/>
      </c>
      <c r="B83" s="28" t="str">
        <f>IF('US Transaction'!B83= "","",'US Transaction'!B83)</f>
        <v/>
      </c>
      <c r="C83" s="28" t="str">
        <f>IF('US Transaction'!C83= "","",IF(B83="BUY",'US Transaction'!C83,-'US Transaction'!C83))</f>
        <v/>
      </c>
      <c r="D83" s="28" t="str">
        <f>IF('US Transaction'!D83= "","",IF(B83="BUY",'US Transaction'!D83,-'US Transaction'!D83))</f>
        <v/>
      </c>
      <c r="E83" s="28" t="str">
        <f>IF('US Transaction'!E83= "","",'US Transaction'!E83)</f>
        <v/>
      </c>
      <c r="F83" s="23"/>
      <c r="G83" s="28" t="str">
        <f t="shared" si="14"/>
        <v/>
      </c>
      <c r="H83" s="28" t="str">
        <f>IF(A83="","",COUNTIF($G$2:G83,G83))</f>
        <v/>
      </c>
      <c r="I83" s="28" t="str">
        <f t="shared" si="15"/>
        <v/>
      </c>
      <c r="J83" s="28" t="str">
        <f>IF(G83="","",IF(COUNTIF($G$2:G83,G83)&gt;1,SUMIF($A$2:A83,G83,$C$2:C83),C83))</f>
        <v/>
      </c>
      <c r="K83" s="45" t="str">
        <f>IF(G83="","",IF(COUNTIF($G$2:G83,G83)&gt;1,SUMIF($A$2:A83,G83,$D$2:D83),D83) +SUMIF($G$2:G83,G83,$M$2:M83))</f>
        <v/>
      </c>
      <c r="L83" s="45" t="str">
        <f t="shared" si="16"/>
        <v/>
      </c>
      <c r="M83" s="46" t="str">
        <f>IF(G83="","",IF(B83 = "BUY", 0,(E83-VLOOKUP(CONCATENATE(G83,(H83-1)),$I$2:L82,4,FALSE))*-C83))</f>
        <v/>
      </c>
    </row>
    <row r="84" spans="1:13" ht="15" thickBot="1" x14ac:dyDescent="0.35">
      <c r="A84" s="28" t="str">
        <f>IF('US Transaction'!A84= "","",'US Transaction'!A84)</f>
        <v/>
      </c>
      <c r="B84" s="28" t="str">
        <f>IF('US Transaction'!B84= "","",'US Transaction'!B84)</f>
        <v/>
      </c>
      <c r="C84" s="28" t="str">
        <f>IF('US Transaction'!C84= "","",IF(B84="BUY",'US Transaction'!C84,-'US Transaction'!C84))</f>
        <v/>
      </c>
      <c r="D84" s="28" t="str">
        <f>IF('US Transaction'!D84= "","",IF(B84="BUY",'US Transaction'!D84,-'US Transaction'!D84))</f>
        <v/>
      </c>
      <c r="E84" s="28" t="str">
        <f>IF('US Transaction'!E84= "","",'US Transaction'!E84)</f>
        <v/>
      </c>
      <c r="F84" s="23"/>
      <c r="G84" s="28" t="str">
        <f t="shared" si="14"/>
        <v/>
      </c>
      <c r="H84" s="28" t="str">
        <f>IF(A84="","",COUNTIF($G$2:G84,G84))</f>
        <v/>
      </c>
      <c r="I84" s="28" t="str">
        <f t="shared" si="15"/>
        <v/>
      </c>
      <c r="J84" s="28" t="str">
        <f>IF(G84="","",IF(COUNTIF($G$2:G84,G84)&gt;1,SUMIF($A$2:A84,G84,$C$2:C84),C84))</f>
        <v/>
      </c>
      <c r="K84" s="45" t="str">
        <f>IF(G84="","",IF(COUNTIF($G$2:G84,G84)&gt;1,SUMIF($A$2:A84,G84,$D$2:D84),D84) +SUMIF($G$2:G84,G84,$M$2:M84))</f>
        <v/>
      </c>
      <c r="L84" s="45" t="str">
        <f t="shared" si="16"/>
        <v/>
      </c>
      <c r="M84" s="46" t="str">
        <f>IF(G84="","",IF(B84 = "BUY", 0,(E84-VLOOKUP(CONCATENATE(G84,(H84-1)),$I$2:L83,4,FALSE))*-C84))</f>
        <v/>
      </c>
    </row>
    <row r="85" spans="1:13" ht="15" thickBot="1" x14ac:dyDescent="0.35">
      <c r="A85" s="28" t="str">
        <f>IF('US Transaction'!A85= "","",'US Transaction'!A85)</f>
        <v/>
      </c>
      <c r="B85" s="28" t="str">
        <f>IF('US Transaction'!B85= "","",'US Transaction'!B85)</f>
        <v/>
      </c>
      <c r="C85" s="28" t="str">
        <f>IF('US Transaction'!C85= "","",IF(B85="BUY",'US Transaction'!C85,-'US Transaction'!C85))</f>
        <v/>
      </c>
      <c r="D85" s="28" t="str">
        <f>IF('US Transaction'!D85= "","",IF(B85="BUY",'US Transaction'!D85,-'US Transaction'!D85))</f>
        <v/>
      </c>
      <c r="E85" s="28" t="str">
        <f>IF('US Transaction'!E85= "","",'US Transaction'!E85)</f>
        <v/>
      </c>
      <c r="F85" s="23"/>
      <c r="G85" s="28" t="str">
        <f t="shared" si="14"/>
        <v/>
      </c>
      <c r="H85" s="28" t="str">
        <f>IF(A85="","",COUNTIF($G$2:G85,G85))</f>
        <v/>
      </c>
      <c r="I85" s="28" t="str">
        <f t="shared" si="15"/>
        <v/>
      </c>
      <c r="J85" s="28" t="str">
        <f>IF(G85="","",IF(COUNTIF($G$2:G85,G85)&gt;1,SUMIF($A$2:A85,G85,$C$2:C85),C85))</f>
        <v/>
      </c>
      <c r="K85" s="45" t="str">
        <f>IF(G85="","",IF(COUNTIF($G$2:G85,G85)&gt;1,SUMIF($A$2:A85,G85,$D$2:D85),D85) +SUMIF($G$2:G85,G85,$M$2:M85))</f>
        <v/>
      </c>
      <c r="L85" s="45" t="str">
        <f t="shared" si="16"/>
        <v/>
      </c>
      <c r="M85" s="46" t="str">
        <f>IF(G85="","",IF(B85 = "BUY", 0,(E85-VLOOKUP(CONCATENATE(G85,(H85-1)),$I$2:L84,4,FALSE))*-C85))</f>
        <v/>
      </c>
    </row>
    <row r="86" spans="1:13" ht="15" thickBot="1" x14ac:dyDescent="0.35">
      <c r="A86" s="28" t="str">
        <f>IF('US Transaction'!A86= "","",'US Transaction'!A86)</f>
        <v/>
      </c>
      <c r="B86" s="28" t="str">
        <f>IF('US Transaction'!B86= "","",'US Transaction'!B86)</f>
        <v/>
      </c>
      <c r="C86" s="28" t="str">
        <f>IF('US Transaction'!C86= "","",IF(B86="BUY",'US Transaction'!C86,-'US Transaction'!C86))</f>
        <v/>
      </c>
      <c r="D86" s="28" t="str">
        <f>IF('US Transaction'!D86= "","",IF(B86="BUY",'US Transaction'!D86,-'US Transaction'!D86))</f>
        <v/>
      </c>
      <c r="E86" s="28" t="str">
        <f>IF('US Transaction'!E86= "","",'US Transaction'!E86)</f>
        <v/>
      </c>
      <c r="F86" s="23"/>
      <c r="G86" s="28" t="str">
        <f t="shared" si="14"/>
        <v/>
      </c>
      <c r="H86" s="28" t="str">
        <f>IF(A86="","",COUNTIF($G$2:G86,G86))</f>
        <v/>
      </c>
      <c r="I86" s="28" t="str">
        <f t="shared" si="15"/>
        <v/>
      </c>
      <c r="J86" s="28" t="str">
        <f>IF(G86="","",IF(COUNTIF($G$2:G86,G86)&gt;1,SUMIF($A$2:A86,G86,$C$2:C86),C86))</f>
        <v/>
      </c>
      <c r="K86" s="45" t="str">
        <f>IF(G86="","",IF(COUNTIF($G$2:G86,G86)&gt;1,SUMIF($A$2:A86,G86,$D$2:D86),D86) +SUMIF($G$2:G86,G86,$M$2:M86))</f>
        <v/>
      </c>
      <c r="L86" s="45" t="str">
        <f t="shared" si="16"/>
        <v/>
      </c>
      <c r="M86" s="46" t="str">
        <f>IF(G86="","",IF(B86 = "BUY", 0,(E86-VLOOKUP(CONCATENATE(G86,(H86-1)),$I$2:L85,4,FALSE))*-C86))</f>
        <v/>
      </c>
    </row>
    <row r="87" spans="1:13" ht="15" thickBot="1" x14ac:dyDescent="0.35">
      <c r="A87" s="28" t="str">
        <f>IF('US Transaction'!A87= "","",'US Transaction'!A87)</f>
        <v/>
      </c>
      <c r="B87" s="28" t="str">
        <f>IF('US Transaction'!B87= "","",'US Transaction'!B87)</f>
        <v/>
      </c>
      <c r="C87" s="28" t="str">
        <f>IF('US Transaction'!C87= "","",IF(B87="BUY",'US Transaction'!C87,-'US Transaction'!C87))</f>
        <v/>
      </c>
      <c r="D87" s="28" t="str">
        <f>IF('US Transaction'!D87= "","",IF(B87="BUY",'US Transaction'!D87,-'US Transaction'!D87))</f>
        <v/>
      </c>
      <c r="E87" s="28" t="str">
        <f>IF('US Transaction'!E87= "","",'US Transaction'!E87)</f>
        <v/>
      </c>
      <c r="F87" s="23"/>
      <c r="G87" s="28" t="str">
        <f t="shared" si="14"/>
        <v/>
      </c>
      <c r="H87" s="28" t="str">
        <f>IF(A87="","",COUNTIF($G$2:G87,G87))</f>
        <v/>
      </c>
      <c r="I87" s="28" t="str">
        <f t="shared" si="15"/>
        <v/>
      </c>
      <c r="J87" s="28" t="str">
        <f>IF(G87="","",IF(COUNTIF($G$2:G87,G87)&gt;1,SUMIF($A$2:A87,G87,$C$2:C87),C87))</f>
        <v/>
      </c>
      <c r="K87" s="45" t="str">
        <f>IF(G87="","",IF(COUNTIF($G$2:G87,G87)&gt;1,SUMIF($A$2:A87,G87,$D$2:D87),D87) +SUMIF($G$2:G87,G87,$M$2:M87))</f>
        <v/>
      </c>
      <c r="L87" s="45" t="str">
        <f t="shared" si="16"/>
        <v/>
      </c>
      <c r="M87" s="46" t="str">
        <f>IF(G87="","",IF(B87 = "BUY", 0,(E87-VLOOKUP(CONCATENATE(G87,(H87-1)),$I$2:L86,4,FALSE))*-C87))</f>
        <v/>
      </c>
    </row>
    <row r="88" spans="1:13" ht="15" thickBot="1" x14ac:dyDescent="0.35">
      <c r="A88" s="28" t="str">
        <f>IF('US Transaction'!A88= "","",'US Transaction'!A88)</f>
        <v/>
      </c>
      <c r="B88" s="28" t="str">
        <f>IF('US Transaction'!B88= "","",'US Transaction'!B88)</f>
        <v/>
      </c>
      <c r="C88" s="28" t="str">
        <f>IF('US Transaction'!C88= "","",IF(B88="BUY",'US Transaction'!C88,-'US Transaction'!C88))</f>
        <v/>
      </c>
      <c r="D88" s="28" t="str">
        <f>IF('US Transaction'!D88= "","",IF(B88="BUY",'US Transaction'!D88,-'US Transaction'!D88))</f>
        <v/>
      </c>
      <c r="E88" s="28" t="str">
        <f>IF('US Transaction'!E88= "","",'US Transaction'!E88)</f>
        <v/>
      </c>
      <c r="F88" s="23"/>
      <c r="G88" s="28" t="str">
        <f t="shared" si="14"/>
        <v/>
      </c>
      <c r="H88" s="28" t="str">
        <f>IF(A88="","",COUNTIF($G$2:G88,G88))</f>
        <v/>
      </c>
      <c r="I88" s="28" t="str">
        <f t="shared" si="15"/>
        <v/>
      </c>
      <c r="J88" s="28" t="str">
        <f>IF(G88="","",IF(COUNTIF($G$2:G88,G88)&gt;1,SUMIF($A$2:A88,G88,$C$2:C88),C88))</f>
        <v/>
      </c>
      <c r="K88" s="45" t="str">
        <f>IF(G88="","",IF(COUNTIF($G$2:G88,G88)&gt;1,SUMIF($A$2:A88,G88,$D$2:D88),D88) +SUMIF($G$2:G88,G88,$M$2:M88))</f>
        <v/>
      </c>
      <c r="L88" s="45" t="str">
        <f t="shared" si="16"/>
        <v/>
      </c>
      <c r="M88" s="46" t="str">
        <f>IF(G88="","",IF(B88 = "BUY", 0,(E88-VLOOKUP(CONCATENATE(G88,(H88-1)),$I$2:L87,4,FALSE))*-C88))</f>
        <v/>
      </c>
    </row>
    <row r="89" spans="1:13" ht="15" thickBot="1" x14ac:dyDescent="0.35">
      <c r="A89" s="28" t="str">
        <f>IF('US Transaction'!A89= "","",'US Transaction'!A89)</f>
        <v/>
      </c>
      <c r="B89" s="28" t="str">
        <f>IF('US Transaction'!B89= "","",'US Transaction'!B89)</f>
        <v/>
      </c>
      <c r="C89" s="28" t="str">
        <f>IF('US Transaction'!C89= "","",IF(B89="BUY",'US Transaction'!C89,-'US Transaction'!C89))</f>
        <v/>
      </c>
      <c r="D89" s="28" t="str">
        <f>IF('US Transaction'!D89= "","",IF(B89="BUY",'US Transaction'!D89,-'US Transaction'!D89))</f>
        <v/>
      </c>
      <c r="E89" s="28" t="str">
        <f>IF('US Transaction'!E89= "","",'US Transaction'!E89)</f>
        <v/>
      </c>
      <c r="F89" s="23"/>
      <c r="G89" s="28" t="str">
        <f t="shared" si="14"/>
        <v/>
      </c>
      <c r="H89" s="28" t="str">
        <f>IF(A89="","",COUNTIF($G$2:G89,G89))</f>
        <v/>
      </c>
      <c r="I89" s="28" t="str">
        <f t="shared" si="15"/>
        <v/>
      </c>
      <c r="J89" s="28" t="str">
        <f>IF(G89="","",IF(COUNTIF($G$2:G89,G89)&gt;1,SUMIF($A$2:A89,G89,$C$2:C89),C89))</f>
        <v/>
      </c>
      <c r="K89" s="45" t="str">
        <f>IF(G89="","",IF(COUNTIF($G$2:G89,G89)&gt;1,SUMIF($A$2:A89,G89,$D$2:D89),D89) +SUMIF($G$2:G89,G89,$M$2:M89))</f>
        <v/>
      </c>
      <c r="L89" s="45" t="str">
        <f t="shared" si="16"/>
        <v/>
      </c>
      <c r="M89" s="46" t="str">
        <f>IF(G89="","",IF(B89 = "BUY", 0,(E89-VLOOKUP(CONCATENATE(G89,(H89-1)),$I$2:L88,4,FALSE))*-C89))</f>
        <v/>
      </c>
    </row>
    <row r="90" spans="1:13" ht="15" thickBot="1" x14ac:dyDescent="0.35">
      <c r="A90" s="28" t="str">
        <f>IF('US Transaction'!A90= "","",'US Transaction'!A90)</f>
        <v/>
      </c>
      <c r="B90" s="28" t="str">
        <f>IF('US Transaction'!B90= "","",'US Transaction'!B90)</f>
        <v/>
      </c>
      <c r="C90" s="28" t="str">
        <f>IF('US Transaction'!C90= "","",IF(B90="BUY",'US Transaction'!C90,-'US Transaction'!C90))</f>
        <v/>
      </c>
      <c r="D90" s="28" t="str">
        <f>IF('US Transaction'!D90= "","",IF(B90="BUY",'US Transaction'!D90,-'US Transaction'!D90))</f>
        <v/>
      </c>
      <c r="E90" s="28" t="str">
        <f>IF('US Transaction'!E90= "","",'US Transaction'!E90)</f>
        <v/>
      </c>
      <c r="F90" s="23"/>
      <c r="G90" s="28" t="str">
        <f t="shared" si="14"/>
        <v/>
      </c>
      <c r="H90" s="28" t="str">
        <f>IF(A90="","",COUNTIF($G$2:G90,G90))</f>
        <v/>
      </c>
      <c r="I90" s="28" t="str">
        <f t="shared" si="15"/>
        <v/>
      </c>
      <c r="J90" s="28" t="str">
        <f>IF(G90="","",IF(COUNTIF($G$2:G90,G90)&gt;1,SUMIF($A$2:A90,G90,$C$2:C90),C90))</f>
        <v/>
      </c>
      <c r="K90" s="45" t="str">
        <f>IF(G90="","",IF(COUNTIF($G$2:G90,G90)&gt;1,SUMIF($A$2:A90,G90,$D$2:D90),D90) +SUMIF($G$2:G90,G90,$M$2:M90))</f>
        <v/>
      </c>
      <c r="L90" s="45" t="str">
        <f t="shared" si="16"/>
        <v/>
      </c>
      <c r="M90" s="46" t="str">
        <f>IF(G90="","",IF(B90 = "BUY", 0,(E90-VLOOKUP(CONCATENATE(G90,(H90-1)),$I$2:L89,4,FALSE))*-C90))</f>
        <v/>
      </c>
    </row>
    <row r="91" spans="1:13" ht="15" thickBot="1" x14ac:dyDescent="0.35">
      <c r="A91" s="28" t="str">
        <f>IF('US Transaction'!A91= "","",'US Transaction'!A91)</f>
        <v/>
      </c>
      <c r="B91" s="28" t="str">
        <f>IF('US Transaction'!B91= "","",'US Transaction'!B91)</f>
        <v/>
      </c>
      <c r="C91" s="28" t="str">
        <f>IF('US Transaction'!C91= "","",IF(B91="BUY",'US Transaction'!C91,-'US Transaction'!C91))</f>
        <v/>
      </c>
      <c r="D91" s="28" t="str">
        <f>IF('US Transaction'!D91= "","",IF(B91="BUY",'US Transaction'!D91,-'US Transaction'!D91))</f>
        <v/>
      </c>
      <c r="E91" s="28" t="str">
        <f>IF('US Transaction'!E91= "","",'US Transaction'!E91)</f>
        <v/>
      </c>
      <c r="F91" s="23"/>
      <c r="G91" s="28" t="str">
        <f t="shared" si="14"/>
        <v/>
      </c>
      <c r="H91" s="28" t="str">
        <f>IF(A91="","",COUNTIF($G$2:G91,G91))</f>
        <v/>
      </c>
      <c r="I91" s="28" t="str">
        <f t="shared" si="15"/>
        <v/>
      </c>
      <c r="J91" s="28" t="str">
        <f>IF(G91="","",IF(COUNTIF($G$2:G91,G91)&gt;1,SUMIF($A$2:A91,G91,$C$2:C91),C91))</f>
        <v/>
      </c>
      <c r="K91" s="45" t="str">
        <f>IF(G91="","",IF(COUNTIF($G$2:G91,G91)&gt;1,SUMIF($A$2:A91,G91,$D$2:D91),D91) +SUMIF($G$2:G91,G91,$M$2:M91))</f>
        <v/>
      </c>
      <c r="L91" s="45" t="str">
        <f t="shared" si="16"/>
        <v/>
      </c>
      <c r="M91" s="46" t="str">
        <f>IF(G91="","",IF(B91 = "BUY", 0,(E91-VLOOKUP(CONCATENATE(G91,(H91-1)),$I$2:L90,4,FALSE))*-C91))</f>
        <v/>
      </c>
    </row>
    <row r="92" spans="1:13" ht="15" thickBot="1" x14ac:dyDescent="0.35">
      <c r="A92" s="28" t="str">
        <f>IF('US Transaction'!A92= "","",'US Transaction'!A92)</f>
        <v/>
      </c>
      <c r="B92" s="28" t="str">
        <f>IF('US Transaction'!B92= "","",'US Transaction'!B92)</f>
        <v/>
      </c>
      <c r="C92" s="28" t="str">
        <f>IF('US Transaction'!C92= "","",IF(B92="BUY",'US Transaction'!C92,-'US Transaction'!C92))</f>
        <v/>
      </c>
      <c r="D92" s="28" t="str">
        <f>IF('US Transaction'!D92= "","",IF(B92="BUY",'US Transaction'!D92,-'US Transaction'!D92))</f>
        <v/>
      </c>
      <c r="E92" s="28" t="str">
        <f>IF('US Transaction'!E92= "","",'US Transaction'!E92)</f>
        <v/>
      </c>
      <c r="F92" s="23"/>
      <c r="G92" s="28" t="str">
        <f t="shared" si="14"/>
        <v/>
      </c>
      <c r="H92" s="28" t="str">
        <f>IF(A92="","",COUNTIF($G$2:G92,G92))</f>
        <v/>
      </c>
      <c r="I92" s="28" t="str">
        <f t="shared" si="15"/>
        <v/>
      </c>
      <c r="J92" s="28" t="str">
        <f>IF(G92="","",IF(COUNTIF($G$2:G92,G92)&gt;1,SUMIF($A$2:A92,G92,$C$2:C92),C92))</f>
        <v/>
      </c>
      <c r="K92" s="45" t="str">
        <f>IF(G92="","",IF(COUNTIF($G$2:G92,G92)&gt;1,SUMIF($A$2:A92,G92,$D$2:D92),D92) +SUMIF($G$2:G92,G92,$M$2:M92))</f>
        <v/>
      </c>
      <c r="L92" s="45" t="str">
        <f t="shared" si="16"/>
        <v/>
      </c>
      <c r="M92" s="46" t="str">
        <f>IF(G92="","",IF(B92 = "BUY", 0,(E92-VLOOKUP(CONCATENATE(G92,(H92-1)),$I$2:L91,4,FALSE))*-C92))</f>
        <v/>
      </c>
    </row>
    <row r="93" spans="1:13" ht="15" thickBot="1" x14ac:dyDescent="0.35">
      <c r="A93" s="28" t="str">
        <f>IF('US Transaction'!A93= "","",'US Transaction'!A93)</f>
        <v/>
      </c>
      <c r="B93" s="28" t="str">
        <f>IF('US Transaction'!B93= "","",'US Transaction'!B93)</f>
        <v/>
      </c>
      <c r="C93" s="28" t="str">
        <f>IF('US Transaction'!C93= "","",IF(B93="BUY",'US Transaction'!C93,-'US Transaction'!C93))</f>
        <v/>
      </c>
      <c r="D93" s="28" t="str">
        <f>IF('US Transaction'!D93= "","",IF(B93="BUY",'US Transaction'!D93,-'US Transaction'!D93))</f>
        <v/>
      </c>
      <c r="E93" s="28" t="str">
        <f>IF('US Transaction'!E93= "","",'US Transaction'!E93)</f>
        <v/>
      </c>
      <c r="F93" s="23"/>
      <c r="G93" s="28" t="str">
        <f t="shared" si="14"/>
        <v/>
      </c>
      <c r="H93" s="28" t="str">
        <f>IF(A93="","",COUNTIF($G$2:G93,G93))</f>
        <v/>
      </c>
      <c r="I93" s="28" t="str">
        <f t="shared" si="15"/>
        <v/>
      </c>
      <c r="J93" s="28" t="str">
        <f>IF(G93="","",IF(COUNTIF($G$2:G93,G93)&gt;1,SUMIF($A$2:A93,G93,$C$2:C93),C93))</f>
        <v/>
      </c>
      <c r="K93" s="45" t="str">
        <f>IF(G93="","",IF(COUNTIF($G$2:G93,G93)&gt;1,SUMIF($A$2:A93,G93,$D$2:D93),D93) +SUMIF($G$2:G93,G93,$M$2:M93))</f>
        <v/>
      </c>
      <c r="L93" s="45" t="str">
        <f t="shared" si="16"/>
        <v/>
      </c>
      <c r="M93" s="46" t="str">
        <f>IF(G93="","",IF(B93 = "BUY", 0,(E93-VLOOKUP(CONCATENATE(G93,(H93-1)),$I$2:L92,4,FALSE))*-C93))</f>
        <v/>
      </c>
    </row>
    <row r="94" spans="1:13" ht="15" thickBot="1" x14ac:dyDescent="0.35">
      <c r="A94" s="28" t="str">
        <f>IF('US Transaction'!A94= "","",'US Transaction'!A94)</f>
        <v/>
      </c>
      <c r="B94" s="28" t="str">
        <f>IF('US Transaction'!B94= "","",'US Transaction'!B94)</f>
        <v/>
      </c>
      <c r="C94" s="28" t="str">
        <f>IF('US Transaction'!C94= "","",IF(B94="BUY",'US Transaction'!C94,-'US Transaction'!C94))</f>
        <v/>
      </c>
      <c r="D94" s="28" t="str">
        <f>IF('US Transaction'!D94= "","",IF(B94="BUY",'US Transaction'!D94,-'US Transaction'!D94))</f>
        <v/>
      </c>
      <c r="E94" s="28" t="str">
        <f>IF('US Transaction'!E94= "","",'US Transaction'!E94)</f>
        <v/>
      </c>
      <c r="F94" s="23"/>
      <c r="G94" s="28" t="str">
        <f t="shared" si="14"/>
        <v/>
      </c>
      <c r="H94" s="28" t="str">
        <f>IF(A94="","",COUNTIF($G$2:G94,G94))</f>
        <v/>
      </c>
      <c r="I94" s="28" t="str">
        <f t="shared" si="15"/>
        <v/>
      </c>
      <c r="J94" s="28" t="str">
        <f>IF(G94="","",IF(COUNTIF($G$2:G94,G94)&gt;1,SUMIF($A$2:A94,G94,$C$2:C94),C94))</f>
        <v/>
      </c>
      <c r="K94" s="45" t="str">
        <f>IF(G94="","",IF(COUNTIF($G$2:G94,G94)&gt;1,SUMIF($A$2:A94,G94,$D$2:D94),D94) +SUMIF($G$2:G94,G94,$M$2:M94))</f>
        <v/>
      </c>
      <c r="L94" s="45" t="str">
        <f t="shared" si="16"/>
        <v/>
      </c>
      <c r="M94" s="46" t="str">
        <f>IF(G94="","",IF(B94 = "BUY", 0,(E94-VLOOKUP(CONCATENATE(G94,(H94-1)),$I$2:L93,4,FALSE))*-C94))</f>
        <v/>
      </c>
    </row>
    <row r="95" spans="1:13" ht="15" thickBot="1" x14ac:dyDescent="0.35">
      <c r="A95" s="28" t="str">
        <f>IF('US Transaction'!A95= "","",'US Transaction'!A95)</f>
        <v/>
      </c>
      <c r="B95" s="28" t="str">
        <f>IF('US Transaction'!B95= "","",'US Transaction'!B95)</f>
        <v/>
      </c>
      <c r="C95" s="28" t="str">
        <f>IF('US Transaction'!C95= "","",IF(B95="BUY",'US Transaction'!C95,-'US Transaction'!C95))</f>
        <v/>
      </c>
      <c r="D95" s="28" t="str">
        <f>IF('US Transaction'!D95= "","",IF(B95="BUY",'US Transaction'!D95,-'US Transaction'!D95))</f>
        <v/>
      </c>
      <c r="E95" s="28" t="str">
        <f>IF('US Transaction'!E95= "","",'US Transaction'!E95)</f>
        <v/>
      </c>
      <c r="F95" s="23"/>
      <c r="G95" s="28" t="str">
        <f t="shared" si="14"/>
        <v/>
      </c>
      <c r="H95" s="28" t="str">
        <f>IF(A95="","",COUNTIF($G$2:G95,G95))</f>
        <v/>
      </c>
      <c r="I95" s="28" t="str">
        <f t="shared" si="15"/>
        <v/>
      </c>
      <c r="J95" s="28" t="str">
        <f>IF(G95="","",IF(COUNTIF($G$2:G95,G95)&gt;1,SUMIF($A$2:A95,G95,$C$2:C95),C95))</f>
        <v/>
      </c>
      <c r="K95" s="45" t="str">
        <f>IF(G95="","",IF(COUNTIF($G$2:G95,G95)&gt;1,SUMIF($A$2:A95,G95,$D$2:D95),D95) +SUMIF($G$2:G95,G95,$M$2:M95))</f>
        <v/>
      </c>
      <c r="L95" s="45" t="str">
        <f t="shared" si="16"/>
        <v/>
      </c>
      <c r="M95" s="46" t="str">
        <f>IF(G95="","",IF(B95 = "BUY", 0,(E95-VLOOKUP(CONCATENATE(G95,(H95-1)),$I$2:L94,4,FALSE))*-C95))</f>
        <v/>
      </c>
    </row>
    <row r="96" spans="1:13" ht="15" thickBot="1" x14ac:dyDescent="0.35">
      <c r="A96" s="28" t="str">
        <f>IF('US Transaction'!A96= "","",'US Transaction'!A96)</f>
        <v/>
      </c>
      <c r="B96" s="28" t="str">
        <f>IF('US Transaction'!B96= "","",'US Transaction'!B96)</f>
        <v/>
      </c>
      <c r="C96" s="28" t="str">
        <f>IF('US Transaction'!C96= "","",IF(B96="BUY",'US Transaction'!C96,-'US Transaction'!C96))</f>
        <v/>
      </c>
      <c r="D96" s="28" t="str">
        <f>IF('US Transaction'!D96= "","",IF(B96="BUY",'US Transaction'!D96,-'US Transaction'!D96))</f>
        <v/>
      </c>
      <c r="E96" s="28" t="str">
        <f>IF('US Transaction'!E96= "","",'US Transaction'!E96)</f>
        <v/>
      </c>
      <c r="F96" s="23"/>
      <c r="G96" s="28" t="str">
        <f t="shared" si="14"/>
        <v/>
      </c>
      <c r="H96" s="28" t="str">
        <f>IF(A96="","",COUNTIF($G$2:G96,G96))</f>
        <v/>
      </c>
      <c r="I96" s="28" t="str">
        <f t="shared" si="15"/>
        <v/>
      </c>
      <c r="J96" s="28" t="str">
        <f>IF(G96="","",IF(COUNTIF($G$2:G96,G96)&gt;1,SUMIF($A$2:A96,G96,$C$2:C96),C96))</f>
        <v/>
      </c>
      <c r="K96" s="45" t="str">
        <f>IF(G96="","",IF(COUNTIF($G$2:G96,G96)&gt;1,SUMIF($A$2:A96,G96,$D$2:D96),D96) +SUMIF($G$2:G96,G96,$M$2:M96))</f>
        <v/>
      </c>
      <c r="L96" s="45" t="str">
        <f t="shared" si="16"/>
        <v/>
      </c>
      <c r="M96" s="46" t="str">
        <f>IF(G96="","",IF(B96 = "BUY", 0,(E96-VLOOKUP(CONCATENATE(G96,(H96-1)),$I$2:L95,4,FALSE))*-C96))</f>
        <v/>
      </c>
    </row>
    <row r="97" spans="1:13" ht="15" thickBot="1" x14ac:dyDescent="0.35">
      <c r="A97" s="28" t="str">
        <f>IF('US Transaction'!A97= "","",'US Transaction'!A97)</f>
        <v/>
      </c>
      <c r="B97" s="28" t="str">
        <f>IF('US Transaction'!B97= "","",'US Transaction'!B97)</f>
        <v/>
      </c>
      <c r="C97" s="28" t="str">
        <f>IF('US Transaction'!C97= "","",IF(B97="BUY",'US Transaction'!C97,-'US Transaction'!C97))</f>
        <v/>
      </c>
      <c r="D97" s="28" t="str">
        <f>IF('US Transaction'!D97= "","",IF(B97="BUY",'US Transaction'!D97,-'US Transaction'!D97))</f>
        <v/>
      </c>
      <c r="E97" s="28" t="str">
        <f>IF('US Transaction'!E97= "","",'US Transaction'!E97)</f>
        <v/>
      </c>
      <c r="F97" s="23"/>
      <c r="G97" s="28" t="str">
        <f t="shared" si="14"/>
        <v/>
      </c>
      <c r="H97" s="28" t="str">
        <f>IF(A97="","",COUNTIF($G$2:G97,G97))</f>
        <v/>
      </c>
      <c r="I97" s="28" t="str">
        <f t="shared" si="15"/>
        <v/>
      </c>
      <c r="J97" s="28" t="str">
        <f>IF(G97="","",IF(COUNTIF($G$2:G97,G97)&gt;1,SUMIF($A$2:A97,G97,$C$2:C97),C97))</f>
        <v/>
      </c>
      <c r="K97" s="45" t="str">
        <f>IF(G97="","",IF(COUNTIF($G$2:G97,G97)&gt;1,SUMIF($A$2:A97,G97,$D$2:D97),D97) +SUMIF($G$2:G97,G97,$M$2:M97))</f>
        <v/>
      </c>
      <c r="L97" s="45" t="str">
        <f t="shared" si="16"/>
        <v/>
      </c>
      <c r="M97" s="46" t="str">
        <f>IF(G97="","",IF(B97 = "BUY", 0,(E97-VLOOKUP(CONCATENATE(G97,(H97-1)),$I$2:L96,4,FALSE))*-C97))</f>
        <v/>
      </c>
    </row>
    <row r="98" spans="1:13" ht="15" thickBot="1" x14ac:dyDescent="0.35">
      <c r="A98" s="28" t="str">
        <f>IF('US Transaction'!A98= "","",'US Transaction'!A98)</f>
        <v/>
      </c>
      <c r="B98" s="28" t="str">
        <f>IF('US Transaction'!B98= "","",'US Transaction'!B98)</f>
        <v/>
      </c>
      <c r="C98" s="28" t="str">
        <f>IF('US Transaction'!C98= "","",IF(B98="BUY",'US Transaction'!C98,-'US Transaction'!C98))</f>
        <v/>
      </c>
      <c r="D98" s="28" t="str">
        <f>IF('US Transaction'!D98= "","",IF(B98="BUY",'US Transaction'!D98,-'US Transaction'!D98))</f>
        <v/>
      </c>
      <c r="E98" s="28" t="str">
        <f>IF('US Transaction'!E98= "","",'US Transaction'!E98)</f>
        <v/>
      </c>
      <c r="F98" s="23"/>
      <c r="G98" s="28" t="str">
        <f t="shared" si="14"/>
        <v/>
      </c>
      <c r="H98" s="28" t="str">
        <f>IF(A98="","",COUNTIF($G$2:G98,G98))</f>
        <v/>
      </c>
      <c r="I98" s="28" t="str">
        <f t="shared" si="15"/>
        <v/>
      </c>
      <c r="J98" s="28" t="str">
        <f>IF(G98="","",IF(COUNTIF($G$2:G98,G98)&gt;1,SUMIF($A$2:A98,G98,$C$2:C98),C98))</f>
        <v/>
      </c>
      <c r="K98" s="45" t="str">
        <f>IF(G98="","",IF(COUNTIF($G$2:G98,G98)&gt;1,SUMIF($A$2:A98,G98,$D$2:D98),D98) +SUMIF($G$2:G98,G98,$M$2:M98))</f>
        <v/>
      </c>
      <c r="L98" s="45" t="str">
        <f t="shared" si="16"/>
        <v/>
      </c>
      <c r="M98" s="46" t="str">
        <f>IF(G98="","",IF(B98 = "BUY", 0,(E98-VLOOKUP(CONCATENATE(G98,(H98-1)),$I$2:L97,4,FALSE))*-C98))</f>
        <v/>
      </c>
    </row>
    <row r="99" spans="1:13" ht="15" thickBot="1" x14ac:dyDescent="0.35">
      <c r="A99" s="28" t="str">
        <f>IF('US Transaction'!A99= "","",'US Transaction'!A99)</f>
        <v/>
      </c>
      <c r="B99" s="28" t="str">
        <f>IF('US Transaction'!B99= "","",'US Transaction'!B99)</f>
        <v/>
      </c>
      <c r="C99" s="28" t="str">
        <f>IF('US Transaction'!C99= "","",IF(B99="BUY",'US Transaction'!C99,-'US Transaction'!C99))</f>
        <v/>
      </c>
      <c r="D99" s="28" t="str">
        <f>IF('US Transaction'!D99= "","",IF(B99="BUY",'US Transaction'!D99,-'US Transaction'!D99))</f>
        <v/>
      </c>
      <c r="E99" s="28" t="str">
        <f>IF('US Transaction'!E99= "","",'US Transaction'!E99)</f>
        <v/>
      </c>
      <c r="F99" s="23"/>
      <c r="G99" s="28" t="str">
        <f t="shared" si="14"/>
        <v/>
      </c>
      <c r="H99" s="28" t="str">
        <f>IF(A99="","",COUNTIF($G$2:G99,G99))</f>
        <v/>
      </c>
      <c r="I99" s="28" t="str">
        <f t="shared" si="15"/>
        <v/>
      </c>
      <c r="J99" s="28" t="str">
        <f>IF(G99="","",IF(COUNTIF($G$2:G99,G99)&gt;1,SUMIF($A$2:A99,G99,$C$2:C99),C99))</f>
        <v/>
      </c>
      <c r="K99" s="45" t="str">
        <f>IF(G99="","",IF(COUNTIF($G$2:G99,G99)&gt;1,SUMIF($A$2:A99,G99,$D$2:D99),D99) +SUMIF($G$2:G99,G99,$M$2:M99))</f>
        <v/>
      </c>
      <c r="L99" s="45" t="str">
        <f t="shared" si="16"/>
        <v/>
      </c>
      <c r="M99" s="46" t="str">
        <f>IF(G99="","",IF(B99 = "BUY", 0,(E99-VLOOKUP(CONCATENATE(G99,(H99-1)),$I$2:L98,4,FALSE))*-C99))</f>
        <v/>
      </c>
    </row>
    <row r="100" spans="1:13" ht="15" thickBot="1" x14ac:dyDescent="0.35">
      <c r="A100" s="28" t="str">
        <f>IF('US Transaction'!A100= "","",'US Transaction'!A100)</f>
        <v/>
      </c>
      <c r="B100" s="28" t="str">
        <f>IF('US Transaction'!B100= "","",'US Transaction'!B100)</f>
        <v/>
      </c>
      <c r="C100" s="28" t="str">
        <f>IF('US Transaction'!C100= "","",IF(B100="BUY",'US Transaction'!C100,-'US Transaction'!C100))</f>
        <v/>
      </c>
      <c r="D100" s="28" t="str">
        <f>IF('US Transaction'!D100= "","",IF(B100="BUY",'US Transaction'!D100,-'US Transaction'!D100))</f>
        <v/>
      </c>
      <c r="E100" s="28" t="str">
        <f>IF('US Transaction'!E100= "","",'US Transaction'!E100)</f>
        <v/>
      </c>
      <c r="F100" s="23"/>
      <c r="G100" s="28" t="str">
        <f t="shared" si="14"/>
        <v/>
      </c>
      <c r="H100" s="28" t="str">
        <f>IF(A100="","",COUNTIF($G$2:G100,G100))</f>
        <v/>
      </c>
      <c r="I100" s="28" t="str">
        <f t="shared" si="15"/>
        <v/>
      </c>
      <c r="J100" s="28" t="str">
        <f>IF(G100="","",IF(COUNTIF($G$2:G100,G100)&gt;1,SUMIF($A$2:A100,G100,$C$2:C100),C100))</f>
        <v/>
      </c>
      <c r="K100" s="45" t="str">
        <f>IF(G100="","",IF(COUNTIF($G$2:G100,G100)&gt;1,SUMIF($A$2:A100,G100,$D$2:D100),D100) +SUMIF($G$2:G100,G100,$M$2:M100))</f>
        <v/>
      </c>
      <c r="L100" s="45" t="str">
        <f t="shared" si="16"/>
        <v/>
      </c>
      <c r="M100" s="46" t="str">
        <f>IF(G100="","",IF(B100 = "BUY", 0,(E100-VLOOKUP(CONCATENATE(G100,(H100-1)),$I$2:L99,4,FALSE))*-C100))</f>
        <v/>
      </c>
    </row>
    <row r="101" spans="1:13" ht="15" thickBot="1" x14ac:dyDescent="0.35">
      <c r="A101" s="28" t="str">
        <f>IF('US Transaction'!A101= "","",'US Transaction'!A101)</f>
        <v/>
      </c>
      <c r="B101" s="28" t="str">
        <f>IF('US Transaction'!B101= "","",'US Transaction'!B101)</f>
        <v/>
      </c>
      <c r="C101" s="28" t="str">
        <f>IF('US Transaction'!C101= "","",IF(B101="BUY",'US Transaction'!C101,-'US Transaction'!C101))</f>
        <v/>
      </c>
      <c r="D101" s="28" t="str">
        <f>IF('US Transaction'!D101= "","",IF(B101="BUY",'US Transaction'!D101,-'US Transaction'!D101))</f>
        <v/>
      </c>
      <c r="E101" s="28" t="str">
        <f>IF('US Transaction'!E101= "","",'US Transaction'!E101)</f>
        <v/>
      </c>
      <c r="F101" s="23"/>
      <c r="G101" s="28" t="str">
        <f t="shared" si="14"/>
        <v/>
      </c>
      <c r="H101" s="28" t="str">
        <f>IF(A101="","",COUNTIF($G$2:G101,G101))</f>
        <v/>
      </c>
      <c r="I101" s="28" t="str">
        <f t="shared" si="15"/>
        <v/>
      </c>
      <c r="J101" s="28" t="str">
        <f>IF(G101="","",IF(COUNTIF($G$2:G101,G101)&gt;1,SUMIF($A$2:A101,G101,$C$2:C101),C101))</f>
        <v/>
      </c>
      <c r="K101" s="45" t="str">
        <f>IF(G101="","",IF(COUNTIF($G$2:G101,G101)&gt;1,SUMIF($A$2:A101,G101,$D$2:D101),D101) +SUMIF($G$2:G101,G101,$M$2:M101))</f>
        <v/>
      </c>
      <c r="L101" s="45" t="str">
        <f t="shared" si="16"/>
        <v/>
      </c>
      <c r="M101" s="46" t="str">
        <f>IF(G101="","",IF(B101 = "BUY", 0,(E101-VLOOKUP(CONCATENATE(G101,(H101-1)),$I$2:L100,4,FALSE))*-C101))</f>
        <v/>
      </c>
    </row>
    <row r="102" spans="1:13" ht="15" thickBot="1" x14ac:dyDescent="0.35">
      <c r="A102" s="28" t="str">
        <f>IF('US Transaction'!A102= "","",'US Transaction'!A102)</f>
        <v/>
      </c>
      <c r="B102" s="28" t="str">
        <f>IF('US Transaction'!B102= "","",'US Transaction'!B102)</f>
        <v/>
      </c>
      <c r="C102" s="28" t="str">
        <f>IF('US Transaction'!C102= "","",IF(B102="BUY",'US Transaction'!C102,-'US Transaction'!C102))</f>
        <v/>
      </c>
      <c r="D102" s="28" t="str">
        <f>IF('US Transaction'!D102= "","",IF(B102="BUY",'US Transaction'!D102,-'US Transaction'!D102))</f>
        <v/>
      </c>
      <c r="E102" s="28" t="str">
        <f>IF('US Transaction'!E102= "","",'US Transaction'!E102)</f>
        <v/>
      </c>
      <c r="F102" s="23"/>
      <c r="G102" s="28" t="str">
        <f t="shared" si="14"/>
        <v/>
      </c>
      <c r="H102" s="28" t="str">
        <f>IF(A102="","",COUNTIF($G$2:G102,G102))</f>
        <v/>
      </c>
      <c r="I102" s="28" t="str">
        <f t="shared" si="15"/>
        <v/>
      </c>
      <c r="J102" s="28" t="str">
        <f>IF(G102="","",IF(COUNTIF($G$2:G102,G102)&gt;1,SUMIF($A$2:A102,G102,$C$2:C102),C102))</f>
        <v/>
      </c>
      <c r="K102" s="45" t="str">
        <f>IF(G102="","",IF(COUNTIF($G$2:G102,G102)&gt;1,SUMIF($A$2:A102,G102,$D$2:D102),D102) +SUMIF($G$2:G102,G102,$M$2:M102))</f>
        <v/>
      </c>
      <c r="L102" s="45" t="str">
        <f t="shared" si="16"/>
        <v/>
      </c>
      <c r="M102" s="46" t="str">
        <f>IF(G102="","",IF(B102 = "BUY", 0,(E102-VLOOKUP(CONCATENATE(G102,(H102-1)),$I$2:L101,4,FALSE))*-C102))</f>
        <v/>
      </c>
    </row>
    <row r="103" spans="1:13" ht="15" thickBot="1" x14ac:dyDescent="0.35">
      <c r="A103" s="28" t="str">
        <f>IF('US Transaction'!A103= "","",'US Transaction'!A103)</f>
        <v/>
      </c>
      <c r="B103" s="28" t="str">
        <f>IF('US Transaction'!B103= "","",'US Transaction'!B103)</f>
        <v/>
      </c>
      <c r="C103" s="28" t="str">
        <f>IF('US Transaction'!C103= "","",IF(B103="BUY",'US Transaction'!C103,-'US Transaction'!C103))</f>
        <v/>
      </c>
      <c r="D103" s="28" t="str">
        <f>IF('US Transaction'!D103= "","",IF(B103="BUY",'US Transaction'!D103,-'US Transaction'!D103))</f>
        <v/>
      </c>
      <c r="E103" s="28" t="str">
        <f>IF('US Transaction'!E103= "","",'US Transaction'!E103)</f>
        <v/>
      </c>
      <c r="F103" s="23"/>
      <c r="G103" s="28" t="str">
        <f t="shared" si="14"/>
        <v/>
      </c>
      <c r="H103" s="28" t="str">
        <f>IF(A103="","",COUNTIF($G$2:G103,G103))</f>
        <v/>
      </c>
      <c r="I103" s="28" t="str">
        <f t="shared" si="15"/>
        <v/>
      </c>
      <c r="J103" s="28" t="str">
        <f>IF(G103="","",IF(COUNTIF($G$2:G103,G103)&gt;1,SUMIF($A$2:A103,G103,$C$2:C103),C103))</f>
        <v/>
      </c>
      <c r="K103" s="45" t="str">
        <f>IF(G103="","",IF(COUNTIF($G$2:G103,G103)&gt;1,SUMIF($A$2:A103,G103,$D$2:D103),D103) +SUMIF($G$2:G103,G103,$M$2:M103))</f>
        <v/>
      </c>
      <c r="L103" s="45" t="str">
        <f t="shared" si="16"/>
        <v/>
      </c>
      <c r="M103" s="46" t="str">
        <f>IF(G103="","",IF(B103 = "BUY", 0,(E103-VLOOKUP(CONCATENATE(G103,(H103-1)),$I$2:L102,4,FALSE))*-C103))</f>
        <v/>
      </c>
    </row>
    <row r="104" spans="1:13" ht="15" thickBot="1" x14ac:dyDescent="0.35">
      <c r="A104" s="28" t="str">
        <f>IF('US Transaction'!A104= "","",'US Transaction'!A104)</f>
        <v/>
      </c>
      <c r="B104" s="28" t="str">
        <f>IF('US Transaction'!B104= "","",'US Transaction'!B104)</f>
        <v/>
      </c>
      <c r="C104" s="28" t="str">
        <f>IF('US Transaction'!C104= "","",IF(B104="BUY",'US Transaction'!C104,-'US Transaction'!C104))</f>
        <v/>
      </c>
      <c r="D104" s="28" t="str">
        <f>IF('US Transaction'!D104= "","",IF(B104="BUY",'US Transaction'!D104,-'US Transaction'!D104))</f>
        <v/>
      </c>
      <c r="E104" s="28" t="str">
        <f>IF('US Transaction'!E104= "","",'US Transaction'!E104)</f>
        <v/>
      </c>
      <c r="F104" s="23"/>
      <c r="G104" s="28" t="str">
        <f t="shared" si="14"/>
        <v/>
      </c>
      <c r="H104" s="28" t="str">
        <f>IF(A104="","",COUNTIF($G$2:G104,G104))</f>
        <v/>
      </c>
      <c r="I104" s="28" t="str">
        <f t="shared" si="15"/>
        <v/>
      </c>
      <c r="J104" s="28" t="str">
        <f>IF(G104="","",IF(COUNTIF($G$2:G104,G104)&gt;1,SUMIF($A$2:A104,G104,$C$2:C104),C104))</f>
        <v/>
      </c>
      <c r="K104" s="45" t="str">
        <f>IF(G104="","",IF(COUNTIF($G$2:G104,G104)&gt;1,SUMIF($A$2:A104,G104,$D$2:D104),D104) +SUMIF($G$2:G104,G104,$M$2:M104))</f>
        <v/>
      </c>
      <c r="L104" s="45" t="str">
        <f t="shared" si="16"/>
        <v/>
      </c>
      <c r="M104" s="46" t="str">
        <f>IF(G104="","",IF(B104 = "BUY", 0,(E104-VLOOKUP(CONCATENATE(G104,(H104-1)),$I$2:L103,4,FALSE))*-C104))</f>
        <v/>
      </c>
    </row>
    <row r="105" spans="1:13" ht="15" thickBot="1" x14ac:dyDescent="0.35">
      <c r="A105" s="28" t="str">
        <f>IF('US Transaction'!A105= "","",'US Transaction'!A105)</f>
        <v/>
      </c>
      <c r="B105" s="28" t="str">
        <f>IF('US Transaction'!B105= "","",'US Transaction'!B105)</f>
        <v/>
      </c>
      <c r="C105" s="28" t="str">
        <f>IF('US Transaction'!C105= "","",IF(B105="BUY",'US Transaction'!C105,-'US Transaction'!C105))</f>
        <v/>
      </c>
      <c r="D105" s="28" t="str">
        <f>IF('US Transaction'!D105= "","",IF(B105="BUY",'US Transaction'!D105,-'US Transaction'!D105))</f>
        <v/>
      </c>
      <c r="E105" s="28" t="str">
        <f>IF('US Transaction'!E105= "","",'US Transaction'!E105)</f>
        <v/>
      </c>
      <c r="F105" s="23"/>
      <c r="G105" s="28" t="str">
        <f t="shared" si="14"/>
        <v/>
      </c>
      <c r="H105" s="28" t="str">
        <f>IF(A105="","",COUNTIF($G$2:G105,G105))</f>
        <v/>
      </c>
      <c r="I105" s="28" t="str">
        <f t="shared" si="15"/>
        <v/>
      </c>
      <c r="J105" s="28" t="str">
        <f>IF(G105="","",IF(COUNTIF($G$2:G105,G105)&gt;1,SUMIF($A$2:A105,G105,$C$2:C105),C105))</f>
        <v/>
      </c>
      <c r="K105" s="45" t="str">
        <f>IF(G105="","",IF(COUNTIF($G$2:G105,G105)&gt;1,SUMIF($A$2:A105,G105,$D$2:D105),D105) +SUMIF($G$2:G105,G105,$M$2:M105))</f>
        <v/>
      </c>
      <c r="L105" s="45" t="str">
        <f t="shared" si="16"/>
        <v/>
      </c>
      <c r="M105" s="46" t="str">
        <f>IF(G105="","",IF(B105 = "BUY", 0,(E105-VLOOKUP(CONCATENATE(G105,(H105-1)),$I$2:L104,4,FALSE))*-C105))</f>
        <v/>
      </c>
    </row>
    <row r="106" spans="1:13" ht="15" thickBot="1" x14ac:dyDescent="0.35">
      <c r="A106" s="28" t="str">
        <f>IF('US Transaction'!A106= "","",'US Transaction'!A106)</f>
        <v/>
      </c>
      <c r="B106" s="28" t="str">
        <f>IF('US Transaction'!B106= "","",'US Transaction'!B106)</f>
        <v/>
      </c>
      <c r="C106" s="28" t="str">
        <f>IF('US Transaction'!C106= "","",IF(B106="BUY",'US Transaction'!C106,-'US Transaction'!C106))</f>
        <v/>
      </c>
      <c r="D106" s="28" t="str">
        <f>IF('US Transaction'!D106= "","",IF(B106="BUY",'US Transaction'!D106,-'US Transaction'!D106))</f>
        <v/>
      </c>
      <c r="E106" s="28" t="str">
        <f>IF('US Transaction'!E106= "","",'US Transaction'!E106)</f>
        <v/>
      </c>
      <c r="F106" s="23"/>
      <c r="G106" s="28" t="str">
        <f t="shared" si="14"/>
        <v/>
      </c>
      <c r="H106" s="28" t="str">
        <f>IF(A106="","",COUNTIF($G$2:G106,G106))</f>
        <v/>
      </c>
      <c r="I106" s="28" t="str">
        <f t="shared" si="15"/>
        <v/>
      </c>
      <c r="J106" s="28" t="str">
        <f>IF(G106="","",IF(COUNTIF($G$2:G106,G106)&gt;1,SUMIF($A$2:A106,G106,$C$2:C106),C106))</f>
        <v/>
      </c>
      <c r="K106" s="45" t="str">
        <f>IF(G106="","",IF(COUNTIF($G$2:G106,G106)&gt;1,SUMIF($A$2:A106,G106,$D$2:D106),D106) +SUMIF($G$2:G106,G106,$M$2:M106))</f>
        <v/>
      </c>
      <c r="L106" s="45" t="str">
        <f t="shared" si="16"/>
        <v/>
      </c>
      <c r="M106" s="46" t="str">
        <f>IF(G106="","",IF(B106 = "BUY", 0,(E106-VLOOKUP(CONCATENATE(G106,(H106-1)),$I$2:L105,4,FALSE))*-C106))</f>
        <v/>
      </c>
    </row>
    <row r="107" spans="1:13" ht="15" thickBot="1" x14ac:dyDescent="0.35">
      <c r="A107" s="28" t="str">
        <f>IF('US Transaction'!A107= "","",'US Transaction'!A107)</f>
        <v/>
      </c>
      <c r="B107" s="28" t="str">
        <f>IF('US Transaction'!B107= "","",'US Transaction'!B107)</f>
        <v/>
      </c>
      <c r="C107" s="28" t="str">
        <f>IF('US Transaction'!C107= "","",IF(B107="BUY",'US Transaction'!C107,-'US Transaction'!C107))</f>
        <v/>
      </c>
      <c r="D107" s="28" t="str">
        <f>IF('US Transaction'!D107= "","",IF(B107="BUY",'US Transaction'!D107,-'US Transaction'!D107))</f>
        <v/>
      </c>
      <c r="E107" s="28" t="str">
        <f>IF('US Transaction'!E107= "","",'US Transaction'!E107)</f>
        <v/>
      </c>
      <c r="F107" s="23"/>
      <c r="G107" s="28" t="str">
        <f t="shared" si="14"/>
        <v/>
      </c>
      <c r="H107" s="28" t="str">
        <f>IF(A107="","",COUNTIF($G$2:G107,G107))</f>
        <v/>
      </c>
      <c r="I107" s="28" t="str">
        <f t="shared" si="15"/>
        <v/>
      </c>
      <c r="J107" s="28" t="str">
        <f>IF(G107="","",IF(COUNTIF($G$2:G107,G107)&gt;1,SUMIF($A$2:A107,G107,$C$2:C107),C107))</f>
        <v/>
      </c>
      <c r="K107" s="45" t="str">
        <f>IF(G107="","",IF(COUNTIF($G$2:G107,G107)&gt;1,SUMIF($A$2:A107,G107,$D$2:D107),D107) +SUMIF($G$2:G107,G107,$M$2:M107))</f>
        <v/>
      </c>
      <c r="L107" s="45" t="str">
        <f t="shared" si="16"/>
        <v/>
      </c>
      <c r="M107" s="46" t="str">
        <f>IF(G107="","",IF(B107 = "BUY", 0,(E107-VLOOKUP(CONCATENATE(G107,(H107-1)),$I$2:L106,4,FALSE))*-C107))</f>
        <v/>
      </c>
    </row>
    <row r="108" spans="1:13" ht="15" thickBot="1" x14ac:dyDescent="0.35">
      <c r="A108" s="28" t="str">
        <f>IF('US Transaction'!A108= "","",'US Transaction'!A108)</f>
        <v/>
      </c>
      <c r="B108" s="28" t="str">
        <f>IF('US Transaction'!B108= "","",'US Transaction'!B108)</f>
        <v/>
      </c>
      <c r="C108" s="28" t="str">
        <f>IF('US Transaction'!C108= "","",IF(B108="BUY",'US Transaction'!C108,-'US Transaction'!C108))</f>
        <v/>
      </c>
      <c r="D108" s="28" t="str">
        <f>IF('US Transaction'!D108= "","",IF(B108="BUY",'US Transaction'!D108,-'US Transaction'!D108))</f>
        <v/>
      </c>
      <c r="E108" s="28" t="str">
        <f>IF('US Transaction'!E108= "","",'US Transaction'!E108)</f>
        <v/>
      </c>
      <c r="F108" s="23"/>
      <c r="G108" s="28" t="str">
        <f t="shared" si="14"/>
        <v/>
      </c>
      <c r="H108" s="28" t="str">
        <f>IF(A108="","",COUNTIF($G$2:G108,G108))</f>
        <v/>
      </c>
      <c r="I108" s="28" t="str">
        <f t="shared" si="15"/>
        <v/>
      </c>
      <c r="J108" s="28" t="str">
        <f>IF(G108="","",IF(COUNTIF($G$2:G108,G108)&gt;1,SUMIF($A$2:A108,G108,$C$2:C108),C108))</f>
        <v/>
      </c>
      <c r="K108" s="45" t="str">
        <f>IF(G108="","",IF(COUNTIF($G$2:G108,G108)&gt;1,SUMIF($A$2:A108,G108,$D$2:D108),D108) +SUMIF($G$2:G108,G108,$M$2:M108))</f>
        <v/>
      </c>
      <c r="L108" s="45" t="str">
        <f t="shared" si="16"/>
        <v/>
      </c>
      <c r="M108" s="46" t="str">
        <f>IF(G108="","",IF(B108 = "BUY", 0,(E108-VLOOKUP(CONCATENATE(G108,(H108-1)),$I$2:L107,4,FALSE))*-C108))</f>
        <v/>
      </c>
    </row>
    <row r="109" spans="1:13" ht="15" thickBot="1" x14ac:dyDescent="0.35">
      <c r="A109" s="28" t="str">
        <f>IF('US Transaction'!A109= "","",'US Transaction'!A109)</f>
        <v/>
      </c>
      <c r="B109" s="28" t="str">
        <f>IF('US Transaction'!B109= "","",'US Transaction'!B109)</f>
        <v/>
      </c>
      <c r="C109" s="28" t="str">
        <f>IF('US Transaction'!C109= "","",IF(B109="BUY",'US Transaction'!C109,-'US Transaction'!C109))</f>
        <v/>
      </c>
      <c r="D109" s="28" t="str">
        <f>IF('US Transaction'!D109= "","",IF(B109="BUY",'US Transaction'!D109,-'US Transaction'!D109))</f>
        <v/>
      </c>
      <c r="E109" s="28" t="str">
        <f>IF('US Transaction'!E109= "","",'US Transaction'!E109)</f>
        <v/>
      </c>
      <c r="F109" s="23"/>
      <c r="G109" s="28" t="str">
        <f t="shared" si="14"/>
        <v/>
      </c>
      <c r="H109" s="28" t="str">
        <f>IF(A109="","",COUNTIF($G$2:G109,G109))</f>
        <v/>
      </c>
      <c r="I109" s="28" t="str">
        <f t="shared" si="15"/>
        <v/>
      </c>
      <c r="J109" s="28" t="str">
        <f>IF(G109="","",IF(COUNTIF($G$2:G109,G109)&gt;1,SUMIF($A$2:A109,G109,$C$2:C109),C109))</f>
        <v/>
      </c>
      <c r="K109" s="45" t="str">
        <f>IF(G109="","",IF(COUNTIF($G$2:G109,G109)&gt;1,SUMIF($A$2:A109,G109,$D$2:D109),D109) +SUMIF($G$2:G109,G109,$M$2:M109))</f>
        <v/>
      </c>
      <c r="L109" s="45" t="str">
        <f t="shared" si="16"/>
        <v/>
      </c>
      <c r="M109" s="46" t="str">
        <f>IF(G109="","",IF(B109 = "BUY", 0,(E109-VLOOKUP(CONCATENATE(G109,(H109-1)),$I$2:L108,4,FALSE))*-C109))</f>
        <v/>
      </c>
    </row>
    <row r="110" spans="1:13" ht="15" thickBot="1" x14ac:dyDescent="0.35">
      <c r="A110" s="28" t="str">
        <f>IF('US Transaction'!A110= "","",'US Transaction'!A110)</f>
        <v/>
      </c>
      <c r="B110" s="28" t="str">
        <f>IF('US Transaction'!B110= "","",'US Transaction'!B110)</f>
        <v/>
      </c>
      <c r="C110" s="28" t="str">
        <f>IF('US Transaction'!C110= "","",IF(B110="BUY",'US Transaction'!C110,-'US Transaction'!C110))</f>
        <v/>
      </c>
      <c r="D110" s="28" t="str">
        <f>IF('US Transaction'!D110= "","",IF(B110="BUY",'US Transaction'!D110,-'US Transaction'!D110))</f>
        <v/>
      </c>
      <c r="E110" s="28" t="str">
        <f>IF('US Transaction'!E110= "","",'US Transaction'!E110)</f>
        <v/>
      </c>
      <c r="F110" s="23"/>
      <c r="G110" s="28" t="str">
        <f t="shared" si="14"/>
        <v/>
      </c>
      <c r="H110" s="28" t="str">
        <f>IF(A110="","",COUNTIF($G$2:G110,G110))</f>
        <v/>
      </c>
      <c r="I110" s="28" t="str">
        <f t="shared" si="15"/>
        <v/>
      </c>
      <c r="J110" s="28" t="str">
        <f>IF(G110="","",IF(COUNTIF($G$2:G110,G110)&gt;1,SUMIF($A$2:A110,G110,$C$2:C110),C110))</f>
        <v/>
      </c>
      <c r="K110" s="45" t="str">
        <f>IF(G110="","",IF(COUNTIF($G$2:G110,G110)&gt;1,SUMIF($A$2:A110,G110,$D$2:D110),D110) +SUMIF($G$2:G110,G110,$M$2:M110))</f>
        <v/>
      </c>
      <c r="L110" s="45" t="str">
        <f t="shared" si="16"/>
        <v/>
      </c>
      <c r="M110" s="46" t="str">
        <f>IF(G110="","",IF(B110 = "BUY", 0,(E110-VLOOKUP(CONCATENATE(G110,(H110-1)),$I$2:L109,4,FALSE))*-C110))</f>
        <v/>
      </c>
    </row>
    <row r="111" spans="1:13" ht="15" thickBot="1" x14ac:dyDescent="0.35">
      <c r="A111" s="28" t="str">
        <f>IF('US Transaction'!A111= "","",'US Transaction'!A111)</f>
        <v/>
      </c>
      <c r="B111" s="28" t="str">
        <f>IF('US Transaction'!B111= "","",'US Transaction'!B111)</f>
        <v/>
      </c>
      <c r="C111" s="28" t="str">
        <f>IF('US Transaction'!C111= "","",IF(B111="BUY",'US Transaction'!C111,-'US Transaction'!C111))</f>
        <v/>
      </c>
      <c r="D111" s="28" t="str">
        <f>IF('US Transaction'!D111= "","",IF(B111="BUY",'US Transaction'!D111,-'US Transaction'!D111))</f>
        <v/>
      </c>
      <c r="E111" s="28" t="str">
        <f>IF('US Transaction'!E111= "","",'US Transaction'!E111)</f>
        <v/>
      </c>
      <c r="F111" s="23"/>
      <c r="G111" s="28" t="str">
        <f t="shared" si="14"/>
        <v/>
      </c>
      <c r="H111" s="28" t="str">
        <f>IF(A111="","",COUNTIF($G$2:G111,G111))</f>
        <v/>
      </c>
      <c r="I111" s="28" t="str">
        <f t="shared" si="15"/>
        <v/>
      </c>
      <c r="J111" s="28" t="str">
        <f>IF(G111="","",IF(COUNTIF($G$2:G111,G111)&gt;1,SUMIF($A$2:A111,G111,$C$2:C111),C111))</f>
        <v/>
      </c>
      <c r="K111" s="45" t="str">
        <f>IF(G111="","",IF(COUNTIF($G$2:G111,G111)&gt;1,SUMIF($A$2:A111,G111,$D$2:D111),D111) +SUMIF($G$2:G111,G111,$M$2:M111))</f>
        <v/>
      </c>
      <c r="L111" s="45" t="str">
        <f t="shared" si="16"/>
        <v/>
      </c>
      <c r="M111" s="46" t="str">
        <f>IF(G111="","",IF(B111 = "BUY", 0,(E111-VLOOKUP(CONCATENATE(G111,(H111-1)),$I$2:L110,4,FALSE))*-C111))</f>
        <v/>
      </c>
    </row>
    <row r="112" spans="1:13" ht="15" thickBot="1" x14ac:dyDescent="0.35">
      <c r="A112" s="28" t="str">
        <f>IF('US Transaction'!A112= "","",'US Transaction'!A112)</f>
        <v/>
      </c>
      <c r="B112" s="28" t="str">
        <f>IF('US Transaction'!B112= "","",'US Transaction'!B112)</f>
        <v/>
      </c>
      <c r="C112" s="28" t="str">
        <f>IF('US Transaction'!C112= "","",IF(B112="BUY",'US Transaction'!C112,-'US Transaction'!C112))</f>
        <v/>
      </c>
      <c r="D112" s="28" t="str">
        <f>IF('US Transaction'!D112= "","",IF(B112="BUY",'US Transaction'!D112,-'US Transaction'!D112))</f>
        <v/>
      </c>
      <c r="E112" s="28" t="str">
        <f>IF('US Transaction'!E112= "","",'US Transaction'!E112)</f>
        <v/>
      </c>
      <c r="F112" s="23"/>
      <c r="G112" s="28" t="str">
        <f t="shared" si="14"/>
        <v/>
      </c>
      <c r="H112" s="28" t="str">
        <f>IF(A112="","",COUNTIF($G$2:G112,G112))</f>
        <v/>
      </c>
      <c r="I112" s="28" t="str">
        <f t="shared" si="15"/>
        <v/>
      </c>
      <c r="J112" s="28" t="str">
        <f>IF(G112="","",IF(COUNTIF($G$2:G112,G112)&gt;1,SUMIF($A$2:A112,G112,$C$2:C112),C112))</f>
        <v/>
      </c>
      <c r="K112" s="45" t="str">
        <f>IF(G112="","",IF(COUNTIF($G$2:G112,G112)&gt;1,SUMIF($A$2:A112,G112,$D$2:D112),D112) +SUMIF($G$2:G112,G112,$M$2:M112))</f>
        <v/>
      </c>
      <c r="L112" s="45" t="str">
        <f t="shared" si="16"/>
        <v/>
      </c>
      <c r="M112" s="46" t="str">
        <f>IF(G112="","",IF(B112 = "BUY", 0,(E112-VLOOKUP(CONCATENATE(G112,(H112-1)),$I$2:L111,4,FALSE))*-C112))</f>
        <v/>
      </c>
    </row>
    <row r="113" spans="1:13" ht="15" thickBot="1" x14ac:dyDescent="0.35">
      <c r="A113" s="28" t="str">
        <f>IF('US Transaction'!A113= "","",'US Transaction'!A113)</f>
        <v/>
      </c>
      <c r="B113" s="28" t="str">
        <f>IF('US Transaction'!B113= "","",'US Transaction'!B113)</f>
        <v/>
      </c>
      <c r="C113" s="28" t="str">
        <f>IF('US Transaction'!C113= "","",IF(B113="BUY",'US Transaction'!C113,-'US Transaction'!C113))</f>
        <v/>
      </c>
      <c r="D113" s="28" t="str">
        <f>IF('US Transaction'!D113= "","",IF(B113="BUY",'US Transaction'!D113,-'US Transaction'!D113))</f>
        <v/>
      </c>
      <c r="E113" s="28" t="str">
        <f>IF('US Transaction'!E113= "","",'US Transaction'!E113)</f>
        <v/>
      </c>
      <c r="F113" s="23"/>
      <c r="G113" s="28" t="str">
        <f t="shared" si="14"/>
        <v/>
      </c>
      <c r="H113" s="28" t="str">
        <f>IF(A113="","",COUNTIF($G$2:G113,G113))</f>
        <v/>
      </c>
      <c r="I113" s="28" t="str">
        <f t="shared" si="15"/>
        <v/>
      </c>
      <c r="J113" s="28" t="str">
        <f>IF(G113="","",IF(COUNTIF($G$2:G113,G113)&gt;1,SUMIF($A$2:A113,G113,$C$2:C113),C113))</f>
        <v/>
      </c>
      <c r="K113" s="45" t="str">
        <f>IF(G113="","",IF(COUNTIF($G$2:G113,G113)&gt;1,SUMIF($A$2:A113,G113,$D$2:D113),D113) +SUMIF($G$2:G113,G113,$M$2:M113))</f>
        <v/>
      </c>
      <c r="L113" s="45" t="str">
        <f t="shared" si="16"/>
        <v/>
      </c>
      <c r="M113" s="46" t="str">
        <f>IF(G113="","",IF(B113 = "BUY", 0,(E113-VLOOKUP(CONCATENATE(G113,(H113-1)),$I$2:L112,4,FALSE))*-C113))</f>
        <v/>
      </c>
    </row>
    <row r="114" spans="1:13" ht="15" thickBot="1" x14ac:dyDescent="0.35">
      <c r="A114" s="28" t="str">
        <f>IF('US Transaction'!A114= "","",'US Transaction'!A114)</f>
        <v/>
      </c>
      <c r="B114" s="28" t="str">
        <f>IF('US Transaction'!B114= "","",'US Transaction'!B114)</f>
        <v/>
      </c>
      <c r="C114" s="28" t="str">
        <f>IF('US Transaction'!C114= "","",IF(B114="BUY",'US Transaction'!C114,-'US Transaction'!C114))</f>
        <v/>
      </c>
      <c r="D114" s="28" t="str">
        <f>IF('US Transaction'!D114= "","",IF(B114="BUY",'US Transaction'!D114,-'US Transaction'!D114))</f>
        <v/>
      </c>
      <c r="E114" s="28" t="str">
        <f>IF('US Transaction'!E114= "","",'US Transaction'!E114)</f>
        <v/>
      </c>
      <c r="F114" s="23"/>
      <c r="G114" s="28" t="str">
        <f t="shared" si="14"/>
        <v/>
      </c>
      <c r="H114" s="28" t="str">
        <f>IF(A114="","",COUNTIF($G$2:G114,G114))</f>
        <v/>
      </c>
      <c r="I114" s="28" t="str">
        <f t="shared" si="15"/>
        <v/>
      </c>
      <c r="J114" s="28" t="str">
        <f>IF(G114="","",IF(COUNTIF($G$2:G114,G114)&gt;1,SUMIF($A$2:A114,G114,$C$2:C114),C114))</f>
        <v/>
      </c>
      <c r="K114" s="45" t="str">
        <f>IF(G114="","",IF(COUNTIF($G$2:G114,G114)&gt;1,SUMIF($A$2:A114,G114,$D$2:D114),D114) +SUMIF($G$2:G114,G114,$M$2:M114))</f>
        <v/>
      </c>
      <c r="L114" s="45" t="str">
        <f t="shared" si="16"/>
        <v/>
      </c>
      <c r="M114" s="46" t="str">
        <f>IF(G114="","",IF(B114 = "BUY", 0,(E114-VLOOKUP(CONCATENATE(G114,(H114-1)),$I$2:L113,4,FALSE))*-C114))</f>
        <v/>
      </c>
    </row>
    <row r="115" spans="1:13" ht="15" thickBot="1" x14ac:dyDescent="0.35">
      <c r="A115" s="28" t="str">
        <f>IF('US Transaction'!A115= "","",'US Transaction'!A115)</f>
        <v/>
      </c>
      <c r="B115" s="28" t="str">
        <f>IF('US Transaction'!B115= "","",'US Transaction'!B115)</f>
        <v/>
      </c>
      <c r="C115" s="28" t="str">
        <f>IF('US Transaction'!C115= "","",IF(B115="BUY",'US Transaction'!C115,-'US Transaction'!C115))</f>
        <v/>
      </c>
      <c r="D115" s="28" t="str">
        <f>IF('US Transaction'!D115= "","",IF(B115="BUY",'US Transaction'!D115,-'US Transaction'!D115))</f>
        <v/>
      </c>
      <c r="E115" s="28" t="str">
        <f>IF('US Transaction'!E115= "","",'US Transaction'!E115)</f>
        <v/>
      </c>
      <c r="F115" s="23"/>
      <c r="G115" s="28" t="str">
        <f t="shared" si="14"/>
        <v/>
      </c>
      <c r="H115" s="28" t="str">
        <f>IF(A115="","",COUNTIF($G$2:G115,G115))</f>
        <v/>
      </c>
      <c r="I115" s="28" t="str">
        <f t="shared" si="15"/>
        <v/>
      </c>
      <c r="J115" s="28" t="str">
        <f>IF(G115="","",IF(COUNTIF($G$2:G115,G115)&gt;1,SUMIF($A$2:A115,G115,$C$2:C115),C115))</f>
        <v/>
      </c>
      <c r="K115" s="45" t="str">
        <f>IF(G115="","",IF(COUNTIF($G$2:G115,G115)&gt;1,SUMIF($A$2:A115,G115,$D$2:D115),D115) +SUMIF($G$2:G115,G115,$M$2:M115))</f>
        <v/>
      </c>
      <c r="L115" s="45" t="str">
        <f t="shared" si="16"/>
        <v/>
      </c>
      <c r="M115" s="46" t="str">
        <f>IF(G115="","",IF(B115 = "BUY", 0,(E115-VLOOKUP(CONCATENATE(G115,(H115-1)),$I$2:L114,4,FALSE))*-C115))</f>
        <v/>
      </c>
    </row>
    <row r="116" spans="1:13" ht="15" thickBot="1" x14ac:dyDescent="0.35">
      <c r="A116" s="28" t="str">
        <f>IF('US Transaction'!A116= "","",'US Transaction'!A116)</f>
        <v/>
      </c>
      <c r="B116" s="28" t="str">
        <f>IF('US Transaction'!B116= "","",'US Transaction'!B116)</f>
        <v/>
      </c>
      <c r="C116" s="28" t="str">
        <f>IF('US Transaction'!C116= "","",IF(B116="BUY",'US Transaction'!C116,-'US Transaction'!C116))</f>
        <v/>
      </c>
      <c r="D116" s="28" t="str">
        <f>IF('US Transaction'!D116= "","",IF(B116="BUY",'US Transaction'!D116,-'US Transaction'!D116))</f>
        <v/>
      </c>
      <c r="E116" s="28" t="str">
        <f>IF('US Transaction'!E116= "","",'US Transaction'!E116)</f>
        <v/>
      </c>
      <c r="F116" s="23"/>
      <c r="G116" s="28" t="str">
        <f t="shared" si="14"/>
        <v/>
      </c>
      <c r="H116" s="28" t="str">
        <f>IF(A116="","",COUNTIF($G$2:G116,G116))</f>
        <v/>
      </c>
      <c r="I116" s="28" t="str">
        <f t="shared" si="15"/>
        <v/>
      </c>
      <c r="J116" s="28" t="str">
        <f>IF(G116="","",IF(COUNTIF($G$2:G116,G116)&gt;1,SUMIF($A$2:A116,G116,$C$2:C116),C116))</f>
        <v/>
      </c>
      <c r="K116" s="45" t="str">
        <f>IF(G116="","",IF(COUNTIF($G$2:G116,G116)&gt;1,SUMIF($A$2:A116,G116,$D$2:D116),D116) +SUMIF($G$2:G116,G116,$M$2:M116))</f>
        <v/>
      </c>
      <c r="L116" s="45" t="str">
        <f t="shared" si="16"/>
        <v/>
      </c>
      <c r="M116" s="46" t="str">
        <f>IF(G116="","",IF(B116 = "BUY", 0,(E116-VLOOKUP(CONCATENATE(G116,(H116-1)),$I$2:L115,4,FALSE))*-C116))</f>
        <v/>
      </c>
    </row>
    <row r="117" spans="1:13" ht="15" thickBot="1" x14ac:dyDescent="0.35">
      <c r="A117" s="28" t="str">
        <f>IF('US Transaction'!A117= "","",'US Transaction'!A117)</f>
        <v/>
      </c>
      <c r="B117" s="28" t="str">
        <f>IF('US Transaction'!B117= "","",'US Transaction'!B117)</f>
        <v/>
      </c>
      <c r="C117" s="28" t="str">
        <f>IF('US Transaction'!C117= "","",IF(B117="BUY",'US Transaction'!C117,-'US Transaction'!C117))</f>
        <v/>
      </c>
      <c r="D117" s="28" t="str">
        <f>IF('US Transaction'!D117= "","",IF(B117="BUY",'US Transaction'!D117,-'US Transaction'!D117))</f>
        <v/>
      </c>
      <c r="E117" s="28" t="str">
        <f>IF('US Transaction'!E117= "","",'US Transaction'!E117)</f>
        <v/>
      </c>
      <c r="F117" s="23"/>
      <c r="G117" s="28" t="str">
        <f t="shared" si="14"/>
        <v/>
      </c>
      <c r="H117" s="28" t="str">
        <f>IF(A117="","",COUNTIF($G$2:G117,G117))</f>
        <v/>
      </c>
      <c r="I117" s="28" t="str">
        <f t="shared" si="15"/>
        <v/>
      </c>
      <c r="J117" s="28" t="str">
        <f>IF(G117="","",IF(COUNTIF($G$2:G117,G117)&gt;1,SUMIF($A$2:A117,G117,$C$2:C117),C117))</f>
        <v/>
      </c>
      <c r="K117" s="45" t="str">
        <f>IF(G117="","",IF(COUNTIF($G$2:G117,G117)&gt;1,SUMIF($A$2:A117,G117,$D$2:D117),D117) +SUMIF($G$2:G117,G117,$M$2:M117))</f>
        <v/>
      </c>
      <c r="L117" s="45" t="str">
        <f t="shared" si="16"/>
        <v/>
      </c>
      <c r="M117" s="46" t="str">
        <f>IF(G117="","",IF(B117 = "BUY", 0,(E117-VLOOKUP(CONCATENATE(G117,(H117-1)),$I$2:L116,4,FALSE))*-C117))</f>
        <v/>
      </c>
    </row>
    <row r="118" spans="1:13" ht="15" thickBot="1" x14ac:dyDescent="0.35">
      <c r="A118" s="28" t="str">
        <f>IF('US Transaction'!A118= "","",'US Transaction'!A118)</f>
        <v/>
      </c>
      <c r="B118" s="28" t="str">
        <f>IF('US Transaction'!B118= "","",'US Transaction'!B118)</f>
        <v/>
      </c>
      <c r="C118" s="28" t="str">
        <f>IF('US Transaction'!C118= "","",IF(B118="BUY",'US Transaction'!C118,-'US Transaction'!C118))</f>
        <v/>
      </c>
      <c r="D118" s="28" t="str">
        <f>IF('US Transaction'!D118= "","",IF(B118="BUY",'US Transaction'!D118,-'US Transaction'!D118))</f>
        <v/>
      </c>
      <c r="E118" s="28" t="str">
        <f>IF('US Transaction'!E118= "","",'US Transaction'!E118)</f>
        <v/>
      </c>
      <c r="F118" s="23"/>
      <c r="G118" s="28" t="str">
        <f t="shared" si="14"/>
        <v/>
      </c>
      <c r="H118" s="28" t="str">
        <f>IF(A118="","",COUNTIF($G$2:G118,G118))</f>
        <v/>
      </c>
      <c r="I118" s="28" t="str">
        <f t="shared" si="15"/>
        <v/>
      </c>
      <c r="J118" s="28" t="str">
        <f>IF(G118="","",IF(COUNTIF($G$2:G118,G118)&gt;1,SUMIF($A$2:A118,G118,$C$2:C118),C118))</f>
        <v/>
      </c>
      <c r="K118" s="45" t="str">
        <f>IF(G118="","",IF(COUNTIF($G$2:G118,G118)&gt;1,SUMIF($A$2:A118,G118,$D$2:D118),D118) +SUMIF($G$2:G118,G118,$M$2:M118))</f>
        <v/>
      </c>
      <c r="L118" s="45" t="str">
        <f t="shared" si="16"/>
        <v/>
      </c>
      <c r="M118" s="46" t="str">
        <f>IF(G118="","",IF(B118 = "BUY", 0,(E118-VLOOKUP(CONCATENATE(G118,(H118-1)),$I$2:L117,4,FALSE))*-C118))</f>
        <v/>
      </c>
    </row>
    <row r="119" spans="1:13" ht="15" thickBot="1" x14ac:dyDescent="0.35">
      <c r="A119" s="28" t="str">
        <f>IF('US Transaction'!A119= "","",'US Transaction'!A119)</f>
        <v/>
      </c>
      <c r="B119" s="28" t="str">
        <f>IF('US Transaction'!B119= "","",'US Transaction'!B119)</f>
        <v/>
      </c>
      <c r="C119" s="28" t="str">
        <f>IF('US Transaction'!C119= "","",IF(B119="BUY",'US Transaction'!C119,-'US Transaction'!C119))</f>
        <v/>
      </c>
      <c r="D119" s="28" t="str">
        <f>IF('US Transaction'!D119= "","",IF(B119="BUY",'US Transaction'!D119,-'US Transaction'!D119))</f>
        <v/>
      </c>
      <c r="E119" s="28" t="str">
        <f>IF('US Transaction'!E119= "","",'US Transaction'!E119)</f>
        <v/>
      </c>
      <c r="F119" s="23"/>
      <c r="G119" s="28" t="str">
        <f t="shared" si="14"/>
        <v/>
      </c>
      <c r="H119" s="28" t="str">
        <f>IF(A119="","",COUNTIF($G$2:G119,G119))</f>
        <v/>
      </c>
      <c r="I119" s="28" t="str">
        <f t="shared" si="15"/>
        <v/>
      </c>
      <c r="J119" s="28" t="str">
        <f>IF(G119="","",IF(COUNTIF($G$2:G119,G119)&gt;1,SUMIF($A$2:A119,G119,$C$2:C119),C119))</f>
        <v/>
      </c>
      <c r="K119" s="45" t="str">
        <f>IF(G119="","",IF(COUNTIF($G$2:G119,G119)&gt;1,SUMIF($A$2:A119,G119,$D$2:D119),D119) +SUMIF($G$2:G119,G119,$M$2:M119))</f>
        <v/>
      </c>
      <c r="L119" s="45" t="str">
        <f t="shared" si="16"/>
        <v/>
      </c>
      <c r="M119" s="46" t="str">
        <f>IF(G119="","",IF(B119 = "BUY", 0,(E119-VLOOKUP(CONCATENATE(G119,(H119-1)),$I$2:L118,4,FALSE))*-C119))</f>
        <v/>
      </c>
    </row>
    <row r="120" spans="1:13" ht="15" thickBot="1" x14ac:dyDescent="0.35">
      <c r="A120" s="28" t="str">
        <f>IF('US Transaction'!A120= "","",'US Transaction'!A120)</f>
        <v/>
      </c>
      <c r="B120" s="28" t="str">
        <f>IF('US Transaction'!B120= "","",'US Transaction'!B120)</f>
        <v/>
      </c>
      <c r="C120" s="28" t="str">
        <f>IF('US Transaction'!C120= "","",IF(B120="BUY",'US Transaction'!C120,-'US Transaction'!C120))</f>
        <v/>
      </c>
      <c r="D120" s="28" t="str">
        <f>IF('US Transaction'!D120= "","",IF(B120="BUY",'US Transaction'!D120,-'US Transaction'!D120))</f>
        <v/>
      </c>
      <c r="E120" s="28" t="str">
        <f>IF('US Transaction'!E120= "","",'US Transaction'!E120)</f>
        <v/>
      </c>
      <c r="F120" s="23"/>
      <c r="G120" s="28" t="str">
        <f t="shared" si="14"/>
        <v/>
      </c>
      <c r="H120" s="28" t="str">
        <f>IF(A120="","",COUNTIF($G$2:G120,G120))</f>
        <v/>
      </c>
      <c r="I120" s="28" t="str">
        <f t="shared" si="15"/>
        <v/>
      </c>
      <c r="J120" s="28" t="str">
        <f>IF(G120="","",IF(COUNTIF($G$2:G120,G120)&gt;1,SUMIF($A$2:A120,G120,$C$2:C120),C120))</f>
        <v/>
      </c>
      <c r="K120" s="45" t="str">
        <f>IF(G120="","",IF(COUNTIF($G$2:G120,G120)&gt;1,SUMIF($A$2:A120,G120,$D$2:D120),D120) +SUMIF($G$2:G120,G120,$M$2:M120))</f>
        <v/>
      </c>
      <c r="L120" s="45" t="str">
        <f t="shared" si="16"/>
        <v/>
      </c>
      <c r="M120" s="46" t="str">
        <f>IF(G120="","",IF(B120 = "BUY", 0,(E120-VLOOKUP(CONCATENATE(G120,(H120-1)),$I$2:L119,4,FALSE))*-C120))</f>
        <v/>
      </c>
    </row>
    <row r="121" spans="1:13" ht="15" thickBot="1" x14ac:dyDescent="0.35">
      <c r="A121" s="28" t="str">
        <f>IF('US Transaction'!A121= "","",'US Transaction'!A121)</f>
        <v/>
      </c>
      <c r="B121" s="28" t="str">
        <f>IF('US Transaction'!B121= "","",'US Transaction'!B121)</f>
        <v/>
      </c>
      <c r="C121" s="28" t="str">
        <f>IF('US Transaction'!C121= "","",IF(B121="BUY",'US Transaction'!C121,-'US Transaction'!C121))</f>
        <v/>
      </c>
      <c r="D121" s="28" t="str">
        <f>IF('US Transaction'!D121= "","",IF(B121="BUY",'US Transaction'!D121,-'US Transaction'!D121))</f>
        <v/>
      </c>
      <c r="E121" s="28" t="str">
        <f>IF('US Transaction'!E121= "","",'US Transaction'!E121)</f>
        <v/>
      </c>
      <c r="F121" s="23"/>
      <c r="G121" s="28" t="str">
        <f t="shared" si="14"/>
        <v/>
      </c>
      <c r="H121" s="28" t="str">
        <f>IF(A121="","",COUNTIF($G$2:G121,G121))</f>
        <v/>
      </c>
      <c r="I121" s="28" t="str">
        <f t="shared" si="15"/>
        <v/>
      </c>
      <c r="J121" s="28" t="str">
        <f>IF(G121="","",IF(COUNTIF($G$2:G121,G121)&gt;1,SUMIF($A$2:A121,G121,$C$2:C121),C121))</f>
        <v/>
      </c>
      <c r="K121" s="45" t="str">
        <f>IF(G121="","",IF(COUNTIF($G$2:G121,G121)&gt;1,SUMIF($A$2:A121,G121,$D$2:D121),D121) +SUMIF($G$2:G121,G121,$M$2:M121))</f>
        <v/>
      </c>
      <c r="L121" s="45" t="str">
        <f t="shared" si="16"/>
        <v/>
      </c>
      <c r="M121" s="46" t="str">
        <f>IF(G121="","",IF(B121 = "BUY", 0,(E121-VLOOKUP(CONCATENATE(G121,(H121-1)),$I$2:L120,4,FALSE))*-C121))</f>
        <v/>
      </c>
    </row>
    <row r="122" spans="1:13" ht="15" thickBot="1" x14ac:dyDescent="0.35">
      <c r="A122" s="28" t="str">
        <f>IF('US Transaction'!A122= "","",'US Transaction'!A122)</f>
        <v/>
      </c>
      <c r="B122" s="28" t="str">
        <f>IF('US Transaction'!B122= "","",'US Transaction'!B122)</f>
        <v/>
      </c>
      <c r="C122" s="28" t="str">
        <f>IF('US Transaction'!C122= "","",IF(B122="BUY",'US Transaction'!C122,-'US Transaction'!C122))</f>
        <v/>
      </c>
      <c r="D122" s="28" t="str">
        <f>IF('US Transaction'!D122= "","",IF(B122="BUY",'US Transaction'!D122,-'US Transaction'!D122))</f>
        <v/>
      </c>
      <c r="E122" s="28" t="str">
        <f>IF('US Transaction'!E122= "","",'US Transaction'!E122)</f>
        <v/>
      </c>
      <c r="F122" s="23"/>
      <c r="G122" s="28" t="str">
        <f t="shared" si="14"/>
        <v/>
      </c>
      <c r="H122" s="28" t="str">
        <f>IF(A122="","",COUNTIF($G$2:G122,G122))</f>
        <v/>
      </c>
      <c r="I122" s="28" t="str">
        <f t="shared" si="15"/>
        <v/>
      </c>
      <c r="J122" s="28" t="str">
        <f>IF(G122="","",IF(COUNTIF($G$2:G122,G122)&gt;1,SUMIF($A$2:A122,G122,$C$2:C122),C122))</f>
        <v/>
      </c>
      <c r="K122" s="45" t="str">
        <f>IF(G122="","",IF(COUNTIF($G$2:G122,G122)&gt;1,SUMIF($A$2:A122,G122,$D$2:D122),D122) +SUMIF($G$2:G122,G122,$M$2:M122))</f>
        <v/>
      </c>
      <c r="L122" s="45" t="str">
        <f t="shared" si="16"/>
        <v/>
      </c>
      <c r="M122" s="46" t="str">
        <f>IF(G122="","",IF(B122 = "BUY", 0,(E122-VLOOKUP(CONCATENATE(G122,(H122-1)),$I$2:L121,4,FALSE))*-C122))</f>
        <v/>
      </c>
    </row>
    <row r="123" spans="1:13" ht="15" thickBot="1" x14ac:dyDescent="0.35">
      <c r="A123" s="28" t="str">
        <f>IF('US Transaction'!A123= "","",'US Transaction'!A123)</f>
        <v/>
      </c>
      <c r="B123" s="28" t="str">
        <f>IF('US Transaction'!B123= "","",'US Transaction'!B123)</f>
        <v/>
      </c>
      <c r="C123" s="28" t="str">
        <f>IF('US Transaction'!C123= "","",IF(B123="BUY",'US Transaction'!C123,-'US Transaction'!C123))</f>
        <v/>
      </c>
      <c r="D123" s="28" t="str">
        <f>IF('US Transaction'!D123= "","",IF(B123="BUY",'US Transaction'!D123,-'US Transaction'!D123))</f>
        <v/>
      </c>
      <c r="E123" s="28" t="str">
        <f>IF('US Transaction'!E123= "","",'US Transaction'!E123)</f>
        <v/>
      </c>
      <c r="F123" s="23"/>
      <c r="G123" s="28" t="str">
        <f t="shared" si="14"/>
        <v/>
      </c>
      <c r="H123" s="28" t="str">
        <f>IF(A123="","",COUNTIF($G$2:G123,G123))</f>
        <v/>
      </c>
      <c r="I123" s="28" t="str">
        <f t="shared" si="15"/>
        <v/>
      </c>
      <c r="J123" s="28" t="str">
        <f>IF(G123="","",IF(COUNTIF($G$2:G123,G123)&gt;1,SUMIF($A$2:A123,G123,$C$2:C123),C123))</f>
        <v/>
      </c>
      <c r="K123" s="45" t="str">
        <f>IF(G123="","",IF(COUNTIF($G$2:G123,G123)&gt;1,SUMIF($A$2:A123,G123,$D$2:D123),D123) +SUMIF($G$2:G123,G123,$M$2:M123))</f>
        <v/>
      </c>
      <c r="L123" s="45" t="str">
        <f t="shared" si="16"/>
        <v/>
      </c>
      <c r="M123" s="46" t="str">
        <f>IF(G123="","",IF(B123 = "BUY", 0,(E123-VLOOKUP(CONCATENATE(G123,(H123-1)),$I$2:L122,4,FALSE))*-C123))</f>
        <v/>
      </c>
    </row>
    <row r="124" spans="1:13" ht="15" thickBot="1" x14ac:dyDescent="0.35">
      <c r="A124" s="28" t="str">
        <f>IF('US Transaction'!A124= "","",'US Transaction'!A124)</f>
        <v/>
      </c>
      <c r="B124" s="28" t="str">
        <f>IF('US Transaction'!B124= "","",'US Transaction'!B124)</f>
        <v/>
      </c>
      <c r="C124" s="28" t="str">
        <f>IF('US Transaction'!C124= "","",IF(B124="BUY",'US Transaction'!C124,-'US Transaction'!C124))</f>
        <v/>
      </c>
      <c r="D124" s="28" t="str">
        <f>IF('US Transaction'!D124= "","",IF(B124="BUY",'US Transaction'!D124,-'US Transaction'!D124))</f>
        <v/>
      </c>
      <c r="E124" s="28" t="str">
        <f>IF('US Transaction'!E124= "","",'US Transaction'!E124)</f>
        <v/>
      </c>
      <c r="F124" s="23"/>
      <c r="G124" s="28" t="str">
        <f t="shared" si="14"/>
        <v/>
      </c>
      <c r="H124" s="28" t="str">
        <f>IF(A124="","",COUNTIF($G$2:G124,G124))</f>
        <v/>
      </c>
      <c r="I124" s="28" t="str">
        <f t="shared" si="15"/>
        <v/>
      </c>
      <c r="J124" s="28" t="str">
        <f>IF(G124="","",IF(COUNTIF($G$2:G124,G124)&gt;1,SUMIF($A$2:A124,G124,$C$2:C124),C124))</f>
        <v/>
      </c>
      <c r="K124" s="45" t="str">
        <f>IF(G124="","",IF(COUNTIF($G$2:G124,G124)&gt;1,SUMIF($A$2:A124,G124,$D$2:D124),D124) +SUMIF($G$2:G124,G124,$M$2:M124))</f>
        <v/>
      </c>
      <c r="L124" s="45" t="str">
        <f t="shared" si="16"/>
        <v/>
      </c>
      <c r="M124" s="46" t="str">
        <f>IF(G124="","",IF(B124 = "BUY", 0,(E124-VLOOKUP(CONCATENATE(G124,(H124-1)),$I$2:L123,4,FALSE))*-C124))</f>
        <v/>
      </c>
    </row>
    <row r="125" spans="1:13" ht="15" thickBot="1" x14ac:dyDescent="0.35">
      <c r="A125" s="28" t="str">
        <f>IF('US Transaction'!A125= "","",'US Transaction'!A125)</f>
        <v/>
      </c>
      <c r="B125" s="28" t="str">
        <f>IF('US Transaction'!B125= "","",'US Transaction'!B125)</f>
        <v/>
      </c>
      <c r="C125" s="28" t="str">
        <f>IF('US Transaction'!C125= "","",IF(B125="BUY",'US Transaction'!C125,-'US Transaction'!C125))</f>
        <v/>
      </c>
      <c r="D125" s="28" t="str">
        <f>IF('US Transaction'!D125= "","",IF(B125="BUY",'US Transaction'!D125,-'US Transaction'!D125))</f>
        <v/>
      </c>
      <c r="E125" s="28" t="str">
        <f>IF('US Transaction'!E125= "","",'US Transaction'!E125)</f>
        <v/>
      </c>
      <c r="F125" s="23"/>
      <c r="G125" s="28" t="str">
        <f t="shared" si="14"/>
        <v/>
      </c>
      <c r="H125" s="28" t="str">
        <f>IF(A125="","",COUNTIF($G$2:G125,G125))</f>
        <v/>
      </c>
      <c r="I125" s="28" t="str">
        <f t="shared" si="15"/>
        <v/>
      </c>
      <c r="J125" s="28" t="str">
        <f>IF(G125="","",IF(COUNTIF($G$2:G125,G125)&gt;1,SUMIF($A$2:A125,G125,$C$2:C125),C125))</f>
        <v/>
      </c>
      <c r="K125" s="45" t="str">
        <f>IF(G125="","",IF(COUNTIF($G$2:G125,G125)&gt;1,SUMIF($A$2:A125,G125,$D$2:D125),D125) +SUMIF($G$2:G125,G125,$M$2:M125))</f>
        <v/>
      </c>
      <c r="L125" s="45" t="str">
        <f t="shared" si="16"/>
        <v/>
      </c>
      <c r="M125" s="46" t="str">
        <f>IF(G125="","",IF(B125 = "BUY", 0,(E125-VLOOKUP(CONCATENATE(G125,(H125-1)),$I$2:L124,4,FALSE))*-C125))</f>
        <v/>
      </c>
    </row>
    <row r="126" spans="1:13" ht="15" thickBot="1" x14ac:dyDescent="0.35">
      <c r="A126" s="28" t="str">
        <f>IF('US Transaction'!A126= "","",'US Transaction'!A126)</f>
        <v/>
      </c>
      <c r="B126" s="28" t="str">
        <f>IF('US Transaction'!B126= "","",'US Transaction'!B126)</f>
        <v/>
      </c>
      <c r="C126" s="28" t="str">
        <f>IF('US Transaction'!C126= "","",IF(B126="BUY",'US Transaction'!C126,-'US Transaction'!C126))</f>
        <v/>
      </c>
      <c r="D126" s="28" t="str">
        <f>IF('US Transaction'!D126= "","",IF(B126="BUY",'US Transaction'!D126,-'US Transaction'!D126))</f>
        <v/>
      </c>
      <c r="E126" s="28" t="str">
        <f>IF('US Transaction'!E126= "","",'US Transaction'!E126)</f>
        <v/>
      </c>
      <c r="F126" s="23"/>
      <c r="G126" s="28" t="str">
        <f t="shared" si="14"/>
        <v/>
      </c>
      <c r="H126" s="28" t="str">
        <f>IF(A126="","",COUNTIF($G$2:G126,G126))</f>
        <v/>
      </c>
      <c r="I126" s="28" t="str">
        <f t="shared" si="15"/>
        <v/>
      </c>
      <c r="J126" s="28" t="str">
        <f>IF(G126="","",IF(COUNTIF($G$2:G126,G126)&gt;1,SUMIF($A$2:A126,G126,$C$2:C126),C126))</f>
        <v/>
      </c>
      <c r="K126" s="45" t="str">
        <f>IF(G126="","",IF(COUNTIF($G$2:G126,G126)&gt;1,SUMIF($A$2:A126,G126,$D$2:D126),D126) +SUMIF($G$2:G126,G126,$M$2:M126))</f>
        <v/>
      </c>
      <c r="L126" s="45" t="str">
        <f t="shared" si="16"/>
        <v/>
      </c>
      <c r="M126" s="46" t="str">
        <f>IF(G126="","",IF(B126 = "BUY", 0,(E126-VLOOKUP(CONCATENATE(G126,(H126-1)),$I$2:L125,4,FALSE))*-C126))</f>
        <v/>
      </c>
    </row>
    <row r="127" spans="1:13" ht="15" thickBot="1" x14ac:dyDescent="0.35">
      <c r="A127" s="28" t="str">
        <f>IF('US Transaction'!A127= "","",'US Transaction'!A127)</f>
        <v/>
      </c>
      <c r="B127" s="28" t="str">
        <f>IF('US Transaction'!B127= "","",'US Transaction'!B127)</f>
        <v/>
      </c>
      <c r="C127" s="28" t="str">
        <f>IF('US Transaction'!C127= "","",IF(B127="BUY",'US Transaction'!C127,-'US Transaction'!C127))</f>
        <v/>
      </c>
      <c r="D127" s="28" t="str">
        <f>IF('US Transaction'!D127= "","",IF(B127="BUY",'US Transaction'!D127,-'US Transaction'!D127))</f>
        <v/>
      </c>
      <c r="E127" s="28" t="str">
        <f>IF('US Transaction'!E127= "","",'US Transaction'!E127)</f>
        <v/>
      </c>
      <c r="F127" s="23"/>
      <c r="G127" s="28" t="str">
        <f t="shared" si="14"/>
        <v/>
      </c>
      <c r="H127" s="28" t="str">
        <f>IF(A127="","",COUNTIF($G$2:G127,G127))</f>
        <v/>
      </c>
      <c r="I127" s="28" t="str">
        <f t="shared" si="15"/>
        <v/>
      </c>
      <c r="J127" s="28" t="str">
        <f>IF(G127="","",IF(COUNTIF($G$2:G127,G127)&gt;1,SUMIF($A$2:A127,G127,$C$2:C127),C127))</f>
        <v/>
      </c>
      <c r="K127" s="45" t="str">
        <f>IF(G127="","",IF(COUNTIF($G$2:G127,G127)&gt;1,SUMIF($A$2:A127,G127,$D$2:D127),D127) +SUMIF($G$2:G127,G127,$M$2:M127))</f>
        <v/>
      </c>
      <c r="L127" s="45" t="str">
        <f t="shared" si="16"/>
        <v/>
      </c>
      <c r="M127" s="46" t="str">
        <f>IF(G127="","",IF(B127 = "BUY", 0,(E127-VLOOKUP(CONCATENATE(G127,(H127-1)),$I$2:L126,4,FALSE))*-C127))</f>
        <v/>
      </c>
    </row>
    <row r="128" spans="1:13" ht="15" thickBot="1" x14ac:dyDescent="0.35">
      <c r="A128" s="28" t="str">
        <f>IF('US Transaction'!A128= "","",'US Transaction'!A128)</f>
        <v/>
      </c>
      <c r="B128" s="28" t="str">
        <f>IF('US Transaction'!B128= "","",'US Transaction'!B128)</f>
        <v/>
      </c>
      <c r="C128" s="28" t="str">
        <f>IF('US Transaction'!C128= "","",IF(B128="BUY",'US Transaction'!C128,-'US Transaction'!C128))</f>
        <v/>
      </c>
      <c r="D128" s="28" t="str">
        <f>IF('US Transaction'!D128= "","",IF(B128="BUY",'US Transaction'!D128,-'US Transaction'!D128))</f>
        <v/>
      </c>
      <c r="E128" s="28" t="str">
        <f>IF('US Transaction'!E128= "","",'US Transaction'!E128)</f>
        <v/>
      </c>
      <c r="F128" s="23"/>
      <c r="G128" s="28" t="str">
        <f t="shared" si="14"/>
        <v/>
      </c>
      <c r="H128" s="28" t="str">
        <f>IF(A128="","",COUNTIF($G$2:G128,G128))</f>
        <v/>
      </c>
      <c r="I128" s="28" t="str">
        <f t="shared" si="15"/>
        <v/>
      </c>
      <c r="J128" s="28" t="str">
        <f>IF(G128="","",IF(COUNTIF($G$2:G128,G128)&gt;1,SUMIF($A$2:A128,G128,$C$2:C128),C128))</f>
        <v/>
      </c>
      <c r="K128" s="45" t="str">
        <f>IF(G128="","",IF(COUNTIF($G$2:G128,G128)&gt;1,SUMIF($A$2:A128,G128,$D$2:D128),D128) +SUMIF($G$2:G128,G128,$M$2:M128))</f>
        <v/>
      </c>
      <c r="L128" s="45" t="str">
        <f t="shared" si="16"/>
        <v/>
      </c>
      <c r="M128" s="46" t="str">
        <f>IF(G128="","",IF(B128 = "BUY", 0,(E128-VLOOKUP(CONCATENATE(G128,(H128-1)),$I$2:L127,4,FALSE))*-C128))</f>
        <v/>
      </c>
    </row>
    <row r="129" spans="1:13" ht="15" thickBot="1" x14ac:dyDescent="0.35">
      <c r="A129" s="28" t="str">
        <f>IF('US Transaction'!A129= "","",'US Transaction'!A129)</f>
        <v/>
      </c>
      <c r="B129" s="28" t="str">
        <f>IF('US Transaction'!B129= "","",'US Transaction'!B129)</f>
        <v/>
      </c>
      <c r="C129" s="28" t="str">
        <f>IF('US Transaction'!C129= "","",IF(B129="BUY",'US Transaction'!C129,-'US Transaction'!C129))</f>
        <v/>
      </c>
      <c r="D129" s="28" t="str">
        <f>IF('US Transaction'!D129= "","",IF(B129="BUY",'US Transaction'!D129,-'US Transaction'!D129))</f>
        <v/>
      </c>
      <c r="E129" s="28" t="str">
        <f>IF('US Transaction'!E129= "","",'US Transaction'!E129)</f>
        <v/>
      </c>
      <c r="F129" s="23"/>
      <c r="G129" s="28" t="str">
        <f t="shared" si="14"/>
        <v/>
      </c>
      <c r="H129" s="28" t="str">
        <f>IF(A129="","",COUNTIF($G$2:G129,G129))</f>
        <v/>
      </c>
      <c r="I129" s="28" t="str">
        <f t="shared" si="15"/>
        <v/>
      </c>
      <c r="J129" s="28" t="str">
        <f>IF(G129="","",IF(COUNTIF($G$2:G129,G129)&gt;1,SUMIF($A$2:A129,G129,$C$2:C129),C129))</f>
        <v/>
      </c>
      <c r="K129" s="45" t="str">
        <f>IF(G129="","",IF(COUNTIF($G$2:G129,G129)&gt;1,SUMIF($A$2:A129,G129,$D$2:D129),D129) +SUMIF($G$2:G129,G129,$M$2:M129))</f>
        <v/>
      </c>
      <c r="L129" s="45" t="str">
        <f t="shared" si="16"/>
        <v/>
      </c>
      <c r="M129" s="46" t="str">
        <f>IF(G129="","",IF(B129 = "BUY", 0,(E129-VLOOKUP(CONCATENATE(G129,(H129-1)),$I$2:L128,4,FALSE))*-C129))</f>
        <v/>
      </c>
    </row>
    <row r="130" spans="1:13" ht="15" thickBot="1" x14ac:dyDescent="0.35">
      <c r="A130" s="28" t="str">
        <f>IF('US Transaction'!A130= "","",'US Transaction'!A130)</f>
        <v/>
      </c>
      <c r="B130" s="28" t="str">
        <f>IF('US Transaction'!B130= "","",'US Transaction'!B130)</f>
        <v/>
      </c>
      <c r="C130" s="28" t="str">
        <f>IF('US Transaction'!C130= "","",IF(B130="BUY",'US Transaction'!C130,-'US Transaction'!C130))</f>
        <v/>
      </c>
      <c r="D130" s="28" t="str">
        <f>IF('US Transaction'!D130= "","",IF(B130="BUY",'US Transaction'!D130,-'US Transaction'!D130))</f>
        <v/>
      </c>
      <c r="E130" s="28" t="str">
        <f>IF('US Transaction'!E130= "","",'US Transaction'!E130)</f>
        <v/>
      </c>
      <c r="F130" s="23"/>
      <c r="G130" s="28" t="str">
        <f t="shared" si="14"/>
        <v/>
      </c>
      <c r="H130" s="28" t="str">
        <f>IF(A130="","",COUNTIF($G$2:G130,G130))</f>
        <v/>
      </c>
      <c r="I130" s="28" t="str">
        <f t="shared" si="15"/>
        <v/>
      </c>
      <c r="J130" s="28" t="str">
        <f>IF(G130="","",IF(COUNTIF($G$2:G130,G130)&gt;1,SUMIF($A$2:A130,G130,$C$2:C130),C130))</f>
        <v/>
      </c>
      <c r="K130" s="45" t="str">
        <f>IF(G130="","",IF(COUNTIF($G$2:G130,G130)&gt;1,SUMIF($A$2:A130,G130,$D$2:D130),D130) +SUMIF($G$2:G130,G130,$M$2:M130))</f>
        <v/>
      </c>
      <c r="L130" s="45" t="str">
        <f t="shared" si="16"/>
        <v/>
      </c>
      <c r="M130" s="46" t="str">
        <f>IF(G130="","",IF(B130 = "BUY", 0,(E130-VLOOKUP(CONCATENATE(G130,(H130-1)),$I$2:L129,4,FALSE))*-C130))</f>
        <v/>
      </c>
    </row>
    <row r="131" spans="1:13" ht="15" thickBot="1" x14ac:dyDescent="0.35">
      <c r="A131" s="28" t="str">
        <f>IF('US Transaction'!A131= "","",'US Transaction'!A131)</f>
        <v/>
      </c>
      <c r="B131" s="28" t="str">
        <f>IF('US Transaction'!B131= "","",'US Transaction'!B131)</f>
        <v/>
      </c>
      <c r="C131" s="28" t="str">
        <f>IF('US Transaction'!C131= "","",IF(B131="BUY",'US Transaction'!C131,-'US Transaction'!C131))</f>
        <v/>
      </c>
      <c r="D131" s="28" t="str">
        <f>IF('US Transaction'!D131= "","",IF(B131="BUY",'US Transaction'!D131,-'US Transaction'!D131))</f>
        <v/>
      </c>
      <c r="E131" s="28" t="str">
        <f>IF('US Transaction'!E131= "","",'US Transaction'!E131)</f>
        <v/>
      </c>
      <c r="F131" s="23"/>
      <c r="G131" s="28" t="str">
        <f t="shared" ref="G131:G194" si="17">A131</f>
        <v/>
      </c>
      <c r="H131" s="28" t="str">
        <f>IF(A131="","",COUNTIF($G$2:G131,G131))</f>
        <v/>
      </c>
      <c r="I131" s="28" t="str">
        <f t="shared" ref="I131:I194" si="18">_xlfn.CONCAT(G131,H131)</f>
        <v/>
      </c>
      <c r="J131" s="28" t="str">
        <f>IF(G131="","",IF(COUNTIF($G$2:G131,G131)&gt;1,SUMIF($A$2:A131,G131,$C$2:C131),C131))</f>
        <v/>
      </c>
      <c r="K131" s="45" t="str">
        <f>IF(G131="","",IF(COUNTIF($G$2:G131,G131)&gt;1,SUMIF($A$2:A131,G131,$D$2:D131),D131) +SUMIF($G$2:G131,G131,$M$2:M131))</f>
        <v/>
      </c>
      <c r="L131" s="45" t="str">
        <f t="shared" ref="L131:L194" si="19">IF(G131="","",IFERROR(K131/J131,0))</f>
        <v/>
      </c>
      <c r="M131" s="46" t="str">
        <f>IF(G131="","",IF(B131 = "BUY", 0,(E131-VLOOKUP(CONCATENATE(G131,(H131-1)),$I$2:L130,4,FALSE))*-C131))</f>
        <v/>
      </c>
    </row>
    <row r="132" spans="1:13" ht="15" thickBot="1" x14ac:dyDescent="0.35">
      <c r="A132" s="28" t="str">
        <f>IF('US Transaction'!A132= "","",'US Transaction'!A132)</f>
        <v/>
      </c>
      <c r="B132" s="28" t="str">
        <f>IF('US Transaction'!B132= "","",'US Transaction'!B132)</f>
        <v/>
      </c>
      <c r="C132" s="28" t="str">
        <f>IF('US Transaction'!C132= "","",IF(B132="BUY",'US Transaction'!C132,-'US Transaction'!C132))</f>
        <v/>
      </c>
      <c r="D132" s="28" t="str">
        <f>IF('US Transaction'!D132= "","",IF(B132="BUY",'US Transaction'!D132,-'US Transaction'!D132))</f>
        <v/>
      </c>
      <c r="E132" s="28" t="str">
        <f>IF('US Transaction'!E132= "","",'US Transaction'!E132)</f>
        <v/>
      </c>
      <c r="F132" s="23"/>
      <c r="G132" s="28" t="str">
        <f t="shared" si="17"/>
        <v/>
      </c>
      <c r="H132" s="28" t="str">
        <f>IF(A132="","",COUNTIF($G$2:G132,G132))</f>
        <v/>
      </c>
      <c r="I132" s="28" t="str">
        <f t="shared" si="18"/>
        <v/>
      </c>
      <c r="J132" s="28" t="str">
        <f>IF(G132="","",IF(COUNTIF($G$2:G132,G132)&gt;1,SUMIF($A$2:A132,G132,$C$2:C132),C132))</f>
        <v/>
      </c>
      <c r="K132" s="45" t="str">
        <f>IF(G132="","",IF(COUNTIF($G$2:G132,G132)&gt;1,SUMIF($A$2:A132,G132,$D$2:D132),D132) +SUMIF($G$2:G132,G132,$M$2:M132))</f>
        <v/>
      </c>
      <c r="L132" s="45" t="str">
        <f t="shared" si="19"/>
        <v/>
      </c>
      <c r="M132" s="46" t="str">
        <f>IF(G132="","",IF(B132 = "BUY", 0,(E132-VLOOKUP(CONCATENATE(G132,(H132-1)),$I$2:L131,4,FALSE))*-C132))</f>
        <v/>
      </c>
    </row>
    <row r="133" spans="1:13" ht="15" thickBot="1" x14ac:dyDescent="0.35">
      <c r="A133" s="28" t="str">
        <f>IF('US Transaction'!A133= "","",'US Transaction'!A133)</f>
        <v/>
      </c>
      <c r="B133" s="28" t="str">
        <f>IF('US Transaction'!B133= "","",'US Transaction'!B133)</f>
        <v/>
      </c>
      <c r="C133" s="28" t="str">
        <f>IF('US Transaction'!C133= "","",IF(B133="BUY",'US Transaction'!C133,-'US Transaction'!C133))</f>
        <v/>
      </c>
      <c r="D133" s="28" t="str">
        <f>IF('US Transaction'!D133= "","",IF(B133="BUY",'US Transaction'!D133,-'US Transaction'!D133))</f>
        <v/>
      </c>
      <c r="E133" s="28" t="str">
        <f>IF('US Transaction'!E133= "","",'US Transaction'!E133)</f>
        <v/>
      </c>
      <c r="F133" s="23"/>
      <c r="G133" s="28" t="str">
        <f t="shared" si="17"/>
        <v/>
      </c>
      <c r="H133" s="28" t="str">
        <f>IF(A133="","",COUNTIF($G$2:G133,G133))</f>
        <v/>
      </c>
      <c r="I133" s="28" t="str">
        <f t="shared" si="18"/>
        <v/>
      </c>
      <c r="J133" s="28" t="str">
        <f>IF(G133="","",IF(COUNTIF($G$2:G133,G133)&gt;1,SUMIF($A$2:A133,G133,$C$2:C133),C133))</f>
        <v/>
      </c>
      <c r="K133" s="45" t="str">
        <f>IF(G133="","",IF(COUNTIF($G$2:G133,G133)&gt;1,SUMIF($A$2:A133,G133,$D$2:D133),D133) +SUMIF($G$2:G133,G133,$M$2:M133))</f>
        <v/>
      </c>
      <c r="L133" s="45" t="str">
        <f t="shared" si="19"/>
        <v/>
      </c>
      <c r="M133" s="46" t="str">
        <f>IF(G133="","",IF(B133 = "BUY", 0,(E133-VLOOKUP(CONCATENATE(G133,(H133-1)),$I$2:L132,4,FALSE))*-C133))</f>
        <v/>
      </c>
    </row>
    <row r="134" spans="1:13" ht="15" thickBot="1" x14ac:dyDescent="0.35">
      <c r="A134" s="28" t="str">
        <f>IF('US Transaction'!A134= "","",'US Transaction'!A134)</f>
        <v/>
      </c>
      <c r="B134" s="28" t="str">
        <f>IF('US Transaction'!B134= "","",'US Transaction'!B134)</f>
        <v/>
      </c>
      <c r="C134" s="28" t="str">
        <f>IF('US Transaction'!C134= "","",IF(B134="BUY",'US Transaction'!C134,-'US Transaction'!C134))</f>
        <v/>
      </c>
      <c r="D134" s="28" t="str">
        <f>IF('US Transaction'!D134= "","",IF(B134="BUY",'US Transaction'!D134,-'US Transaction'!D134))</f>
        <v/>
      </c>
      <c r="E134" s="28" t="str">
        <f>IF('US Transaction'!E134= "","",'US Transaction'!E134)</f>
        <v/>
      </c>
      <c r="F134" s="23"/>
      <c r="G134" s="28" t="str">
        <f t="shared" si="17"/>
        <v/>
      </c>
      <c r="H134" s="28" t="str">
        <f>IF(A134="","",COUNTIF($G$2:G134,G134))</f>
        <v/>
      </c>
      <c r="I134" s="28" t="str">
        <f t="shared" si="18"/>
        <v/>
      </c>
      <c r="J134" s="28" t="str">
        <f>IF(G134="","",IF(COUNTIF($G$2:G134,G134)&gt;1,SUMIF($A$2:A134,G134,$C$2:C134),C134))</f>
        <v/>
      </c>
      <c r="K134" s="45" t="str">
        <f>IF(G134="","",IF(COUNTIF($G$2:G134,G134)&gt;1,SUMIF($A$2:A134,G134,$D$2:D134),D134) +SUMIF($G$2:G134,G134,$M$2:M134))</f>
        <v/>
      </c>
      <c r="L134" s="45" t="str">
        <f t="shared" si="19"/>
        <v/>
      </c>
      <c r="M134" s="46" t="str">
        <f>IF(G134="","",IF(B134 = "BUY", 0,(E134-VLOOKUP(CONCATENATE(G134,(H134-1)),$I$2:L133,4,FALSE))*-C134))</f>
        <v/>
      </c>
    </row>
    <row r="135" spans="1:13" ht="15" thickBot="1" x14ac:dyDescent="0.35">
      <c r="A135" s="28" t="str">
        <f>IF('US Transaction'!A135= "","",'US Transaction'!A135)</f>
        <v/>
      </c>
      <c r="B135" s="28" t="str">
        <f>IF('US Transaction'!B135= "","",'US Transaction'!B135)</f>
        <v/>
      </c>
      <c r="C135" s="28" t="str">
        <f>IF('US Transaction'!C135= "","",IF(B135="BUY",'US Transaction'!C135,-'US Transaction'!C135))</f>
        <v/>
      </c>
      <c r="D135" s="28" t="str">
        <f>IF('US Transaction'!D135= "","",IF(B135="BUY",'US Transaction'!D135,-'US Transaction'!D135))</f>
        <v/>
      </c>
      <c r="E135" s="28" t="str">
        <f>IF('US Transaction'!E135= "","",'US Transaction'!E135)</f>
        <v/>
      </c>
      <c r="F135" s="23"/>
      <c r="G135" s="28" t="str">
        <f t="shared" si="17"/>
        <v/>
      </c>
      <c r="H135" s="28" t="str">
        <f>IF(A135="","",COUNTIF($G$2:G135,G135))</f>
        <v/>
      </c>
      <c r="I135" s="28" t="str">
        <f t="shared" si="18"/>
        <v/>
      </c>
      <c r="J135" s="28" t="str">
        <f>IF(G135="","",IF(COUNTIF($G$2:G135,G135)&gt;1,SUMIF($A$2:A135,G135,$C$2:C135),C135))</f>
        <v/>
      </c>
      <c r="K135" s="45" t="str">
        <f>IF(G135="","",IF(COUNTIF($G$2:G135,G135)&gt;1,SUMIF($A$2:A135,G135,$D$2:D135),D135) +SUMIF($G$2:G135,G135,$M$2:M135))</f>
        <v/>
      </c>
      <c r="L135" s="45" t="str">
        <f t="shared" si="19"/>
        <v/>
      </c>
      <c r="M135" s="46" t="str">
        <f>IF(G135="","",IF(B135 = "BUY", 0,(E135-VLOOKUP(CONCATENATE(G135,(H135-1)),$I$2:L134,4,FALSE))*-C135))</f>
        <v/>
      </c>
    </row>
    <row r="136" spans="1:13" ht="15" thickBot="1" x14ac:dyDescent="0.35">
      <c r="A136" s="28" t="str">
        <f>IF('US Transaction'!A136= "","",'US Transaction'!A136)</f>
        <v/>
      </c>
      <c r="B136" s="28" t="str">
        <f>IF('US Transaction'!B136= "","",'US Transaction'!B136)</f>
        <v/>
      </c>
      <c r="C136" s="28" t="str">
        <f>IF('US Transaction'!C136= "","",IF(B136="BUY",'US Transaction'!C136,-'US Transaction'!C136))</f>
        <v/>
      </c>
      <c r="D136" s="28" t="str">
        <f>IF('US Transaction'!D136= "","",IF(B136="BUY",'US Transaction'!D136,-'US Transaction'!D136))</f>
        <v/>
      </c>
      <c r="E136" s="28" t="str">
        <f>IF('US Transaction'!E136= "","",'US Transaction'!E136)</f>
        <v/>
      </c>
      <c r="F136" s="23"/>
      <c r="G136" s="28" t="str">
        <f t="shared" si="17"/>
        <v/>
      </c>
      <c r="H136" s="28" t="str">
        <f>IF(A136="","",COUNTIF($G$2:G136,G136))</f>
        <v/>
      </c>
      <c r="I136" s="28" t="str">
        <f t="shared" si="18"/>
        <v/>
      </c>
      <c r="J136" s="28" t="str">
        <f>IF(G136="","",IF(COUNTIF($G$2:G136,G136)&gt;1,SUMIF($A$2:A136,G136,$C$2:C136),C136))</f>
        <v/>
      </c>
      <c r="K136" s="45" t="str">
        <f>IF(G136="","",IF(COUNTIF($G$2:G136,G136)&gt;1,SUMIF($A$2:A136,G136,$D$2:D136),D136) +SUMIF($G$2:G136,G136,$M$2:M136))</f>
        <v/>
      </c>
      <c r="L136" s="45" t="str">
        <f t="shared" si="19"/>
        <v/>
      </c>
      <c r="M136" s="46" t="str">
        <f>IF(G136="","",IF(B136 = "BUY", 0,(E136-VLOOKUP(CONCATENATE(G136,(H136-1)),$I$2:L135,4,FALSE))*-C136))</f>
        <v/>
      </c>
    </row>
    <row r="137" spans="1:13" ht="15" thickBot="1" x14ac:dyDescent="0.35">
      <c r="A137" s="28" t="str">
        <f>IF('US Transaction'!A137= "","",'US Transaction'!A137)</f>
        <v/>
      </c>
      <c r="B137" s="28" t="str">
        <f>IF('US Transaction'!B137= "","",'US Transaction'!B137)</f>
        <v/>
      </c>
      <c r="C137" s="28" t="str">
        <f>IF('US Transaction'!C137= "","",IF(B137="BUY",'US Transaction'!C137,-'US Transaction'!C137))</f>
        <v/>
      </c>
      <c r="D137" s="28" t="str">
        <f>IF('US Transaction'!D137= "","",IF(B137="BUY",'US Transaction'!D137,-'US Transaction'!D137))</f>
        <v/>
      </c>
      <c r="E137" s="28" t="str">
        <f>IF('US Transaction'!E137= "","",'US Transaction'!E137)</f>
        <v/>
      </c>
      <c r="F137" s="23"/>
      <c r="G137" s="28" t="str">
        <f t="shared" si="17"/>
        <v/>
      </c>
      <c r="H137" s="28" t="str">
        <f>IF(A137="","",COUNTIF($G$2:G137,G137))</f>
        <v/>
      </c>
      <c r="I137" s="28" t="str">
        <f t="shared" si="18"/>
        <v/>
      </c>
      <c r="J137" s="28" t="str">
        <f>IF(G137="","",IF(COUNTIF($G$2:G137,G137)&gt;1,SUMIF($A$2:A137,G137,$C$2:C137),C137))</f>
        <v/>
      </c>
      <c r="K137" s="45" t="str">
        <f>IF(G137="","",IF(COUNTIF($G$2:G137,G137)&gt;1,SUMIF($A$2:A137,G137,$D$2:D137),D137) +SUMIF($G$2:G137,G137,$M$2:M137))</f>
        <v/>
      </c>
      <c r="L137" s="45" t="str">
        <f t="shared" si="19"/>
        <v/>
      </c>
      <c r="M137" s="46" t="str">
        <f>IF(G137="","",IF(B137 = "BUY", 0,(E137-VLOOKUP(CONCATENATE(G137,(H137-1)),$I$2:L136,4,FALSE))*-C137))</f>
        <v/>
      </c>
    </row>
    <row r="138" spans="1:13" ht="15" thickBot="1" x14ac:dyDescent="0.35">
      <c r="A138" s="28" t="str">
        <f>IF('US Transaction'!A138= "","",'US Transaction'!A138)</f>
        <v/>
      </c>
      <c r="B138" s="28" t="str">
        <f>IF('US Transaction'!B138= "","",'US Transaction'!B138)</f>
        <v/>
      </c>
      <c r="C138" s="28" t="str">
        <f>IF('US Transaction'!C138= "","",IF(B138="BUY",'US Transaction'!C138,-'US Transaction'!C138))</f>
        <v/>
      </c>
      <c r="D138" s="28" t="str">
        <f>IF('US Transaction'!D138= "","",IF(B138="BUY",'US Transaction'!D138,-'US Transaction'!D138))</f>
        <v/>
      </c>
      <c r="E138" s="28" t="str">
        <f>IF('US Transaction'!E138= "","",'US Transaction'!E138)</f>
        <v/>
      </c>
      <c r="F138" s="23"/>
      <c r="G138" s="28" t="str">
        <f t="shared" si="17"/>
        <v/>
      </c>
      <c r="H138" s="28" t="str">
        <f>IF(A138="","",COUNTIF($G$2:G138,G138))</f>
        <v/>
      </c>
      <c r="I138" s="28" t="str">
        <f t="shared" si="18"/>
        <v/>
      </c>
      <c r="J138" s="28" t="str">
        <f>IF(G138="","",IF(COUNTIF($G$2:G138,G138)&gt;1,SUMIF($A$2:A138,G138,$C$2:C138),C138))</f>
        <v/>
      </c>
      <c r="K138" s="45" t="str">
        <f>IF(G138="","",IF(COUNTIF($G$2:G138,G138)&gt;1,SUMIF($A$2:A138,G138,$D$2:D138),D138) +SUMIF($G$2:G138,G138,$M$2:M138))</f>
        <v/>
      </c>
      <c r="L138" s="45" t="str">
        <f t="shared" si="19"/>
        <v/>
      </c>
      <c r="M138" s="46" t="str">
        <f>IF(G138="","",IF(B138 = "BUY", 0,(E138-VLOOKUP(CONCATENATE(G138,(H138-1)),$I$2:L137,4,FALSE))*-C138))</f>
        <v/>
      </c>
    </row>
    <row r="139" spans="1:13" ht="15" thickBot="1" x14ac:dyDescent="0.35">
      <c r="A139" s="28" t="str">
        <f>IF('US Transaction'!A139= "","",'US Transaction'!A139)</f>
        <v/>
      </c>
      <c r="B139" s="28" t="str">
        <f>IF('US Transaction'!B139= "","",'US Transaction'!B139)</f>
        <v/>
      </c>
      <c r="C139" s="28" t="str">
        <f>IF('US Transaction'!C139= "","",IF(B139="BUY",'US Transaction'!C139,-'US Transaction'!C139))</f>
        <v/>
      </c>
      <c r="D139" s="28" t="str">
        <f>IF('US Transaction'!D139= "","",IF(B139="BUY",'US Transaction'!D139,-'US Transaction'!D139))</f>
        <v/>
      </c>
      <c r="E139" s="28" t="str">
        <f>IF('US Transaction'!E139= "","",'US Transaction'!E139)</f>
        <v/>
      </c>
      <c r="F139" s="23"/>
      <c r="G139" s="28" t="str">
        <f t="shared" si="17"/>
        <v/>
      </c>
      <c r="H139" s="28" t="str">
        <f>IF(A139="","",COUNTIF($G$2:G139,G139))</f>
        <v/>
      </c>
      <c r="I139" s="28" t="str">
        <f t="shared" si="18"/>
        <v/>
      </c>
      <c r="J139" s="28" t="str">
        <f>IF(G139="","",IF(COUNTIF($G$2:G139,G139)&gt;1,SUMIF($A$2:A139,G139,$C$2:C139),C139))</f>
        <v/>
      </c>
      <c r="K139" s="45" t="str">
        <f>IF(G139="","",IF(COUNTIF($G$2:G139,G139)&gt;1,SUMIF($A$2:A139,G139,$D$2:D139),D139) +SUMIF($G$2:G139,G139,$M$2:M139))</f>
        <v/>
      </c>
      <c r="L139" s="45" t="str">
        <f t="shared" si="19"/>
        <v/>
      </c>
      <c r="M139" s="46" t="str">
        <f>IF(G139="","",IF(B139 = "BUY", 0,(E139-VLOOKUP(CONCATENATE(G139,(H139-1)),$I$2:L138,4,FALSE))*-C139))</f>
        <v/>
      </c>
    </row>
    <row r="140" spans="1:13" ht="15" thickBot="1" x14ac:dyDescent="0.35">
      <c r="A140" s="28" t="str">
        <f>IF('US Transaction'!A140= "","",'US Transaction'!A140)</f>
        <v/>
      </c>
      <c r="B140" s="28" t="str">
        <f>IF('US Transaction'!B140= "","",'US Transaction'!B140)</f>
        <v/>
      </c>
      <c r="C140" s="28" t="str">
        <f>IF('US Transaction'!C140= "","",IF(B140="BUY",'US Transaction'!C140,-'US Transaction'!C140))</f>
        <v/>
      </c>
      <c r="D140" s="28" t="str">
        <f>IF('US Transaction'!D140= "","",IF(B140="BUY",'US Transaction'!D140,-'US Transaction'!D140))</f>
        <v/>
      </c>
      <c r="E140" s="28" t="str">
        <f>IF('US Transaction'!E140= "","",'US Transaction'!E140)</f>
        <v/>
      </c>
      <c r="F140" s="23"/>
      <c r="G140" s="28" t="str">
        <f t="shared" si="17"/>
        <v/>
      </c>
      <c r="H140" s="28" t="str">
        <f>IF(A140="","",COUNTIF($G$2:G140,G140))</f>
        <v/>
      </c>
      <c r="I140" s="28" t="str">
        <f t="shared" si="18"/>
        <v/>
      </c>
      <c r="J140" s="28" t="str">
        <f>IF(G140="","",IF(COUNTIF($G$2:G140,G140)&gt;1,SUMIF($A$2:A140,G140,$C$2:C140),C140))</f>
        <v/>
      </c>
      <c r="K140" s="45" t="str">
        <f>IF(G140="","",IF(COUNTIF($G$2:G140,G140)&gt;1,SUMIF($A$2:A140,G140,$D$2:D140),D140) +SUMIF($G$2:G140,G140,$M$2:M140))</f>
        <v/>
      </c>
      <c r="L140" s="45" t="str">
        <f t="shared" si="19"/>
        <v/>
      </c>
      <c r="M140" s="46" t="str">
        <f>IF(G140="","",IF(B140 = "BUY", 0,(E140-VLOOKUP(CONCATENATE(G140,(H140-1)),$I$2:L139,4,FALSE))*-C140))</f>
        <v/>
      </c>
    </row>
    <row r="141" spans="1:13" ht="15" thickBot="1" x14ac:dyDescent="0.35">
      <c r="A141" s="28" t="str">
        <f>IF('US Transaction'!A141= "","",'US Transaction'!A141)</f>
        <v/>
      </c>
      <c r="B141" s="28" t="str">
        <f>IF('US Transaction'!B141= "","",'US Transaction'!B141)</f>
        <v/>
      </c>
      <c r="C141" s="28" t="str">
        <f>IF('US Transaction'!C141= "","",IF(B141="BUY",'US Transaction'!C141,-'US Transaction'!C141))</f>
        <v/>
      </c>
      <c r="D141" s="28" t="str">
        <f>IF('US Transaction'!D141= "","",IF(B141="BUY",'US Transaction'!D141,-'US Transaction'!D141))</f>
        <v/>
      </c>
      <c r="E141" s="28" t="str">
        <f>IF('US Transaction'!E141= "","",'US Transaction'!E141)</f>
        <v/>
      </c>
      <c r="F141" s="23"/>
      <c r="G141" s="28" t="str">
        <f t="shared" si="17"/>
        <v/>
      </c>
      <c r="H141" s="28" t="str">
        <f>IF(A141="","",COUNTIF($G$2:G141,G141))</f>
        <v/>
      </c>
      <c r="I141" s="28" t="str">
        <f t="shared" si="18"/>
        <v/>
      </c>
      <c r="J141" s="28" t="str">
        <f>IF(G141="","",IF(COUNTIF($G$2:G141,G141)&gt;1,SUMIF($A$2:A141,G141,$C$2:C141),C141))</f>
        <v/>
      </c>
      <c r="K141" s="45" t="str">
        <f>IF(G141="","",IF(COUNTIF($G$2:G141,G141)&gt;1,SUMIF($A$2:A141,G141,$D$2:D141),D141) +SUMIF($G$2:G141,G141,$M$2:M141))</f>
        <v/>
      </c>
      <c r="L141" s="45" t="str">
        <f t="shared" si="19"/>
        <v/>
      </c>
      <c r="M141" s="46" t="str">
        <f>IF(G141="","",IF(B141 = "BUY", 0,(E141-VLOOKUP(CONCATENATE(G141,(H141-1)),$I$2:L140,4,FALSE))*-C141))</f>
        <v/>
      </c>
    </row>
    <row r="142" spans="1:13" ht="15" thickBot="1" x14ac:dyDescent="0.35">
      <c r="A142" s="28" t="str">
        <f>IF('US Transaction'!A142= "","",'US Transaction'!A142)</f>
        <v/>
      </c>
      <c r="B142" s="28" t="str">
        <f>IF('US Transaction'!B142= "","",'US Transaction'!B142)</f>
        <v/>
      </c>
      <c r="C142" s="28" t="str">
        <f>IF('US Transaction'!C142= "","",IF(B142="BUY",'US Transaction'!C142,-'US Transaction'!C142))</f>
        <v/>
      </c>
      <c r="D142" s="28" t="str">
        <f>IF('US Transaction'!D142= "","",IF(B142="BUY",'US Transaction'!D142,-'US Transaction'!D142))</f>
        <v/>
      </c>
      <c r="E142" s="28" t="str">
        <f>IF('US Transaction'!E142= "","",'US Transaction'!E142)</f>
        <v/>
      </c>
      <c r="F142" s="23"/>
      <c r="G142" s="28" t="str">
        <f t="shared" si="17"/>
        <v/>
      </c>
      <c r="H142" s="28" t="str">
        <f>IF(A142="","",COUNTIF($G$2:G142,G142))</f>
        <v/>
      </c>
      <c r="I142" s="28" t="str">
        <f t="shared" si="18"/>
        <v/>
      </c>
      <c r="J142" s="28" t="str">
        <f>IF(G142="","",IF(COUNTIF($G$2:G142,G142)&gt;1,SUMIF($A$2:A142,G142,$C$2:C142),C142))</f>
        <v/>
      </c>
      <c r="K142" s="45" t="str">
        <f>IF(G142="","",IF(COUNTIF($G$2:G142,G142)&gt;1,SUMIF($A$2:A142,G142,$D$2:D142),D142) +SUMIF($G$2:G142,G142,$M$2:M142))</f>
        <v/>
      </c>
      <c r="L142" s="45" t="str">
        <f t="shared" si="19"/>
        <v/>
      </c>
      <c r="M142" s="46" t="str">
        <f>IF(G142="","",IF(B142 = "BUY", 0,(E142-VLOOKUP(CONCATENATE(G142,(H142-1)),$I$2:L141,4,FALSE))*-C142))</f>
        <v/>
      </c>
    </row>
    <row r="143" spans="1:13" ht="15" thickBot="1" x14ac:dyDescent="0.35">
      <c r="A143" s="28" t="str">
        <f>IF('US Transaction'!A143= "","",'US Transaction'!A143)</f>
        <v/>
      </c>
      <c r="B143" s="28" t="str">
        <f>IF('US Transaction'!B143= "","",'US Transaction'!B143)</f>
        <v/>
      </c>
      <c r="C143" s="28" t="str">
        <f>IF('US Transaction'!C143= "","",IF(B143="BUY",'US Transaction'!C143,-'US Transaction'!C143))</f>
        <v/>
      </c>
      <c r="D143" s="28" t="str">
        <f>IF('US Transaction'!D143= "","",IF(B143="BUY",'US Transaction'!D143,-'US Transaction'!D143))</f>
        <v/>
      </c>
      <c r="E143" s="28" t="str">
        <f>IF('US Transaction'!E143= "","",'US Transaction'!E143)</f>
        <v/>
      </c>
      <c r="F143" s="23"/>
      <c r="G143" s="28" t="str">
        <f t="shared" si="17"/>
        <v/>
      </c>
      <c r="H143" s="28" t="str">
        <f>IF(A143="","",COUNTIF($G$2:G143,G143))</f>
        <v/>
      </c>
      <c r="I143" s="28" t="str">
        <f t="shared" si="18"/>
        <v/>
      </c>
      <c r="J143" s="28" t="str">
        <f>IF(G143="","",IF(COUNTIF($G$2:G143,G143)&gt;1,SUMIF($A$2:A143,G143,$C$2:C143),C143))</f>
        <v/>
      </c>
      <c r="K143" s="45" t="str">
        <f>IF(G143="","",IF(COUNTIF($G$2:G143,G143)&gt;1,SUMIF($A$2:A143,G143,$D$2:D143),D143) +SUMIF($G$2:G143,G143,$M$2:M143))</f>
        <v/>
      </c>
      <c r="L143" s="45" t="str">
        <f t="shared" si="19"/>
        <v/>
      </c>
      <c r="M143" s="46" t="str">
        <f>IF(G143="","",IF(B143 = "BUY", 0,(E143-VLOOKUP(CONCATENATE(G143,(H143-1)),$I$2:L142,4,FALSE))*-C143))</f>
        <v/>
      </c>
    </row>
    <row r="144" spans="1:13" ht="15" thickBot="1" x14ac:dyDescent="0.35">
      <c r="A144" s="28" t="str">
        <f>IF('US Transaction'!A144= "","",'US Transaction'!A144)</f>
        <v/>
      </c>
      <c r="B144" s="28" t="str">
        <f>IF('US Transaction'!B144= "","",'US Transaction'!B144)</f>
        <v/>
      </c>
      <c r="C144" s="28" t="str">
        <f>IF('US Transaction'!C144= "","",IF(B144="BUY",'US Transaction'!C144,-'US Transaction'!C144))</f>
        <v/>
      </c>
      <c r="D144" s="28" t="str">
        <f>IF('US Transaction'!D144= "","",IF(B144="BUY",'US Transaction'!D144,-'US Transaction'!D144))</f>
        <v/>
      </c>
      <c r="E144" s="28" t="str">
        <f>IF('US Transaction'!E144= "","",'US Transaction'!E144)</f>
        <v/>
      </c>
      <c r="F144" s="23"/>
      <c r="G144" s="28" t="str">
        <f t="shared" si="17"/>
        <v/>
      </c>
      <c r="H144" s="28" t="str">
        <f>IF(A144="","",COUNTIF($G$2:G144,G144))</f>
        <v/>
      </c>
      <c r="I144" s="28" t="str">
        <f t="shared" si="18"/>
        <v/>
      </c>
      <c r="J144" s="28" t="str">
        <f>IF(G144="","",IF(COUNTIF($G$2:G144,G144)&gt;1,SUMIF($A$2:A144,G144,$C$2:C144),C144))</f>
        <v/>
      </c>
      <c r="K144" s="45" t="str">
        <f>IF(G144="","",IF(COUNTIF($G$2:G144,G144)&gt;1,SUMIF($A$2:A144,G144,$D$2:D144),D144) +SUMIF($G$2:G144,G144,$M$2:M144))</f>
        <v/>
      </c>
      <c r="L144" s="45" t="str">
        <f t="shared" si="19"/>
        <v/>
      </c>
      <c r="M144" s="46" t="str">
        <f>IF(G144="","",IF(B144 = "BUY", 0,(E144-VLOOKUP(CONCATENATE(G144,(H144-1)),$I$2:L143,4,FALSE))*-C144))</f>
        <v/>
      </c>
    </row>
    <row r="145" spans="1:13" ht="15" thickBot="1" x14ac:dyDescent="0.35">
      <c r="A145" s="28" t="str">
        <f>IF('US Transaction'!A145= "","",'US Transaction'!A145)</f>
        <v/>
      </c>
      <c r="B145" s="28" t="str">
        <f>IF('US Transaction'!B145= "","",'US Transaction'!B145)</f>
        <v/>
      </c>
      <c r="C145" s="28" t="str">
        <f>IF('US Transaction'!C145= "","",IF(B145="BUY",'US Transaction'!C145,-'US Transaction'!C145))</f>
        <v/>
      </c>
      <c r="D145" s="28" t="str">
        <f>IF('US Transaction'!D145= "","",IF(B145="BUY",'US Transaction'!D145,-'US Transaction'!D145))</f>
        <v/>
      </c>
      <c r="E145" s="28" t="str">
        <f>IF('US Transaction'!E145= "","",'US Transaction'!E145)</f>
        <v/>
      </c>
      <c r="F145" s="23"/>
      <c r="G145" s="28" t="str">
        <f t="shared" si="17"/>
        <v/>
      </c>
      <c r="H145" s="28" t="str">
        <f>IF(A145="","",COUNTIF($G$2:G145,G145))</f>
        <v/>
      </c>
      <c r="I145" s="28" t="str">
        <f t="shared" si="18"/>
        <v/>
      </c>
      <c r="J145" s="28" t="str">
        <f>IF(G145="","",IF(COUNTIF($G$2:G145,G145)&gt;1,SUMIF($A$2:A145,G145,$C$2:C145),C145))</f>
        <v/>
      </c>
      <c r="K145" s="45" t="str">
        <f>IF(G145="","",IF(COUNTIF($G$2:G145,G145)&gt;1,SUMIF($A$2:A145,G145,$D$2:D145),D145) +SUMIF($G$2:G145,G145,$M$2:M145))</f>
        <v/>
      </c>
      <c r="L145" s="45" t="str">
        <f t="shared" si="19"/>
        <v/>
      </c>
      <c r="M145" s="46" t="str">
        <f>IF(G145="","",IF(B145 = "BUY", 0,(E145-VLOOKUP(CONCATENATE(G145,(H145-1)),$I$2:L144,4,FALSE))*-C145))</f>
        <v/>
      </c>
    </row>
    <row r="146" spans="1:13" ht="15" thickBot="1" x14ac:dyDescent="0.35">
      <c r="A146" s="28" t="str">
        <f>IF('US Transaction'!A146= "","",'US Transaction'!A146)</f>
        <v/>
      </c>
      <c r="B146" s="28" t="str">
        <f>IF('US Transaction'!B146= "","",'US Transaction'!B146)</f>
        <v/>
      </c>
      <c r="C146" s="28" t="str">
        <f>IF('US Transaction'!C146= "","",IF(B146="BUY",'US Transaction'!C146,-'US Transaction'!C146))</f>
        <v/>
      </c>
      <c r="D146" s="28" t="str">
        <f>IF('US Transaction'!D146= "","",IF(B146="BUY",'US Transaction'!D146,-'US Transaction'!D146))</f>
        <v/>
      </c>
      <c r="E146" s="28" t="str">
        <f>IF('US Transaction'!E146= "","",'US Transaction'!E146)</f>
        <v/>
      </c>
      <c r="F146" s="23"/>
      <c r="G146" s="28" t="str">
        <f t="shared" si="17"/>
        <v/>
      </c>
      <c r="H146" s="28" t="str">
        <f>IF(A146="","",COUNTIF($G$2:G146,G146))</f>
        <v/>
      </c>
      <c r="I146" s="28" t="str">
        <f t="shared" si="18"/>
        <v/>
      </c>
      <c r="J146" s="28" t="str">
        <f>IF(G146="","",IF(COUNTIF($G$2:G146,G146)&gt;1,SUMIF($A$2:A146,G146,$C$2:C146),C146))</f>
        <v/>
      </c>
      <c r="K146" s="45" t="str">
        <f>IF(G146="","",IF(COUNTIF($G$2:G146,G146)&gt;1,SUMIF($A$2:A146,G146,$D$2:D146),D146) +SUMIF($G$2:G146,G146,$M$2:M146))</f>
        <v/>
      </c>
      <c r="L146" s="45" t="str">
        <f t="shared" si="19"/>
        <v/>
      </c>
      <c r="M146" s="46" t="str">
        <f>IF(G146="","",IF(B146 = "BUY", 0,(E146-VLOOKUP(CONCATENATE(G146,(H146-1)),$I$2:L145,4,FALSE))*-C146))</f>
        <v/>
      </c>
    </row>
    <row r="147" spans="1:13" ht="15" thickBot="1" x14ac:dyDescent="0.35">
      <c r="A147" s="28" t="str">
        <f>IF('US Transaction'!A147= "","",'US Transaction'!A147)</f>
        <v/>
      </c>
      <c r="B147" s="28" t="str">
        <f>IF('US Transaction'!B147= "","",'US Transaction'!B147)</f>
        <v/>
      </c>
      <c r="C147" s="28" t="str">
        <f>IF('US Transaction'!C147= "","",IF(B147="BUY",'US Transaction'!C147,-'US Transaction'!C147))</f>
        <v/>
      </c>
      <c r="D147" s="28" t="str">
        <f>IF('US Transaction'!D147= "","",IF(B147="BUY",'US Transaction'!D147,-'US Transaction'!D147))</f>
        <v/>
      </c>
      <c r="E147" s="28" t="str">
        <f>IF('US Transaction'!E147= "","",'US Transaction'!E147)</f>
        <v/>
      </c>
      <c r="F147" s="23"/>
      <c r="G147" s="28" t="str">
        <f t="shared" si="17"/>
        <v/>
      </c>
      <c r="H147" s="28" t="str">
        <f>IF(A147="","",COUNTIF($G$2:G147,G147))</f>
        <v/>
      </c>
      <c r="I147" s="28" t="str">
        <f t="shared" si="18"/>
        <v/>
      </c>
      <c r="J147" s="28" t="str">
        <f>IF(G147="","",IF(COUNTIF($G$2:G147,G147)&gt;1,SUMIF($A$2:A147,G147,$C$2:C147),C147))</f>
        <v/>
      </c>
      <c r="K147" s="45" t="str">
        <f>IF(G147="","",IF(COUNTIF($G$2:G147,G147)&gt;1,SUMIF($A$2:A147,G147,$D$2:D147),D147) +SUMIF($G$2:G147,G147,$M$2:M147))</f>
        <v/>
      </c>
      <c r="L147" s="45" t="str">
        <f t="shared" si="19"/>
        <v/>
      </c>
      <c r="M147" s="46" t="str">
        <f>IF(G147="","",IF(B147 = "BUY", 0,(E147-VLOOKUP(CONCATENATE(G147,(H147-1)),$I$2:L146,4,FALSE))*-C147))</f>
        <v/>
      </c>
    </row>
    <row r="148" spans="1:13" ht="15" thickBot="1" x14ac:dyDescent="0.35">
      <c r="A148" s="28" t="str">
        <f>IF('US Transaction'!A148= "","",'US Transaction'!A148)</f>
        <v/>
      </c>
      <c r="B148" s="28" t="str">
        <f>IF('US Transaction'!B148= "","",'US Transaction'!B148)</f>
        <v/>
      </c>
      <c r="C148" s="28" t="str">
        <f>IF('US Transaction'!C148= "","",IF(B148="BUY",'US Transaction'!C148,-'US Transaction'!C148))</f>
        <v/>
      </c>
      <c r="D148" s="28" t="str">
        <f>IF('US Transaction'!D148= "","",IF(B148="BUY",'US Transaction'!D148,-'US Transaction'!D148))</f>
        <v/>
      </c>
      <c r="E148" s="28" t="str">
        <f>IF('US Transaction'!E148= "","",'US Transaction'!E148)</f>
        <v/>
      </c>
      <c r="F148" s="23"/>
      <c r="G148" s="28" t="str">
        <f t="shared" si="17"/>
        <v/>
      </c>
      <c r="H148" s="28" t="str">
        <f>IF(A148="","",COUNTIF($G$2:G148,G148))</f>
        <v/>
      </c>
      <c r="I148" s="28" t="str">
        <f t="shared" si="18"/>
        <v/>
      </c>
      <c r="J148" s="28" t="str">
        <f>IF(G148="","",IF(COUNTIF($G$2:G148,G148)&gt;1,SUMIF($A$2:A148,G148,$C$2:C148),C148))</f>
        <v/>
      </c>
      <c r="K148" s="45" t="str">
        <f>IF(G148="","",IF(COUNTIF($G$2:G148,G148)&gt;1,SUMIF($A$2:A148,G148,$D$2:D148),D148) +SUMIF($G$2:G148,G148,$M$2:M148))</f>
        <v/>
      </c>
      <c r="L148" s="45" t="str">
        <f t="shared" si="19"/>
        <v/>
      </c>
      <c r="M148" s="46" t="str">
        <f>IF(G148="","",IF(B148 = "BUY", 0,(E148-VLOOKUP(CONCATENATE(G148,(H148-1)),$I$2:L147,4,FALSE))*-C148))</f>
        <v/>
      </c>
    </row>
    <row r="149" spans="1:13" ht="15" thickBot="1" x14ac:dyDescent="0.35">
      <c r="A149" s="28" t="str">
        <f>IF('US Transaction'!A149= "","",'US Transaction'!A149)</f>
        <v/>
      </c>
      <c r="B149" s="28" t="str">
        <f>IF('US Transaction'!B149= "","",'US Transaction'!B149)</f>
        <v/>
      </c>
      <c r="C149" s="28" t="str">
        <f>IF('US Transaction'!C149= "","",IF(B149="BUY",'US Transaction'!C149,-'US Transaction'!C149))</f>
        <v/>
      </c>
      <c r="D149" s="28" t="str">
        <f>IF('US Transaction'!D149= "","",IF(B149="BUY",'US Transaction'!D149,-'US Transaction'!D149))</f>
        <v/>
      </c>
      <c r="E149" s="28" t="str">
        <f>IF('US Transaction'!E149= "","",'US Transaction'!E149)</f>
        <v/>
      </c>
      <c r="F149" s="23"/>
      <c r="G149" s="28" t="str">
        <f t="shared" si="17"/>
        <v/>
      </c>
      <c r="H149" s="28" t="str">
        <f>IF(A149="","",COUNTIF($G$2:G149,G149))</f>
        <v/>
      </c>
      <c r="I149" s="28" t="str">
        <f t="shared" si="18"/>
        <v/>
      </c>
      <c r="J149" s="28" t="str">
        <f>IF(G149="","",IF(COUNTIF($G$2:G149,G149)&gt;1,SUMIF($A$2:A149,G149,$C$2:C149),C149))</f>
        <v/>
      </c>
      <c r="K149" s="45" t="str">
        <f>IF(G149="","",IF(COUNTIF($G$2:G149,G149)&gt;1,SUMIF($A$2:A149,G149,$D$2:D149),D149) +SUMIF($G$2:G149,G149,$M$2:M149))</f>
        <v/>
      </c>
      <c r="L149" s="45" t="str">
        <f t="shared" si="19"/>
        <v/>
      </c>
      <c r="M149" s="46" t="str">
        <f>IF(G149="","",IF(B149 = "BUY", 0,(E149-VLOOKUP(CONCATENATE(G149,(H149-1)),$I$2:L148,4,FALSE))*-C149))</f>
        <v/>
      </c>
    </row>
    <row r="150" spans="1:13" ht="15" thickBot="1" x14ac:dyDescent="0.35">
      <c r="A150" s="28" t="str">
        <f>IF('US Transaction'!A150= "","",'US Transaction'!A150)</f>
        <v/>
      </c>
      <c r="B150" s="28" t="str">
        <f>IF('US Transaction'!B150= "","",'US Transaction'!B150)</f>
        <v/>
      </c>
      <c r="C150" s="28" t="str">
        <f>IF('US Transaction'!C150= "","",IF(B150="BUY",'US Transaction'!C150,-'US Transaction'!C150))</f>
        <v/>
      </c>
      <c r="D150" s="28" t="str">
        <f>IF('US Transaction'!D150= "","",IF(B150="BUY",'US Transaction'!D150,-'US Transaction'!D150))</f>
        <v/>
      </c>
      <c r="E150" s="28" t="str">
        <f>IF('US Transaction'!E150= "","",'US Transaction'!E150)</f>
        <v/>
      </c>
      <c r="F150" s="23"/>
      <c r="G150" s="28" t="str">
        <f t="shared" si="17"/>
        <v/>
      </c>
      <c r="H150" s="28" t="str">
        <f>IF(A150="","",COUNTIF($G$2:G150,G150))</f>
        <v/>
      </c>
      <c r="I150" s="28" t="str">
        <f t="shared" si="18"/>
        <v/>
      </c>
      <c r="J150" s="28" t="str">
        <f>IF(G150="","",IF(COUNTIF($G$2:G150,G150)&gt;1,SUMIF($A$2:A150,G150,$C$2:C150),C150))</f>
        <v/>
      </c>
      <c r="K150" s="45" t="str">
        <f>IF(G150="","",IF(COUNTIF($G$2:G150,G150)&gt;1,SUMIF($A$2:A150,G150,$D$2:D150),D150) +SUMIF($G$2:G150,G150,$M$2:M150))</f>
        <v/>
      </c>
      <c r="L150" s="45" t="str">
        <f t="shared" si="19"/>
        <v/>
      </c>
      <c r="M150" s="46" t="str">
        <f>IF(G150="","",IF(B150 = "BUY", 0,(E150-VLOOKUP(CONCATENATE(G150,(H150-1)),$I$2:L149,4,FALSE))*-C150))</f>
        <v/>
      </c>
    </row>
    <row r="151" spans="1:13" ht="15" thickBot="1" x14ac:dyDescent="0.35">
      <c r="A151" s="28" t="str">
        <f>IF('US Transaction'!A151= "","",'US Transaction'!A151)</f>
        <v/>
      </c>
      <c r="B151" s="28" t="str">
        <f>IF('US Transaction'!B151= "","",'US Transaction'!B151)</f>
        <v/>
      </c>
      <c r="C151" s="28" t="str">
        <f>IF('US Transaction'!C151= "","",IF(B151="BUY",'US Transaction'!C151,-'US Transaction'!C151))</f>
        <v/>
      </c>
      <c r="D151" s="28" t="str">
        <f>IF('US Transaction'!D151= "","",IF(B151="BUY",'US Transaction'!D151,-'US Transaction'!D151))</f>
        <v/>
      </c>
      <c r="E151" s="28" t="str">
        <f>IF('US Transaction'!E151= "","",'US Transaction'!E151)</f>
        <v/>
      </c>
      <c r="F151" s="23"/>
      <c r="G151" s="28" t="str">
        <f t="shared" si="17"/>
        <v/>
      </c>
      <c r="H151" s="28" t="str">
        <f>IF(A151="","",COUNTIF($G$2:G151,G151))</f>
        <v/>
      </c>
      <c r="I151" s="28" t="str">
        <f t="shared" si="18"/>
        <v/>
      </c>
      <c r="J151" s="28" t="str">
        <f>IF(G151="","",IF(COUNTIF($G$2:G151,G151)&gt;1,SUMIF($A$2:A151,G151,$C$2:C151),C151))</f>
        <v/>
      </c>
      <c r="K151" s="45" t="str">
        <f>IF(G151="","",IF(COUNTIF($G$2:G151,G151)&gt;1,SUMIF($A$2:A151,G151,$D$2:D151),D151) +SUMIF($G$2:G151,G151,$M$2:M151))</f>
        <v/>
      </c>
      <c r="L151" s="45" t="str">
        <f t="shared" si="19"/>
        <v/>
      </c>
      <c r="M151" s="46" t="str">
        <f>IF(G151="","",IF(B151 = "BUY", 0,(E151-VLOOKUP(CONCATENATE(G151,(H151-1)),$I$2:L150,4,FALSE))*-C151))</f>
        <v/>
      </c>
    </row>
    <row r="152" spans="1:13" ht="15" thickBot="1" x14ac:dyDescent="0.35">
      <c r="A152" s="28" t="str">
        <f>IF('US Transaction'!A152= "","",'US Transaction'!A152)</f>
        <v/>
      </c>
      <c r="B152" s="28" t="str">
        <f>IF('US Transaction'!B152= "","",'US Transaction'!B152)</f>
        <v/>
      </c>
      <c r="C152" s="28" t="str">
        <f>IF('US Transaction'!C152= "","",IF(B152="BUY",'US Transaction'!C152,-'US Transaction'!C152))</f>
        <v/>
      </c>
      <c r="D152" s="28" t="str">
        <f>IF('US Transaction'!D152= "","",IF(B152="BUY",'US Transaction'!D152,-'US Transaction'!D152))</f>
        <v/>
      </c>
      <c r="E152" s="28" t="str">
        <f>IF('US Transaction'!E152= "","",'US Transaction'!E152)</f>
        <v/>
      </c>
      <c r="F152" s="23"/>
      <c r="G152" s="28" t="str">
        <f t="shared" si="17"/>
        <v/>
      </c>
      <c r="H152" s="28" t="str">
        <f>IF(A152="","",COUNTIF($G$2:G152,G152))</f>
        <v/>
      </c>
      <c r="I152" s="28" t="str">
        <f t="shared" si="18"/>
        <v/>
      </c>
      <c r="J152" s="28" t="str">
        <f>IF(G152="","",IF(COUNTIF($G$2:G152,G152)&gt;1,SUMIF($A$2:A152,G152,$C$2:C152),C152))</f>
        <v/>
      </c>
      <c r="K152" s="45" t="str">
        <f>IF(G152="","",IF(COUNTIF($G$2:G152,G152)&gt;1,SUMIF($A$2:A152,G152,$D$2:D152),D152) +SUMIF($G$2:G152,G152,$M$2:M152))</f>
        <v/>
      </c>
      <c r="L152" s="45" t="str">
        <f t="shared" si="19"/>
        <v/>
      </c>
      <c r="M152" s="46" t="str">
        <f>IF(G152="","",IF(B152 = "BUY", 0,(E152-VLOOKUP(CONCATENATE(G152,(H152-1)),$I$2:L151,4,FALSE))*-C152))</f>
        <v/>
      </c>
    </row>
    <row r="153" spans="1:13" ht="15" thickBot="1" x14ac:dyDescent="0.35">
      <c r="A153" s="28" t="str">
        <f>IF('US Transaction'!A153= "","",'US Transaction'!A153)</f>
        <v/>
      </c>
      <c r="B153" s="28" t="str">
        <f>IF('US Transaction'!B153= "","",'US Transaction'!B153)</f>
        <v/>
      </c>
      <c r="C153" s="28" t="str">
        <f>IF('US Transaction'!C153= "","",IF(B153="BUY",'US Transaction'!C153,-'US Transaction'!C153))</f>
        <v/>
      </c>
      <c r="D153" s="28" t="str">
        <f>IF('US Transaction'!D153= "","",IF(B153="BUY",'US Transaction'!D153,-'US Transaction'!D153))</f>
        <v/>
      </c>
      <c r="E153" s="28" t="str">
        <f>IF('US Transaction'!E153= "","",'US Transaction'!E153)</f>
        <v/>
      </c>
      <c r="F153" s="23"/>
      <c r="G153" s="28" t="str">
        <f t="shared" si="17"/>
        <v/>
      </c>
      <c r="H153" s="28" t="str">
        <f>IF(A153="","",COUNTIF($G$2:G153,G153))</f>
        <v/>
      </c>
      <c r="I153" s="28" t="str">
        <f t="shared" si="18"/>
        <v/>
      </c>
      <c r="J153" s="28" t="str">
        <f>IF(G153="","",IF(COUNTIF($G$2:G153,G153)&gt;1,SUMIF($A$2:A153,G153,$C$2:C153),C153))</f>
        <v/>
      </c>
      <c r="K153" s="45" t="str">
        <f>IF(G153="","",IF(COUNTIF($G$2:G153,G153)&gt;1,SUMIF($A$2:A153,G153,$D$2:D153),D153) +SUMIF($G$2:G153,G153,$M$2:M153))</f>
        <v/>
      </c>
      <c r="L153" s="45" t="str">
        <f t="shared" si="19"/>
        <v/>
      </c>
      <c r="M153" s="46" t="str">
        <f>IF(G153="","",IF(B153 = "BUY", 0,(E153-VLOOKUP(CONCATENATE(G153,(H153-1)),$I$2:L152,4,FALSE))*-C153))</f>
        <v/>
      </c>
    </row>
    <row r="154" spans="1:13" ht="15" thickBot="1" x14ac:dyDescent="0.35">
      <c r="A154" s="28" t="str">
        <f>IF('US Transaction'!A154= "","",'US Transaction'!A154)</f>
        <v/>
      </c>
      <c r="B154" s="28" t="str">
        <f>IF('US Transaction'!B154= "","",'US Transaction'!B154)</f>
        <v/>
      </c>
      <c r="C154" s="28" t="str">
        <f>IF('US Transaction'!C154= "","",IF(B154="BUY",'US Transaction'!C154,-'US Transaction'!C154))</f>
        <v/>
      </c>
      <c r="D154" s="28" t="str">
        <f>IF('US Transaction'!D154= "","",IF(B154="BUY",'US Transaction'!D154,-'US Transaction'!D154))</f>
        <v/>
      </c>
      <c r="E154" s="28" t="str">
        <f>IF('US Transaction'!E154= "","",'US Transaction'!E154)</f>
        <v/>
      </c>
      <c r="F154" s="23"/>
      <c r="G154" s="28" t="str">
        <f t="shared" si="17"/>
        <v/>
      </c>
      <c r="H154" s="28" t="str">
        <f>IF(A154="","",COUNTIF($G$2:G154,G154))</f>
        <v/>
      </c>
      <c r="I154" s="28" t="str">
        <f t="shared" si="18"/>
        <v/>
      </c>
      <c r="J154" s="28" t="str">
        <f>IF(G154="","",IF(COUNTIF($G$2:G154,G154)&gt;1,SUMIF($A$2:A154,G154,$C$2:C154),C154))</f>
        <v/>
      </c>
      <c r="K154" s="45" t="str">
        <f>IF(G154="","",IF(COUNTIF($G$2:G154,G154)&gt;1,SUMIF($A$2:A154,G154,$D$2:D154),D154) +SUMIF($G$2:G154,G154,$M$2:M154))</f>
        <v/>
      </c>
      <c r="L154" s="45" t="str">
        <f t="shared" si="19"/>
        <v/>
      </c>
      <c r="M154" s="46" t="str">
        <f>IF(G154="","",IF(B154 = "BUY", 0,(E154-VLOOKUP(CONCATENATE(G154,(H154-1)),$I$2:L153,4,FALSE))*-C154))</f>
        <v/>
      </c>
    </row>
    <row r="155" spans="1:13" ht="15" thickBot="1" x14ac:dyDescent="0.35">
      <c r="A155" s="28" t="str">
        <f>IF('US Transaction'!A155= "","",'US Transaction'!A155)</f>
        <v/>
      </c>
      <c r="B155" s="28" t="str">
        <f>IF('US Transaction'!B155= "","",'US Transaction'!B155)</f>
        <v/>
      </c>
      <c r="C155" s="28" t="str">
        <f>IF('US Transaction'!C155= "","",IF(B155="BUY",'US Transaction'!C155,-'US Transaction'!C155))</f>
        <v/>
      </c>
      <c r="D155" s="28" t="str">
        <f>IF('US Transaction'!D155= "","",IF(B155="BUY",'US Transaction'!D155,-'US Transaction'!D155))</f>
        <v/>
      </c>
      <c r="E155" s="28" t="str">
        <f>IF('US Transaction'!E155= "","",'US Transaction'!E155)</f>
        <v/>
      </c>
      <c r="F155" s="23"/>
      <c r="G155" s="28" t="str">
        <f t="shared" si="17"/>
        <v/>
      </c>
      <c r="H155" s="28" t="str">
        <f>IF(A155="","",COUNTIF($G$2:G155,G155))</f>
        <v/>
      </c>
      <c r="I155" s="28" t="str">
        <f t="shared" si="18"/>
        <v/>
      </c>
      <c r="J155" s="28" t="str">
        <f>IF(G155="","",IF(COUNTIF($G$2:G155,G155)&gt;1,SUMIF($A$2:A155,G155,$C$2:C155),C155))</f>
        <v/>
      </c>
      <c r="K155" s="45" t="str">
        <f>IF(G155="","",IF(COUNTIF($G$2:G155,G155)&gt;1,SUMIF($A$2:A155,G155,$D$2:D155),D155) +SUMIF($G$2:G155,G155,$M$2:M155))</f>
        <v/>
      </c>
      <c r="L155" s="45" t="str">
        <f t="shared" si="19"/>
        <v/>
      </c>
      <c r="M155" s="46" t="str">
        <f>IF(G155="","",IF(B155 = "BUY", 0,(E155-VLOOKUP(CONCATENATE(G155,(H155-1)),$I$2:L154,4,FALSE))*-C155))</f>
        <v/>
      </c>
    </row>
    <row r="156" spans="1:13" ht="15" thickBot="1" x14ac:dyDescent="0.35">
      <c r="A156" s="28" t="str">
        <f>IF('US Transaction'!A156= "","",'US Transaction'!A156)</f>
        <v/>
      </c>
      <c r="B156" s="28" t="str">
        <f>IF('US Transaction'!B156= "","",'US Transaction'!B156)</f>
        <v/>
      </c>
      <c r="C156" s="28" t="str">
        <f>IF('US Transaction'!C156= "","",IF(B156="BUY",'US Transaction'!C156,-'US Transaction'!C156))</f>
        <v/>
      </c>
      <c r="D156" s="28" t="str">
        <f>IF('US Transaction'!D156= "","",IF(B156="BUY",'US Transaction'!D156,-'US Transaction'!D156))</f>
        <v/>
      </c>
      <c r="E156" s="28" t="str">
        <f>IF('US Transaction'!E156= "","",'US Transaction'!E156)</f>
        <v/>
      </c>
      <c r="F156" s="23"/>
      <c r="G156" s="28" t="str">
        <f t="shared" si="17"/>
        <v/>
      </c>
      <c r="H156" s="28" t="str">
        <f>IF(A156="","",COUNTIF($G$2:G156,G156))</f>
        <v/>
      </c>
      <c r="I156" s="28" t="str">
        <f t="shared" si="18"/>
        <v/>
      </c>
      <c r="J156" s="28" t="str">
        <f>IF(G156="","",IF(COUNTIF($G$2:G156,G156)&gt;1,SUMIF($A$2:A156,G156,$C$2:C156),C156))</f>
        <v/>
      </c>
      <c r="K156" s="45" t="str">
        <f>IF(G156="","",IF(COUNTIF($G$2:G156,G156)&gt;1,SUMIF($A$2:A156,G156,$D$2:D156),D156) +SUMIF($G$2:G156,G156,$M$2:M156))</f>
        <v/>
      </c>
      <c r="L156" s="45" t="str">
        <f t="shared" si="19"/>
        <v/>
      </c>
      <c r="M156" s="46" t="str">
        <f>IF(G156="","",IF(B156 = "BUY", 0,(E156-VLOOKUP(CONCATENATE(G156,(H156-1)),$I$2:L155,4,FALSE))*-C156))</f>
        <v/>
      </c>
    </row>
    <row r="157" spans="1:13" ht="15" thickBot="1" x14ac:dyDescent="0.35">
      <c r="A157" s="28" t="str">
        <f>IF('US Transaction'!A157= "","",'US Transaction'!A157)</f>
        <v/>
      </c>
      <c r="B157" s="28" t="str">
        <f>IF('US Transaction'!B157= "","",'US Transaction'!B157)</f>
        <v/>
      </c>
      <c r="C157" s="28" t="str">
        <f>IF('US Transaction'!C157= "","",IF(B157="BUY",'US Transaction'!C157,-'US Transaction'!C157))</f>
        <v/>
      </c>
      <c r="D157" s="28" t="str">
        <f>IF('US Transaction'!D157= "","",IF(B157="BUY",'US Transaction'!D157,-'US Transaction'!D157))</f>
        <v/>
      </c>
      <c r="E157" s="28" t="str">
        <f>IF('US Transaction'!E157= "","",'US Transaction'!E157)</f>
        <v/>
      </c>
      <c r="F157" s="23"/>
      <c r="G157" s="28" t="str">
        <f t="shared" si="17"/>
        <v/>
      </c>
      <c r="H157" s="28" t="str">
        <f>IF(A157="","",COUNTIF($G$2:G157,G157))</f>
        <v/>
      </c>
      <c r="I157" s="28" t="str">
        <f t="shared" si="18"/>
        <v/>
      </c>
      <c r="J157" s="28" t="str">
        <f>IF(G157="","",IF(COUNTIF($G$2:G157,G157)&gt;1,SUMIF($A$2:A157,G157,$C$2:C157),C157))</f>
        <v/>
      </c>
      <c r="K157" s="45" t="str">
        <f>IF(G157="","",IF(COUNTIF($G$2:G157,G157)&gt;1,SUMIF($A$2:A157,G157,$D$2:D157),D157) +SUMIF($G$2:G157,G157,$M$2:M157))</f>
        <v/>
      </c>
      <c r="L157" s="45" t="str">
        <f t="shared" si="19"/>
        <v/>
      </c>
      <c r="M157" s="46" t="str">
        <f>IF(G157="","",IF(B157 = "BUY", 0,(E157-VLOOKUP(CONCATENATE(G157,(H157-1)),$I$2:L156,4,FALSE))*-C157))</f>
        <v/>
      </c>
    </row>
    <row r="158" spans="1:13" ht="15" thickBot="1" x14ac:dyDescent="0.35">
      <c r="A158" s="28" t="str">
        <f>IF('US Transaction'!A158= "","",'US Transaction'!A158)</f>
        <v/>
      </c>
      <c r="B158" s="28" t="str">
        <f>IF('US Transaction'!B158= "","",'US Transaction'!B158)</f>
        <v/>
      </c>
      <c r="C158" s="28" t="str">
        <f>IF('US Transaction'!C158= "","",IF(B158="BUY",'US Transaction'!C158,-'US Transaction'!C158))</f>
        <v/>
      </c>
      <c r="D158" s="28" t="str">
        <f>IF('US Transaction'!D158= "","",IF(B158="BUY",'US Transaction'!D158,-'US Transaction'!D158))</f>
        <v/>
      </c>
      <c r="E158" s="28" t="str">
        <f>IF('US Transaction'!E158= "","",'US Transaction'!E158)</f>
        <v/>
      </c>
      <c r="F158" s="23"/>
      <c r="G158" s="28" t="str">
        <f t="shared" si="17"/>
        <v/>
      </c>
      <c r="H158" s="28" t="str">
        <f>IF(A158="","",COUNTIF($G$2:G158,G158))</f>
        <v/>
      </c>
      <c r="I158" s="28" t="str">
        <f t="shared" si="18"/>
        <v/>
      </c>
      <c r="J158" s="28" t="str">
        <f>IF(G158="","",IF(COUNTIF($G$2:G158,G158)&gt;1,SUMIF($A$2:A158,G158,$C$2:C158),C158))</f>
        <v/>
      </c>
      <c r="K158" s="45" t="str">
        <f>IF(G158="","",IF(COUNTIF($G$2:G158,G158)&gt;1,SUMIF($A$2:A158,G158,$D$2:D158),D158) +SUMIF($G$2:G158,G158,$M$2:M158))</f>
        <v/>
      </c>
      <c r="L158" s="45" t="str">
        <f t="shared" si="19"/>
        <v/>
      </c>
      <c r="M158" s="46" t="str">
        <f>IF(G158="","",IF(B158 = "BUY", 0,(E158-VLOOKUP(CONCATENATE(G158,(H158-1)),$I$2:L157,4,FALSE))*-C158))</f>
        <v/>
      </c>
    </row>
    <row r="159" spans="1:13" ht="15" thickBot="1" x14ac:dyDescent="0.35">
      <c r="A159" s="28" t="str">
        <f>IF('US Transaction'!A159= "","",'US Transaction'!A159)</f>
        <v/>
      </c>
      <c r="B159" s="28" t="str">
        <f>IF('US Transaction'!B159= "","",'US Transaction'!B159)</f>
        <v/>
      </c>
      <c r="C159" s="28" t="str">
        <f>IF('US Transaction'!C159= "","",IF(B159="BUY",'US Transaction'!C159,-'US Transaction'!C159))</f>
        <v/>
      </c>
      <c r="D159" s="28" t="str">
        <f>IF('US Transaction'!D159= "","",IF(B159="BUY",'US Transaction'!D159,-'US Transaction'!D159))</f>
        <v/>
      </c>
      <c r="E159" s="28" t="str">
        <f>IF('US Transaction'!E159= "","",'US Transaction'!E159)</f>
        <v/>
      </c>
      <c r="F159" s="23"/>
      <c r="G159" s="28" t="str">
        <f t="shared" si="17"/>
        <v/>
      </c>
      <c r="H159" s="28" t="str">
        <f>IF(A159="","",COUNTIF($G$2:G159,G159))</f>
        <v/>
      </c>
      <c r="I159" s="28" t="str">
        <f t="shared" si="18"/>
        <v/>
      </c>
      <c r="J159" s="28" t="str">
        <f>IF(G159="","",IF(COUNTIF($G$2:G159,G159)&gt;1,SUMIF($A$2:A159,G159,$C$2:C159),C159))</f>
        <v/>
      </c>
      <c r="K159" s="45" t="str">
        <f>IF(G159="","",IF(COUNTIF($G$2:G159,G159)&gt;1,SUMIF($A$2:A159,G159,$D$2:D159),D159) +SUMIF($G$2:G159,G159,$M$2:M159))</f>
        <v/>
      </c>
      <c r="L159" s="45" t="str">
        <f t="shared" si="19"/>
        <v/>
      </c>
      <c r="M159" s="46" t="str">
        <f>IF(G159="","",IF(B159 = "BUY", 0,(E159-VLOOKUP(CONCATENATE(G159,(H159-1)),$I$2:L158,4,FALSE))*-C159))</f>
        <v/>
      </c>
    </row>
    <row r="160" spans="1:13" ht="15" thickBot="1" x14ac:dyDescent="0.35">
      <c r="A160" s="28" t="str">
        <f>IF('US Transaction'!A160= "","",'US Transaction'!A160)</f>
        <v/>
      </c>
      <c r="B160" s="28" t="str">
        <f>IF('US Transaction'!B160= "","",'US Transaction'!B160)</f>
        <v/>
      </c>
      <c r="C160" s="28" t="str">
        <f>IF('US Transaction'!C160= "","",IF(B160="BUY",'US Transaction'!C160,-'US Transaction'!C160))</f>
        <v/>
      </c>
      <c r="D160" s="28" t="str">
        <f>IF('US Transaction'!D160= "","",IF(B160="BUY",'US Transaction'!D160,-'US Transaction'!D160))</f>
        <v/>
      </c>
      <c r="E160" s="28" t="str">
        <f>IF('US Transaction'!E160= "","",'US Transaction'!E160)</f>
        <v/>
      </c>
      <c r="F160" s="23"/>
      <c r="G160" s="28" t="str">
        <f t="shared" si="17"/>
        <v/>
      </c>
      <c r="H160" s="28" t="str">
        <f>IF(A160="","",COUNTIF($G$2:G160,G160))</f>
        <v/>
      </c>
      <c r="I160" s="28" t="str">
        <f t="shared" si="18"/>
        <v/>
      </c>
      <c r="J160" s="28" t="str">
        <f>IF(G160="","",IF(COUNTIF($G$2:G160,G160)&gt;1,SUMIF($A$2:A160,G160,$C$2:C160),C160))</f>
        <v/>
      </c>
      <c r="K160" s="45" t="str">
        <f>IF(G160="","",IF(COUNTIF($G$2:G160,G160)&gt;1,SUMIF($A$2:A160,G160,$D$2:D160),D160) +SUMIF($G$2:G160,G160,$M$2:M160))</f>
        <v/>
      </c>
      <c r="L160" s="45" t="str">
        <f t="shared" si="19"/>
        <v/>
      </c>
      <c r="M160" s="46" t="str">
        <f>IF(G160="","",IF(B160 = "BUY", 0,(E160-VLOOKUP(CONCATENATE(G160,(H160-1)),$I$2:L159,4,FALSE))*-C160))</f>
        <v/>
      </c>
    </row>
    <row r="161" spans="1:13" ht="15" thickBot="1" x14ac:dyDescent="0.35">
      <c r="A161" s="28" t="str">
        <f>IF('US Transaction'!A161= "","",'US Transaction'!A161)</f>
        <v/>
      </c>
      <c r="B161" s="28" t="str">
        <f>IF('US Transaction'!B161= "","",'US Transaction'!B161)</f>
        <v/>
      </c>
      <c r="C161" s="28" t="str">
        <f>IF('US Transaction'!C161= "","",IF(B161="BUY",'US Transaction'!C161,-'US Transaction'!C161))</f>
        <v/>
      </c>
      <c r="D161" s="28" t="str">
        <f>IF('US Transaction'!D161= "","",IF(B161="BUY",'US Transaction'!D161,-'US Transaction'!D161))</f>
        <v/>
      </c>
      <c r="E161" s="28" t="str">
        <f>IF('US Transaction'!E161= "","",'US Transaction'!E161)</f>
        <v/>
      </c>
      <c r="F161" s="23"/>
      <c r="G161" s="28" t="str">
        <f t="shared" si="17"/>
        <v/>
      </c>
      <c r="H161" s="28" t="str">
        <f>IF(A161="","",COUNTIF($G$2:G161,G161))</f>
        <v/>
      </c>
      <c r="I161" s="28" t="str">
        <f t="shared" si="18"/>
        <v/>
      </c>
      <c r="J161" s="28" t="str">
        <f>IF(G161="","",IF(COUNTIF($G$2:G161,G161)&gt;1,SUMIF($A$2:A161,G161,$C$2:C161),C161))</f>
        <v/>
      </c>
      <c r="K161" s="45" t="str">
        <f>IF(G161="","",IF(COUNTIF($G$2:G161,G161)&gt;1,SUMIF($A$2:A161,G161,$D$2:D161),D161) +SUMIF($G$2:G161,G161,$M$2:M161))</f>
        <v/>
      </c>
      <c r="L161" s="45" t="str">
        <f t="shared" si="19"/>
        <v/>
      </c>
      <c r="M161" s="46" t="str">
        <f>IF(G161="","",IF(B161 = "BUY", 0,(E161-VLOOKUP(CONCATENATE(G161,(H161-1)),$I$2:L160,4,FALSE))*-C161))</f>
        <v/>
      </c>
    </row>
    <row r="162" spans="1:13" ht="15" thickBot="1" x14ac:dyDescent="0.35">
      <c r="A162" s="28" t="str">
        <f>IF('US Transaction'!A162= "","",'US Transaction'!A162)</f>
        <v/>
      </c>
      <c r="B162" s="28" t="str">
        <f>IF('US Transaction'!B162= "","",'US Transaction'!B162)</f>
        <v/>
      </c>
      <c r="C162" s="28" t="str">
        <f>IF('US Transaction'!C162= "","",IF(B162="BUY",'US Transaction'!C162,-'US Transaction'!C162))</f>
        <v/>
      </c>
      <c r="D162" s="28" t="str">
        <f>IF('US Transaction'!D162= "","",IF(B162="BUY",'US Transaction'!D162,-'US Transaction'!D162))</f>
        <v/>
      </c>
      <c r="E162" s="28" t="str">
        <f>IF('US Transaction'!E162= "","",'US Transaction'!E162)</f>
        <v/>
      </c>
      <c r="F162" s="23"/>
      <c r="G162" s="28" t="str">
        <f t="shared" si="17"/>
        <v/>
      </c>
      <c r="H162" s="28" t="str">
        <f>IF(A162="","",COUNTIF($G$2:G162,G162))</f>
        <v/>
      </c>
      <c r="I162" s="28" t="str">
        <f t="shared" si="18"/>
        <v/>
      </c>
      <c r="J162" s="28" t="str">
        <f>IF(G162="","",IF(COUNTIF($G$2:G162,G162)&gt;1,SUMIF($A$2:A162,G162,$C$2:C162),C162))</f>
        <v/>
      </c>
      <c r="K162" s="45" t="str">
        <f>IF(G162="","",IF(COUNTIF($G$2:G162,G162)&gt;1,SUMIF($A$2:A162,G162,$D$2:D162),D162) +SUMIF($G$2:G162,G162,$M$2:M162))</f>
        <v/>
      </c>
      <c r="L162" s="45" t="str">
        <f t="shared" si="19"/>
        <v/>
      </c>
      <c r="M162" s="46" t="str">
        <f>IF(G162="","",IF(B162 = "BUY", 0,(E162-VLOOKUP(CONCATENATE(G162,(H162-1)),$I$2:L161,4,FALSE))*-C162))</f>
        <v/>
      </c>
    </row>
    <row r="163" spans="1:13" ht="15" thickBot="1" x14ac:dyDescent="0.35">
      <c r="A163" s="28" t="str">
        <f>IF('US Transaction'!A163= "","",'US Transaction'!A163)</f>
        <v/>
      </c>
      <c r="B163" s="28" t="str">
        <f>IF('US Transaction'!B163= "","",'US Transaction'!B163)</f>
        <v/>
      </c>
      <c r="C163" s="28" t="str">
        <f>IF('US Transaction'!C163= "","",IF(B163="BUY",'US Transaction'!C163,-'US Transaction'!C163))</f>
        <v/>
      </c>
      <c r="D163" s="28" t="str">
        <f>IF('US Transaction'!D163= "","",IF(B163="BUY",'US Transaction'!D163,-'US Transaction'!D163))</f>
        <v/>
      </c>
      <c r="E163" s="28" t="str">
        <f>IF('US Transaction'!E163= "","",'US Transaction'!E163)</f>
        <v/>
      </c>
      <c r="F163" s="23"/>
      <c r="G163" s="28" t="str">
        <f t="shared" si="17"/>
        <v/>
      </c>
      <c r="H163" s="28" t="str">
        <f>IF(A163="","",COUNTIF($G$2:G163,G163))</f>
        <v/>
      </c>
      <c r="I163" s="28" t="str">
        <f t="shared" si="18"/>
        <v/>
      </c>
      <c r="J163" s="28" t="str">
        <f>IF(G163="","",IF(COUNTIF($G$2:G163,G163)&gt;1,SUMIF($A$2:A163,G163,$C$2:C163),C163))</f>
        <v/>
      </c>
      <c r="K163" s="45" t="str">
        <f>IF(G163="","",IF(COUNTIF($G$2:G163,G163)&gt;1,SUMIF($A$2:A163,G163,$D$2:D163),D163) +SUMIF($G$2:G163,G163,$M$2:M163))</f>
        <v/>
      </c>
      <c r="L163" s="45" t="str">
        <f t="shared" si="19"/>
        <v/>
      </c>
      <c r="M163" s="46" t="str">
        <f>IF(G163="","",IF(B163 = "BUY", 0,(E163-VLOOKUP(CONCATENATE(G163,(H163-1)),$I$2:L162,4,FALSE))*-C163))</f>
        <v/>
      </c>
    </row>
    <row r="164" spans="1:13" ht="15" thickBot="1" x14ac:dyDescent="0.35">
      <c r="A164" s="28" t="str">
        <f>IF('US Transaction'!A164= "","",'US Transaction'!A164)</f>
        <v/>
      </c>
      <c r="B164" s="28" t="str">
        <f>IF('US Transaction'!B164= "","",'US Transaction'!B164)</f>
        <v/>
      </c>
      <c r="C164" s="28" t="str">
        <f>IF('US Transaction'!C164= "","",IF(B164="BUY",'US Transaction'!C164,-'US Transaction'!C164))</f>
        <v/>
      </c>
      <c r="D164" s="28" t="str">
        <f>IF('US Transaction'!D164= "","",IF(B164="BUY",'US Transaction'!D164,-'US Transaction'!D164))</f>
        <v/>
      </c>
      <c r="E164" s="28" t="str">
        <f>IF('US Transaction'!E164= "","",'US Transaction'!E164)</f>
        <v/>
      </c>
      <c r="F164" s="23"/>
      <c r="G164" s="28" t="str">
        <f t="shared" si="17"/>
        <v/>
      </c>
      <c r="H164" s="28" t="str">
        <f>IF(A164="","",COUNTIF($G$2:G164,G164))</f>
        <v/>
      </c>
      <c r="I164" s="28" t="str">
        <f t="shared" si="18"/>
        <v/>
      </c>
      <c r="J164" s="28" t="str">
        <f>IF(G164="","",IF(COUNTIF($G$2:G164,G164)&gt;1,SUMIF($A$2:A164,G164,$C$2:C164),C164))</f>
        <v/>
      </c>
      <c r="K164" s="45" t="str">
        <f>IF(G164="","",IF(COUNTIF($G$2:G164,G164)&gt;1,SUMIF($A$2:A164,G164,$D$2:D164),D164) +SUMIF($G$2:G164,G164,$M$2:M164))</f>
        <v/>
      </c>
      <c r="L164" s="45" t="str">
        <f t="shared" si="19"/>
        <v/>
      </c>
      <c r="M164" s="46" t="str">
        <f>IF(G164="","",IF(B164 = "BUY", 0,(E164-VLOOKUP(CONCATENATE(G164,(H164-1)),$I$2:L163,4,FALSE))*-C164))</f>
        <v/>
      </c>
    </row>
    <row r="165" spans="1:13" ht="15" thickBot="1" x14ac:dyDescent="0.35">
      <c r="A165" s="28" t="str">
        <f>IF('US Transaction'!A165= "","",'US Transaction'!A165)</f>
        <v/>
      </c>
      <c r="B165" s="28" t="str">
        <f>IF('US Transaction'!B165= "","",'US Transaction'!B165)</f>
        <v/>
      </c>
      <c r="C165" s="28" t="str">
        <f>IF('US Transaction'!C165= "","",IF(B165="BUY",'US Transaction'!C165,-'US Transaction'!C165))</f>
        <v/>
      </c>
      <c r="D165" s="28" t="str">
        <f>IF('US Transaction'!D165= "","",IF(B165="BUY",'US Transaction'!D165,-'US Transaction'!D165))</f>
        <v/>
      </c>
      <c r="E165" s="28" t="str">
        <f>IF('US Transaction'!E165= "","",'US Transaction'!E165)</f>
        <v/>
      </c>
      <c r="F165" s="23"/>
      <c r="G165" s="28" t="str">
        <f t="shared" si="17"/>
        <v/>
      </c>
      <c r="H165" s="28" t="str">
        <f>IF(A165="","",COUNTIF($G$2:G165,G165))</f>
        <v/>
      </c>
      <c r="I165" s="28" t="str">
        <f t="shared" si="18"/>
        <v/>
      </c>
      <c r="J165" s="28" t="str">
        <f>IF(G165="","",IF(COUNTIF($G$2:G165,G165)&gt;1,SUMIF($A$2:A165,G165,$C$2:C165),C165))</f>
        <v/>
      </c>
      <c r="K165" s="45" t="str">
        <f>IF(G165="","",IF(COUNTIF($G$2:G165,G165)&gt;1,SUMIF($A$2:A165,G165,$D$2:D165),D165) +SUMIF($G$2:G165,G165,$M$2:M165))</f>
        <v/>
      </c>
      <c r="L165" s="45" t="str">
        <f t="shared" si="19"/>
        <v/>
      </c>
      <c r="M165" s="46" t="str">
        <f>IF(G165="","",IF(B165 = "BUY", 0,(E165-VLOOKUP(CONCATENATE(G165,(H165-1)),$I$2:L164,4,FALSE))*-C165))</f>
        <v/>
      </c>
    </row>
    <row r="166" spans="1:13" ht="15" thickBot="1" x14ac:dyDescent="0.35">
      <c r="A166" s="28" t="str">
        <f>IF('US Transaction'!A166= "","",'US Transaction'!A166)</f>
        <v/>
      </c>
      <c r="B166" s="28" t="str">
        <f>IF('US Transaction'!B166= "","",'US Transaction'!B166)</f>
        <v/>
      </c>
      <c r="C166" s="28" t="str">
        <f>IF('US Transaction'!C166= "","",IF(B166="BUY",'US Transaction'!C166,-'US Transaction'!C166))</f>
        <v/>
      </c>
      <c r="D166" s="28" t="str">
        <f>IF('US Transaction'!D166= "","",IF(B166="BUY",'US Transaction'!D166,-'US Transaction'!D166))</f>
        <v/>
      </c>
      <c r="E166" s="28" t="str">
        <f>IF('US Transaction'!E166= "","",'US Transaction'!E166)</f>
        <v/>
      </c>
      <c r="F166" s="23"/>
      <c r="G166" s="28" t="str">
        <f t="shared" si="17"/>
        <v/>
      </c>
      <c r="H166" s="28" t="str">
        <f>IF(A166="","",COUNTIF($G$2:G166,G166))</f>
        <v/>
      </c>
      <c r="I166" s="28" t="str">
        <f t="shared" si="18"/>
        <v/>
      </c>
      <c r="J166" s="28" t="str">
        <f>IF(G166="","",IF(COUNTIF($G$2:G166,G166)&gt;1,SUMIF($A$2:A166,G166,$C$2:C166),C166))</f>
        <v/>
      </c>
      <c r="K166" s="45" t="str">
        <f>IF(G166="","",IF(COUNTIF($G$2:G166,G166)&gt;1,SUMIF($A$2:A166,G166,$D$2:D166),D166) +SUMIF($G$2:G166,G166,$M$2:M166))</f>
        <v/>
      </c>
      <c r="L166" s="45" t="str">
        <f t="shared" si="19"/>
        <v/>
      </c>
      <c r="M166" s="46" t="str">
        <f>IF(G166="","",IF(B166 = "BUY", 0,(E166-VLOOKUP(CONCATENATE(G166,(H166-1)),$I$2:L165,4,FALSE))*-C166))</f>
        <v/>
      </c>
    </row>
    <row r="167" spans="1:13" ht="15" thickBot="1" x14ac:dyDescent="0.35">
      <c r="A167" s="28" t="str">
        <f>IF('US Transaction'!A167= "","",'US Transaction'!A167)</f>
        <v/>
      </c>
      <c r="B167" s="28" t="str">
        <f>IF('US Transaction'!B167= "","",'US Transaction'!B167)</f>
        <v/>
      </c>
      <c r="C167" s="28" t="str">
        <f>IF('US Transaction'!C167= "","",IF(B167="BUY",'US Transaction'!C167,-'US Transaction'!C167))</f>
        <v/>
      </c>
      <c r="D167" s="28" t="str">
        <f>IF('US Transaction'!D167= "","",IF(B167="BUY",'US Transaction'!D167,-'US Transaction'!D167))</f>
        <v/>
      </c>
      <c r="E167" s="28" t="str">
        <f>IF('US Transaction'!E167= "","",'US Transaction'!E167)</f>
        <v/>
      </c>
      <c r="F167" s="23"/>
      <c r="G167" s="28" t="str">
        <f t="shared" si="17"/>
        <v/>
      </c>
      <c r="H167" s="28" t="str">
        <f>IF(A167="","",COUNTIF($G$2:G167,G167))</f>
        <v/>
      </c>
      <c r="I167" s="28" t="str">
        <f t="shared" si="18"/>
        <v/>
      </c>
      <c r="J167" s="28" t="str">
        <f>IF(G167="","",IF(COUNTIF($G$2:G167,G167)&gt;1,SUMIF($A$2:A167,G167,$C$2:C167),C167))</f>
        <v/>
      </c>
      <c r="K167" s="45" t="str">
        <f>IF(G167="","",IF(COUNTIF($G$2:G167,G167)&gt;1,SUMIF($A$2:A167,G167,$D$2:D167),D167) +SUMIF($G$2:G167,G167,$M$2:M167))</f>
        <v/>
      </c>
      <c r="L167" s="45" t="str">
        <f t="shared" si="19"/>
        <v/>
      </c>
      <c r="M167" s="46" t="str">
        <f>IF(G167="","",IF(B167 = "BUY", 0,(E167-VLOOKUP(CONCATENATE(G167,(H167-1)),$I$2:L166,4,FALSE))*-C167))</f>
        <v/>
      </c>
    </row>
    <row r="168" spans="1:13" ht="15" thickBot="1" x14ac:dyDescent="0.35">
      <c r="A168" s="28" t="str">
        <f>IF('US Transaction'!A168= "","",'US Transaction'!A168)</f>
        <v/>
      </c>
      <c r="B168" s="28" t="str">
        <f>IF('US Transaction'!B168= "","",'US Transaction'!B168)</f>
        <v/>
      </c>
      <c r="C168" s="28" t="str">
        <f>IF('US Transaction'!C168= "","",IF(B168="BUY",'US Transaction'!C168,-'US Transaction'!C168))</f>
        <v/>
      </c>
      <c r="D168" s="28" t="str">
        <f>IF('US Transaction'!D168= "","",IF(B168="BUY",'US Transaction'!D168,-'US Transaction'!D168))</f>
        <v/>
      </c>
      <c r="E168" s="28" t="str">
        <f>IF('US Transaction'!E168= "","",'US Transaction'!E168)</f>
        <v/>
      </c>
      <c r="F168" s="23"/>
      <c r="G168" s="28" t="str">
        <f t="shared" si="17"/>
        <v/>
      </c>
      <c r="H168" s="28" t="str">
        <f>IF(A168="","",COUNTIF($G$2:G168,G168))</f>
        <v/>
      </c>
      <c r="I168" s="28" t="str">
        <f t="shared" si="18"/>
        <v/>
      </c>
      <c r="J168" s="28" t="str">
        <f>IF(G168="","",IF(COUNTIF($G$2:G168,G168)&gt;1,SUMIF($A$2:A168,G168,$C$2:C168),C168))</f>
        <v/>
      </c>
      <c r="K168" s="45" t="str">
        <f>IF(G168="","",IF(COUNTIF($G$2:G168,G168)&gt;1,SUMIF($A$2:A168,G168,$D$2:D168),D168) +SUMIF($G$2:G168,G168,$M$2:M168))</f>
        <v/>
      </c>
      <c r="L168" s="45" t="str">
        <f t="shared" si="19"/>
        <v/>
      </c>
      <c r="M168" s="46" t="str">
        <f>IF(G168="","",IF(B168 = "BUY", 0,(E168-VLOOKUP(CONCATENATE(G168,(H168-1)),$I$2:L167,4,FALSE))*-C168))</f>
        <v/>
      </c>
    </row>
    <row r="169" spans="1:13" ht="15" thickBot="1" x14ac:dyDescent="0.35">
      <c r="A169" s="28" t="str">
        <f>IF('US Transaction'!A169= "","",'US Transaction'!A169)</f>
        <v/>
      </c>
      <c r="B169" s="28" t="str">
        <f>IF('US Transaction'!B169= "","",'US Transaction'!B169)</f>
        <v/>
      </c>
      <c r="C169" s="28" t="str">
        <f>IF('US Transaction'!C169= "","",IF(B169="BUY",'US Transaction'!C169,-'US Transaction'!C169))</f>
        <v/>
      </c>
      <c r="D169" s="28" t="str">
        <f>IF('US Transaction'!D169= "","",IF(B169="BUY",'US Transaction'!D169,-'US Transaction'!D169))</f>
        <v/>
      </c>
      <c r="E169" s="28" t="str">
        <f>IF('US Transaction'!E169= "","",'US Transaction'!E169)</f>
        <v/>
      </c>
      <c r="F169" s="23"/>
      <c r="G169" s="28" t="str">
        <f t="shared" si="17"/>
        <v/>
      </c>
      <c r="H169" s="28" t="str">
        <f>IF(A169="","",COUNTIF($G$2:G169,G169))</f>
        <v/>
      </c>
      <c r="I169" s="28" t="str">
        <f t="shared" si="18"/>
        <v/>
      </c>
      <c r="J169" s="28" t="str">
        <f>IF(G169="","",IF(COUNTIF($G$2:G169,G169)&gt;1,SUMIF($A$2:A169,G169,$C$2:C169),C169))</f>
        <v/>
      </c>
      <c r="K169" s="45" t="str">
        <f>IF(G169="","",IF(COUNTIF($G$2:G169,G169)&gt;1,SUMIF($A$2:A169,G169,$D$2:D169),D169) +SUMIF($G$2:G169,G169,$M$2:M169))</f>
        <v/>
      </c>
      <c r="L169" s="45" t="str">
        <f t="shared" si="19"/>
        <v/>
      </c>
      <c r="M169" s="46" t="str">
        <f>IF(G169="","",IF(B169 = "BUY", 0,(E169-VLOOKUP(CONCATENATE(G169,(H169-1)),$I$2:L168,4,FALSE))*-C169))</f>
        <v/>
      </c>
    </row>
    <row r="170" spans="1:13" ht="15" thickBot="1" x14ac:dyDescent="0.35">
      <c r="A170" s="28" t="str">
        <f>IF('US Transaction'!A170= "","",'US Transaction'!A170)</f>
        <v/>
      </c>
      <c r="B170" s="28" t="str">
        <f>IF('US Transaction'!B170= "","",'US Transaction'!B170)</f>
        <v/>
      </c>
      <c r="C170" s="28" t="str">
        <f>IF('US Transaction'!C170= "","",IF(B170="BUY",'US Transaction'!C170,-'US Transaction'!C170))</f>
        <v/>
      </c>
      <c r="D170" s="28" t="str">
        <f>IF('US Transaction'!D170= "","",IF(B170="BUY",'US Transaction'!D170,-'US Transaction'!D170))</f>
        <v/>
      </c>
      <c r="E170" s="28" t="str">
        <f>IF('US Transaction'!E170= "","",'US Transaction'!E170)</f>
        <v/>
      </c>
      <c r="F170" s="23"/>
      <c r="G170" s="28" t="str">
        <f t="shared" si="17"/>
        <v/>
      </c>
      <c r="H170" s="28" t="str">
        <f>IF(A170="","",COUNTIF($G$2:G170,G170))</f>
        <v/>
      </c>
      <c r="I170" s="28" t="str">
        <f t="shared" si="18"/>
        <v/>
      </c>
      <c r="J170" s="28" t="str">
        <f>IF(G170="","",IF(COUNTIF($G$2:G170,G170)&gt;1,SUMIF($A$2:A170,G170,$C$2:C170),C170))</f>
        <v/>
      </c>
      <c r="K170" s="45" t="str">
        <f>IF(G170="","",IF(COUNTIF($G$2:G170,G170)&gt;1,SUMIF($A$2:A170,G170,$D$2:D170),D170) +SUMIF($G$2:G170,G170,$M$2:M170))</f>
        <v/>
      </c>
      <c r="L170" s="45" t="str">
        <f t="shared" si="19"/>
        <v/>
      </c>
      <c r="M170" s="46" t="str">
        <f>IF(G170="","",IF(B170 = "BUY", 0,(E170-VLOOKUP(CONCATENATE(G170,(H170-1)),$I$2:L169,4,FALSE))*-C170))</f>
        <v/>
      </c>
    </row>
    <row r="171" spans="1:13" ht="15" thickBot="1" x14ac:dyDescent="0.35">
      <c r="A171" s="28" t="str">
        <f>IF('US Transaction'!A171= "","",'US Transaction'!A171)</f>
        <v/>
      </c>
      <c r="B171" s="28" t="str">
        <f>IF('US Transaction'!B171= "","",'US Transaction'!B171)</f>
        <v/>
      </c>
      <c r="C171" s="28" t="str">
        <f>IF('US Transaction'!C171= "","",IF(B171="BUY",'US Transaction'!C171,-'US Transaction'!C171))</f>
        <v/>
      </c>
      <c r="D171" s="28" t="str">
        <f>IF('US Transaction'!D171= "","",IF(B171="BUY",'US Transaction'!D171,-'US Transaction'!D171))</f>
        <v/>
      </c>
      <c r="E171" s="28" t="str">
        <f>IF('US Transaction'!E171= "","",'US Transaction'!E171)</f>
        <v/>
      </c>
      <c r="F171" s="23"/>
      <c r="G171" s="28" t="str">
        <f t="shared" si="17"/>
        <v/>
      </c>
      <c r="H171" s="28" t="str">
        <f>IF(A171="","",COUNTIF($G$2:G171,G171))</f>
        <v/>
      </c>
      <c r="I171" s="28" t="str">
        <f t="shared" si="18"/>
        <v/>
      </c>
      <c r="J171" s="28" t="str">
        <f>IF(G171="","",IF(COUNTIF($G$2:G171,G171)&gt;1,SUMIF($A$2:A171,G171,$C$2:C171),C171))</f>
        <v/>
      </c>
      <c r="K171" s="45" t="str">
        <f>IF(G171="","",IF(COUNTIF($G$2:G171,G171)&gt;1,SUMIF($A$2:A171,G171,$D$2:D171),D171) +SUMIF($G$2:G171,G171,$M$2:M171))</f>
        <v/>
      </c>
      <c r="L171" s="45" t="str">
        <f t="shared" si="19"/>
        <v/>
      </c>
      <c r="M171" s="46" t="str">
        <f>IF(G171="","",IF(B171 = "BUY", 0,(E171-VLOOKUP(CONCATENATE(G171,(H171-1)),$I$2:L170,4,FALSE))*-C171))</f>
        <v/>
      </c>
    </row>
    <row r="172" spans="1:13" ht="15" thickBot="1" x14ac:dyDescent="0.35">
      <c r="A172" s="28" t="str">
        <f>IF('US Transaction'!A172= "","",'US Transaction'!A172)</f>
        <v/>
      </c>
      <c r="B172" s="28" t="str">
        <f>IF('US Transaction'!B172= "","",'US Transaction'!B172)</f>
        <v/>
      </c>
      <c r="C172" s="28" t="str">
        <f>IF('US Transaction'!C172= "","",IF(B172="BUY",'US Transaction'!C172,-'US Transaction'!C172))</f>
        <v/>
      </c>
      <c r="D172" s="28" t="str">
        <f>IF('US Transaction'!D172= "","",IF(B172="BUY",'US Transaction'!D172,-'US Transaction'!D172))</f>
        <v/>
      </c>
      <c r="E172" s="28" t="str">
        <f>IF('US Transaction'!E172= "","",'US Transaction'!E172)</f>
        <v/>
      </c>
      <c r="F172" s="23"/>
      <c r="G172" s="28" t="str">
        <f t="shared" si="17"/>
        <v/>
      </c>
      <c r="H172" s="28" t="str">
        <f>IF(A172="","",COUNTIF($G$2:G172,G172))</f>
        <v/>
      </c>
      <c r="I172" s="28" t="str">
        <f t="shared" si="18"/>
        <v/>
      </c>
      <c r="J172" s="28" t="str">
        <f>IF(G172="","",IF(COUNTIF($G$2:G172,G172)&gt;1,SUMIF($A$2:A172,G172,$C$2:C172),C172))</f>
        <v/>
      </c>
      <c r="K172" s="45" t="str">
        <f>IF(G172="","",IF(COUNTIF($G$2:G172,G172)&gt;1,SUMIF($A$2:A172,G172,$D$2:D172),D172) +SUMIF($G$2:G172,G172,$M$2:M172))</f>
        <v/>
      </c>
      <c r="L172" s="45" t="str">
        <f t="shared" si="19"/>
        <v/>
      </c>
      <c r="M172" s="46" t="str">
        <f>IF(G172="","",IF(B172 = "BUY", 0,(E172-VLOOKUP(CONCATENATE(G172,(H172-1)),$I$2:L171,4,FALSE))*-C172))</f>
        <v/>
      </c>
    </row>
    <row r="173" spans="1:13" ht="15" thickBot="1" x14ac:dyDescent="0.35">
      <c r="A173" s="28" t="str">
        <f>IF('US Transaction'!A173= "","",'US Transaction'!A173)</f>
        <v/>
      </c>
      <c r="B173" s="28" t="str">
        <f>IF('US Transaction'!B173= "","",'US Transaction'!B173)</f>
        <v/>
      </c>
      <c r="C173" s="28" t="str">
        <f>IF('US Transaction'!C173= "","",IF(B173="BUY",'US Transaction'!C173,-'US Transaction'!C173))</f>
        <v/>
      </c>
      <c r="D173" s="28" t="str">
        <f>IF('US Transaction'!D173= "","",IF(B173="BUY",'US Transaction'!D173,-'US Transaction'!D173))</f>
        <v/>
      </c>
      <c r="E173" s="28" t="str">
        <f>IF('US Transaction'!E173= "","",'US Transaction'!E173)</f>
        <v/>
      </c>
      <c r="F173" s="23"/>
      <c r="G173" s="28" t="str">
        <f t="shared" si="17"/>
        <v/>
      </c>
      <c r="H173" s="28" t="str">
        <f>IF(A173="","",COUNTIF($G$2:G173,G173))</f>
        <v/>
      </c>
      <c r="I173" s="28" t="str">
        <f t="shared" si="18"/>
        <v/>
      </c>
      <c r="J173" s="28" t="str">
        <f>IF(G173="","",IF(COUNTIF($G$2:G173,G173)&gt;1,SUMIF($A$2:A173,G173,$C$2:C173),C173))</f>
        <v/>
      </c>
      <c r="K173" s="45" t="str">
        <f>IF(G173="","",IF(COUNTIF($G$2:G173,G173)&gt;1,SUMIF($A$2:A173,G173,$D$2:D173),D173) +SUMIF($G$2:G173,G173,$M$2:M173))</f>
        <v/>
      </c>
      <c r="L173" s="45" t="str">
        <f t="shared" si="19"/>
        <v/>
      </c>
      <c r="M173" s="46" t="str">
        <f>IF(G173="","",IF(B173 = "BUY", 0,(E173-VLOOKUP(CONCATENATE(G173,(H173-1)),$I$2:L172,4,FALSE))*-C173))</f>
        <v/>
      </c>
    </row>
    <row r="174" spans="1:13" ht="15" thickBot="1" x14ac:dyDescent="0.35">
      <c r="A174" s="28" t="str">
        <f>IF('US Transaction'!A174= "","",'US Transaction'!A174)</f>
        <v/>
      </c>
      <c r="B174" s="28" t="str">
        <f>IF('US Transaction'!B174= "","",'US Transaction'!B174)</f>
        <v/>
      </c>
      <c r="C174" s="28" t="str">
        <f>IF('US Transaction'!C174= "","",IF(B174="BUY",'US Transaction'!C174,-'US Transaction'!C174))</f>
        <v/>
      </c>
      <c r="D174" s="28" t="str">
        <f>IF('US Transaction'!D174= "","",IF(B174="BUY",'US Transaction'!D174,-'US Transaction'!D174))</f>
        <v/>
      </c>
      <c r="E174" s="28" t="str">
        <f>IF('US Transaction'!E174= "","",'US Transaction'!E174)</f>
        <v/>
      </c>
      <c r="F174" s="23"/>
      <c r="G174" s="28" t="str">
        <f t="shared" si="17"/>
        <v/>
      </c>
      <c r="H174" s="28" t="str">
        <f>IF(A174="","",COUNTIF($G$2:G174,G174))</f>
        <v/>
      </c>
      <c r="I174" s="28" t="str">
        <f t="shared" si="18"/>
        <v/>
      </c>
      <c r="J174" s="28" t="str">
        <f>IF(G174="","",IF(COUNTIF($G$2:G174,G174)&gt;1,SUMIF($A$2:A174,G174,$C$2:C174),C174))</f>
        <v/>
      </c>
      <c r="K174" s="45" t="str">
        <f>IF(G174="","",IF(COUNTIF($G$2:G174,G174)&gt;1,SUMIF($A$2:A174,G174,$D$2:D174),D174) +SUMIF($G$2:G174,G174,$M$2:M174))</f>
        <v/>
      </c>
      <c r="L174" s="45" t="str">
        <f t="shared" si="19"/>
        <v/>
      </c>
      <c r="M174" s="46" t="str">
        <f>IF(G174="","",IF(B174 = "BUY", 0,(E174-VLOOKUP(CONCATENATE(G174,(H174-1)),$I$2:L173,4,FALSE))*-C174))</f>
        <v/>
      </c>
    </row>
    <row r="175" spans="1:13" ht="15" thickBot="1" x14ac:dyDescent="0.35">
      <c r="A175" s="28" t="str">
        <f>IF('US Transaction'!A175= "","",'US Transaction'!A175)</f>
        <v/>
      </c>
      <c r="B175" s="28" t="str">
        <f>IF('US Transaction'!B175= "","",'US Transaction'!B175)</f>
        <v/>
      </c>
      <c r="C175" s="28" t="str">
        <f>IF('US Transaction'!C175= "","",IF(B175="BUY",'US Transaction'!C175,-'US Transaction'!C175))</f>
        <v/>
      </c>
      <c r="D175" s="28" t="str">
        <f>IF('US Transaction'!D175= "","",IF(B175="BUY",'US Transaction'!D175,-'US Transaction'!D175))</f>
        <v/>
      </c>
      <c r="E175" s="28" t="str">
        <f>IF('US Transaction'!E175= "","",'US Transaction'!E175)</f>
        <v/>
      </c>
      <c r="F175" s="23"/>
      <c r="G175" s="28" t="str">
        <f t="shared" si="17"/>
        <v/>
      </c>
      <c r="H175" s="28" t="str">
        <f>IF(A175="","",COUNTIF($G$2:G175,G175))</f>
        <v/>
      </c>
      <c r="I175" s="28" t="str">
        <f t="shared" si="18"/>
        <v/>
      </c>
      <c r="J175" s="28" t="str">
        <f>IF(G175="","",IF(COUNTIF($G$2:G175,G175)&gt;1,SUMIF($A$2:A175,G175,$C$2:C175),C175))</f>
        <v/>
      </c>
      <c r="K175" s="45" t="str">
        <f>IF(G175="","",IF(COUNTIF($G$2:G175,G175)&gt;1,SUMIF($A$2:A175,G175,$D$2:D175),D175) +SUMIF($G$2:G175,G175,$M$2:M175))</f>
        <v/>
      </c>
      <c r="L175" s="45" t="str">
        <f t="shared" si="19"/>
        <v/>
      </c>
      <c r="M175" s="46" t="str">
        <f>IF(G175="","",IF(B175 = "BUY", 0,(E175-VLOOKUP(CONCATENATE(G175,(H175-1)),$I$2:L174,4,FALSE))*-C175))</f>
        <v/>
      </c>
    </row>
    <row r="176" spans="1:13" ht="15" thickBot="1" x14ac:dyDescent="0.35">
      <c r="A176" s="28" t="str">
        <f>IF('US Transaction'!A176= "","",'US Transaction'!A176)</f>
        <v/>
      </c>
      <c r="B176" s="28" t="str">
        <f>IF('US Transaction'!B176= "","",'US Transaction'!B176)</f>
        <v/>
      </c>
      <c r="C176" s="28" t="str">
        <f>IF('US Transaction'!C176= "","",IF(B176="BUY",'US Transaction'!C176,-'US Transaction'!C176))</f>
        <v/>
      </c>
      <c r="D176" s="28" t="str">
        <f>IF('US Transaction'!D176= "","",IF(B176="BUY",'US Transaction'!D176,-'US Transaction'!D176))</f>
        <v/>
      </c>
      <c r="E176" s="28" t="str">
        <f>IF('US Transaction'!E176= "","",'US Transaction'!E176)</f>
        <v/>
      </c>
      <c r="F176" s="23"/>
      <c r="G176" s="28" t="str">
        <f t="shared" si="17"/>
        <v/>
      </c>
      <c r="H176" s="28" t="str">
        <f>IF(A176="","",COUNTIF($G$2:G176,G176))</f>
        <v/>
      </c>
      <c r="I176" s="28" t="str">
        <f t="shared" si="18"/>
        <v/>
      </c>
      <c r="J176" s="28" t="str">
        <f>IF(G176="","",IF(COUNTIF($G$2:G176,G176)&gt;1,SUMIF($A$2:A176,G176,$C$2:C176),C176))</f>
        <v/>
      </c>
      <c r="K176" s="45" t="str">
        <f>IF(G176="","",IF(COUNTIF($G$2:G176,G176)&gt;1,SUMIF($A$2:A176,G176,$D$2:D176),D176) +SUMIF($G$2:G176,G176,$M$2:M176))</f>
        <v/>
      </c>
      <c r="L176" s="45" t="str">
        <f t="shared" si="19"/>
        <v/>
      </c>
      <c r="M176" s="46" t="str">
        <f>IF(G176="","",IF(B176 = "BUY", 0,(E176-VLOOKUP(CONCATENATE(G176,(H176-1)),$I$2:L175,4,FALSE))*-C176))</f>
        <v/>
      </c>
    </row>
    <row r="177" spans="1:13" ht="15" thickBot="1" x14ac:dyDescent="0.35">
      <c r="A177" s="28" t="str">
        <f>IF('US Transaction'!A177= "","",'US Transaction'!A177)</f>
        <v/>
      </c>
      <c r="B177" s="28" t="str">
        <f>IF('US Transaction'!B177= "","",'US Transaction'!B177)</f>
        <v/>
      </c>
      <c r="C177" s="28" t="str">
        <f>IF('US Transaction'!C177= "","",IF(B177="BUY",'US Transaction'!C177,-'US Transaction'!C177))</f>
        <v/>
      </c>
      <c r="D177" s="28" t="str">
        <f>IF('US Transaction'!D177= "","",IF(B177="BUY",'US Transaction'!D177,-'US Transaction'!D177))</f>
        <v/>
      </c>
      <c r="E177" s="28" t="str">
        <f>IF('US Transaction'!E177= "","",'US Transaction'!E177)</f>
        <v/>
      </c>
      <c r="F177" s="23"/>
      <c r="G177" s="28" t="str">
        <f t="shared" si="17"/>
        <v/>
      </c>
      <c r="H177" s="28" t="str">
        <f>IF(A177="","",COUNTIF($G$2:G177,G177))</f>
        <v/>
      </c>
      <c r="I177" s="28" t="str">
        <f t="shared" si="18"/>
        <v/>
      </c>
      <c r="J177" s="28" t="str">
        <f>IF(G177="","",IF(COUNTIF($G$2:G177,G177)&gt;1,SUMIF($A$2:A177,G177,$C$2:C177),C177))</f>
        <v/>
      </c>
      <c r="K177" s="45" t="str">
        <f>IF(G177="","",IF(COUNTIF($G$2:G177,G177)&gt;1,SUMIF($A$2:A177,G177,$D$2:D177),D177) +SUMIF($G$2:G177,G177,$M$2:M177))</f>
        <v/>
      </c>
      <c r="L177" s="45" t="str">
        <f t="shared" si="19"/>
        <v/>
      </c>
      <c r="M177" s="46" t="str">
        <f>IF(G177="","",IF(B177 = "BUY", 0,(E177-VLOOKUP(CONCATENATE(G177,(H177-1)),$I$2:L176,4,FALSE))*-C177))</f>
        <v/>
      </c>
    </row>
    <row r="178" spans="1:13" ht="15" thickBot="1" x14ac:dyDescent="0.35">
      <c r="A178" s="28" t="str">
        <f>IF('US Transaction'!A178= "","",'US Transaction'!A178)</f>
        <v/>
      </c>
      <c r="B178" s="28" t="str">
        <f>IF('US Transaction'!B178= "","",'US Transaction'!B178)</f>
        <v/>
      </c>
      <c r="C178" s="28" t="str">
        <f>IF('US Transaction'!C178= "","",IF(B178="BUY",'US Transaction'!C178,-'US Transaction'!C178))</f>
        <v/>
      </c>
      <c r="D178" s="28" t="str">
        <f>IF('US Transaction'!D178= "","",IF(B178="BUY",'US Transaction'!D178,-'US Transaction'!D178))</f>
        <v/>
      </c>
      <c r="E178" s="28" t="str">
        <f>IF('US Transaction'!E178= "","",'US Transaction'!E178)</f>
        <v/>
      </c>
      <c r="F178" s="23"/>
      <c r="G178" s="28" t="str">
        <f t="shared" si="17"/>
        <v/>
      </c>
      <c r="H178" s="28" t="str">
        <f>IF(A178="","",COUNTIF($G$2:G178,G178))</f>
        <v/>
      </c>
      <c r="I178" s="28" t="str">
        <f t="shared" si="18"/>
        <v/>
      </c>
      <c r="J178" s="28" t="str">
        <f>IF(G178="","",IF(COUNTIF($G$2:G178,G178)&gt;1,SUMIF($A$2:A178,G178,$C$2:C178),C178))</f>
        <v/>
      </c>
      <c r="K178" s="45" t="str">
        <f>IF(G178="","",IF(COUNTIF($G$2:G178,G178)&gt;1,SUMIF($A$2:A178,G178,$D$2:D178),D178) +SUMIF($G$2:G178,G178,$M$2:M178))</f>
        <v/>
      </c>
      <c r="L178" s="45" t="str">
        <f t="shared" si="19"/>
        <v/>
      </c>
      <c r="M178" s="46" t="str">
        <f>IF(G178="","",IF(B178 = "BUY", 0,(E178-VLOOKUP(CONCATENATE(G178,(H178-1)),$I$2:L177,4,FALSE))*-C178))</f>
        <v/>
      </c>
    </row>
    <row r="179" spans="1:13" ht="15" thickBot="1" x14ac:dyDescent="0.35">
      <c r="A179" s="28" t="str">
        <f>IF('US Transaction'!A179= "","",'US Transaction'!A179)</f>
        <v/>
      </c>
      <c r="B179" s="28" t="str">
        <f>IF('US Transaction'!B179= "","",'US Transaction'!B179)</f>
        <v/>
      </c>
      <c r="C179" s="28" t="str">
        <f>IF('US Transaction'!C179= "","",IF(B179="BUY",'US Transaction'!C179,-'US Transaction'!C179))</f>
        <v/>
      </c>
      <c r="D179" s="28" t="str">
        <f>IF('US Transaction'!D179= "","",IF(B179="BUY",'US Transaction'!D179,-'US Transaction'!D179))</f>
        <v/>
      </c>
      <c r="E179" s="28" t="str">
        <f>IF('US Transaction'!E179= "","",'US Transaction'!E179)</f>
        <v/>
      </c>
      <c r="F179" s="23"/>
      <c r="G179" s="28" t="str">
        <f t="shared" si="17"/>
        <v/>
      </c>
      <c r="H179" s="28" t="str">
        <f>IF(A179="","",COUNTIF($G$2:G179,G179))</f>
        <v/>
      </c>
      <c r="I179" s="28" t="str">
        <f t="shared" si="18"/>
        <v/>
      </c>
      <c r="J179" s="28" t="str">
        <f>IF(G179="","",IF(COUNTIF($G$2:G179,G179)&gt;1,SUMIF($A$2:A179,G179,$C$2:C179),C179))</f>
        <v/>
      </c>
      <c r="K179" s="45" t="str">
        <f>IF(G179="","",IF(COUNTIF($G$2:G179,G179)&gt;1,SUMIF($A$2:A179,G179,$D$2:D179),D179) +SUMIF($G$2:G179,G179,$M$2:M179))</f>
        <v/>
      </c>
      <c r="L179" s="45" t="str">
        <f t="shared" si="19"/>
        <v/>
      </c>
      <c r="M179" s="46" t="str">
        <f>IF(G179="","",IF(B179 = "BUY", 0,(E179-VLOOKUP(CONCATENATE(G179,(H179-1)),$I$2:L178,4,FALSE))*-C179))</f>
        <v/>
      </c>
    </row>
    <row r="180" spans="1:13" ht="15" thickBot="1" x14ac:dyDescent="0.35">
      <c r="A180" s="28" t="str">
        <f>IF('US Transaction'!A180= "","",'US Transaction'!A180)</f>
        <v/>
      </c>
      <c r="B180" s="28" t="str">
        <f>IF('US Transaction'!B180= "","",'US Transaction'!B180)</f>
        <v/>
      </c>
      <c r="C180" s="28" t="str">
        <f>IF('US Transaction'!C180= "","",IF(B180="BUY",'US Transaction'!C180,-'US Transaction'!C180))</f>
        <v/>
      </c>
      <c r="D180" s="28" t="str">
        <f>IF('US Transaction'!D180= "","",IF(B180="BUY",'US Transaction'!D180,-'US Transaction'!D180))</f>
        <v/>
      </c>
      <c r="E180" s="28" t="str">
        <f>IF('US Transaction'!E180= "","",'US Transaction'!E180)</f>
        <v/>
      </c>
      <c r="F180" s="23"/>
      <c r="G180" s="28" t="str">
        <f t="shared" si="17"/>
        <v/>
      </c>
      <c r="H180" s="28" t="str">
        <f>IF(A180="","",COUNTIF($G$2:G180,G180))</f>
        <v/>
      </c>
      <c r="I180" s="28" t="str">
        <f t="shared" si="18"/>
        <v/>
      </c>
      <c r="J180" s="28" t="str">
        <f>IF(G180="","",IF(COUNTIF($G$2:G180,G180)&gt;1,SUMIF($A$2:A180,G180,$C$2:C180),C180))</f>
        <v/>
      </c>
      <c r="K180" s="45" t="str">
        <f>IF(G180="","",IF(COUNTIF($G$2:G180,G180)&gt;1,SUMIF($A$2:A180,G180,$D$2:D180),D180) +SUMIF($G$2:G180,G180,$M$2:M180))</f>
        <v/>
      </c>
      <c r="L180" s="45" t="str">
        <f t="shared" si="19"/>
        <v/>
      </c>
      <c r="M180" s="46" t="str">
        <f>IF(G180="","",IF(B180 = "BUY", 0,(E180-VLOOKUP(CONCATENATE(G180,(H180-1)),$I$2:L179,4,FALSE))*-C180))</f>
        <v/>
      </c>
    </row>
    <row r="181" spans="1:13" ht="15" thickBot="1" x14ac:dyDescent="0.35">
      <c r="A181" s="28" t="str">
        <f>IF('US Transaction'!A181= "","",'US Transaction'!A181)</f>
        <v/>
      </c>
      <c r="B181" s="28" t="str">
        <f>IF('US Transaction'!B181= "","",'US Transaction'!B181)</f>
        <v/>
      </c>
      <c r="C181" s="28" t="str">
        <f>IF('US Transaction'!C181= "","",IF(B181="BUY",'US Transaction'!C181,-'US Transaction'!C181))</f>
        <v/>
      </c>
      <c r="D181" s="28" t="str">
        <f>IF('US Transaction'!D181= "","",IF(B181="BUY",'US Transaction'!D181,-'US Transaction'!D181))</f>
        <v/>
      </c>
      <c r="E181" s="28" t="str">
        <f>IF('US Transaction'!E181= "","",'US Transaction'!E181)</f>
        <v/>
      </c>
      <c r="F181" s="23"/>
      <c r="G181" s="28" t="str">
        <f t="shared" si="17"/>
        <v/>
      </c>
      <c r="H181" s="28" t="str">
        <f>IF(A181="","",COUNTIF($G$2:G181,G181))</f>
        <v/>
      </c>
      <c r="I181" s="28" t="str">
        <f t="shared" si="18"/>
        <v/>
      </c>
      <c r="J181" s="28" t="str">
        <f>IF(G181="","",IF(COUNTIF($G$2:G181,G181)&gt;1,SUMIF($A$2:A181,G181,$C$2:C181),C181))</f>
        <v/>
      </c>
      <c r="K181" s="45" t="str">
        <f>IF(G181="","",IF(COUNTIF($G$2:G181,G181)&gt;1,SUMIF($A$2:A181,G181,$D$2:D181),D181) +SUMIF($G$2:G181,G181,$M$2:M181))</f>
        <v/>
      </c>
      <c r="L181" s="45" t="str">
        <f t="shared" si="19"/>
        <v/>
      </c>
      <c r="M181" s="46" t="str">
        <f>IF(G181="","",IF(B181 = "BUY", 0,(E181-VLOOKUP(CONCATENATE(G181,(H181-1)),$I$2:L180,4,FALSE))*-C181))</f>
        <v/>
      </c>
    </row>
    <row r="182" spans="1:13" ht="15" thickBot="1" x14ac:dyDescent="0.35">
      <c r="A182" s="28" t="str">
        <f>IF('US Transaction'!A182= "","",'US Transaction'!A182)</f>
        <v/>
      </c>
      <c r="B182" s="28" t="str">
        <f>IF('US Transaction'!B182= "","",'US Transaction'!B182)</f>
        <v/>
      </c>
      <c r="C182" s="28" t="str">
        <f>IF('US Transaction'!C182= "","",IF(B182="BUY",'US Transaction'!C182,-'US Transaction'!C182))</f>
        <v/>
      </c>
      <c r="D182" s="28" t="str">
        <f>IF('US Transaction'!D182= "","",IF(B182="BUY",'US Transaction'!D182,-'US Transaction'!D182))</f>
        <v/>
      </c>
      <c r="E182" s="28" t="str">
        <f>IF('US Transaction'!E182= "","",'US Transaction'!E182)</f>
        <v/>
      </c>
      <c r="F182" s="23"/>
      <c r="G182" s="28" t="str">
        <f t="shared" si="17"/>
        <v/>
      </c>
      <c r="H182" s="28" t="str">
        <f>IF(A182="","",COUNTIF($G$2:G182,G182))</f>
        <v/>
      </c>
      <c r="I182" s="28" t="str">
        <f t="shared" si="18"/>
        <v/>
      </c>
      <c r="J182" s="28" t="str">
        <f>IF(G182="","",IF(COUNTIF($G$2:G182,G182)&gt;1,SUMIF($A$2:A182,G182,$C$2:C182),C182))</f>
        <v/>
      </c>
      <c r="K182" s="45" t="str">
        <f>IF(G182="","",IF(COUNTIF($G$2:G182,G182)&gt;1,SUMIF($A$2:A182,G182,$D$2:D182),D182) +SUMIF($G$2:G182,G182,$M$2:M182))</f>
        <v/>
      </c>
      <c r="L182" s="45" t="str">
        <f t="shared" si="19"/>
        <v/>
      </c>
      <c r="M182" s="46" t="str">
        <f>IF(G182="","",IF(B182 = "BUY", 0,(E182-VLOOKUP(CONCATENATE(G182,(H182-1)),$I$2:L181,4,FALSE))*-C182))</f>
        <v/>
      </c>
    </row>
    <row r="183" spans="1:13" ht="15" thickBot="1" x14ac:dyDescent="0.35">
      <c r="A183" s="28" t="str">
        <f>IF('US Transaction'!A183= "","",'US Transaction'!A183)</f>
        <v/>
      </c>
      <c r="B183" s="28" t="str">
        <f>IF('US Transaction'!B183= "","",'US Transaction'!B183)</f>
        <v/>
      </c>
      <c r="C183" s="28" t="str">
        <f>IF('US Transaction'!C183= "","",IF(B183="BUY",'US Transaction'!C183,-'US Transaction'!C183))</f>
        <v/>
      </c>
      <c r="D183" s="28" t="str">
        <f>IF('US Transaction'!D183= "","",IF(B183="BUY",'US Transaction'!D183,-'US Transaction'!D183))</f>
        <v/>
      </c>
      <c r="E183" s="28" t="str">
        <f>IF('US Transaction'!E183= "","",'US Transaction'!E183)</f>
        <v/>
      </c>
      <c r="F183" s="23"/>
      <c r="G183" s="28" t="str">
        <f t="shared" si="17"/>
        <v/>
      </c>
      <c r="H183" s="28" t="str">
        <f>IF(A183="","",COUNTIF($G$2:G183,G183))</f>
        <v/>
      </c>
      <c r="I183" s="28" t="str">
        <f t="shared" si="18"/>
        <v/>
      </c>
      <c r="J183" s="28" t="str">
        <f>IF(G183="","",IF(COUNTIF($G$2:G183,G183)&gt;1,SUMIF($A$2:A183,G183,$C$2:C183),C183))</f>
        <v/>
      </c>
      <c r="K183" s="45" t="str">
        <f>IF(G183="","",IF(COUNTIF($G$2:G183,G183)&gt;1,SUMIF($A$2:A183,G183,$D$2:D183),D183) +SUMIF($G$2:G183,G183,$M$2:M183))</f>
        <v/>
      </c>
      <c r="L183" s="45" t="str">
        <f t="shared" si="19"/>
        <v/>
      </c>
      <c r="M183" s="46" t="str">
        <f>IF(G183="","",IF(B183 = "BUY", 0,(E183-VLOOKUP(CONCATENATE(G183,(H183-1)),$I$2:L182,4,FALSE))*-C183))</f>
        <v/>
      </c>
    </row>
    <row r="184" spans="1:13" ht="15" thickBot="1" x14ac:dyDescent="0.35">
      <c r="A184" s="28" t="str">
        <f>IF('US Transaction'!A184= "","",'US Transaction'!A184)</f>
        <v/>
      </c>
      <c r="B184" s="28" t="str">
        <f>IF('US Transaction'!B184= "","",'US Transaction'!B184)</f>
        <v/>
      </c>
      <c r="C184" s="28" t="str">
        <f>IF('US Transaction'!C184= "","",IF(B184="BUY",'US Transaction'!C184,-'US Transaction'!C184))</f>
        <v/>
      </c>
      <c r="D184" s="28" t="str">
        <f>IF('US Transaction'!D184= "","",IF(B184="BUY",'US Transaction'!D184,-'US Transaction'!D184))</f>
        <v/>
      </c>
      <c r="E184" s="28" t="str">
        <f>IF('US Transaction'!E184= "","",'US Transaction'!E184)</f>
        <v/>
      </c>
      <c r="F184" s="23"/>
      <c r="G184" s="28" t="str">
        <f t="shared" si="17"/>
        <v/>
      </c>
      <c r="H184" s="28" t="str">
        <f>IF(A184="","",COUNTIF($G$2:G184,G184))</f>
        <v/>
      </c>
      <c r="I184" s="28" t="str">
        <f t="shared" si="18"/>
        <v/>
      </c>
      <c r="J184" s="28" t="str">
        <f>IF(G184="","",IF(COUNTIF($G$2:G184,G184)&gt;1,SUMIF($A$2:A184,G184,$C$2:C184),C184))</f>
        <v/>
      </c>
      <c r="K184" s="45" t="str">
        <f>IF(G184="","",IF(COUNTIF($G$2:G184,G184)&gt;1,SUMIF($A$2:A184,G184,$D$2:D184),D184) +SUMIF($G$2:G184,G184,$M$2:M184))</f>
        <v/>
      </c>
      <c r="L184" s="45" t="str">
        <f t="shared" si="19"/>
        <v/>
      </c>
      <c r="M184" s="46" t="str">
        <f>IF(G184="","",IF(B184 = "BUY", 0,(E184-VLOOKUP(CONCATENATE(G184,(H184-1)),$I$2:L183,4,FALSE))*-C184))</f>
        <v/>
      </c>
    </row>
    <row r="185" spans="1:13" ht="15" thickBot="1" x14ac:dyDescent="0.35">
      <c r="A185" s="28" t="str">
        <f>IF('US Transaction'!A185= "","",'US Transaction'!A185)</f>
        <v/>
      </c>
      <c r="B185" s="28" t="str">
        <f>IF('US Transaction'!B185= "","",'US Transaction'!B185)</f>
        <v/>
      </c>
      <c r="C185" s="28" t="str">
        <f>IF('US Transaction'!C185= "","",IF(B185="BUY",'US Transaction'!C185,-'US Transaction'!C185))</f>
        <v/>
      </c>
      <c r="D185" s="28" t="str">
        <f>IF('US Transaction'!D185= "","",IF(B185="BUY",'US Transaction'!D185,-'US Transaction'!D185))</f>
        <v/>
      </c>
      <c r="E185" s="28" t="str">
        <f>IF('US Transaction'!E185= "","",'US Transaction'!E185)</f>
        <v/>
      </c>
      <c r="F185" s="23"/>
      <c r="G185" s="28" t="str">
        <f t="shared" si="17"/>
        <v/>
      </c>
      <c r="H185" s="28" t="str">
        <f>IF(A185="","",COUNTIF($G$2:G185,G185))</f>
        <v/>
      </c>
      <c r="I185" s="28" t="str">
        <f t="shared" si="18"/>
        <v/>
      </c>
      <c r="J185" s="28" t="str">
        <f>IF(G185="","",IF(COUNTIF($G$2:G185,G185)&gt;1,SUMIF($A$2:A185,G185,$C$2:C185),C185))</f>
        <v/>
      </c>
      <c r="K185" s="45" t="str">
        <f>IF(G185="","",IF(COUNTIF($G$2:G185,G185)&gt;1,SUMIF($A$2:A185,G185,$D$2:D185),D185) +SUMIF($G$2:G185,G185,$M$2:M185))</f>
        <v/>
      </c>
      <c r="L185" s="45" t="str">
        <f t="shared" si="19"/>
        <v/>
      </c>
      <c r="M185" s="46" t="str">
        <f>IF(G185="","",IF(B185 = "BUY", 0,(E185-VLOOKUP(CONCATENATE(G185,(H185-1)),$I$2:L184,4,FALSE))*-C185))</f>
        <v/>
      </c>
    </row>
    <row r="186" spans="1:13" ht="15" thickBot="1" x14ac:dyDescent="0.35">
      <c r="A186" s="28" t="str">
        <f>IF('US Transaction'!A186= "","",'US Transaction'!A186)</f>
        <v/>
      </c>
      <c r="B186" s="28" t="str">
        <f>IF('US Transaction'!B186= "","",'US Transaction'!B186)</f>
        <v/>
      </c>
      <c r="C186" s="28" t="str">
        <f>IF('US Transaction'!C186= "","",IF(B186="BUY",'US Transaction'!C186,-'US Transaction'!C186))</f>
        <v/>
      </c>
      <c r="D186" s="28" t="str">
        <f>IF('US Transaction'!D186= "","",IF(B186="BUY",'US Transaction'!D186,-'US Transaction'!D186))</f>
        <v/>
      </c>
      <c r="E186" s="28" t="str">
        <f>IF('US Transaction'!E186= "","",'US Transaction'!E186)</f>
        <v/>
      </c>
      <c r="F186" s="23"/>
      <c r="G186" s="28" t="str">
        <f t="shared" si="17"/>
        <v/>
      </c>
      <c r="H186" s="28" t="str">
        <f>IF(A186="","",COUNTIF($G$2:G186,G186))</f>
        <v/>
      </c>
      <c r="I186" s="28" t="str">
        <f t="shared" si="18"/>
        <v/>
      </c>
      <c r="J186" s="28" t="str">
        <f>IF(G186="","",IF(COUNTIF($G$2:G186,G186)&gt;1,SUMIF($A$2:A186,G186,$C$2:C186),C186))</f>
        <v/>
      </c>
      <c r="K186" s="45" t="str">
        <f>IF(G186="","",IF(COUNTIF($G$2:G186,G186)&gt;1,SUMIF($A$2:A186,G186,$D$2:D186),D186) +SUMIF($G$2:G186,G186,$M$2:M186))</f>
        <v/>
      </c>
      <c r="L186" s="45" t="str">
        <f t="shared" si="19"/>
        <v/>
      </c>
      <c r="M186" s="46" t="str">
        <f>IF(G186="","",IF(B186 = "BUY", 0,(E186-VLOOKUP(CONCATENATE(G186,(H186-1)),$I$2:L185,4,FALSE))*-C186))</f>
        <v/>
      </c>
    </row>
    <row r="187" spans="1:13" ht="15" thickBot="1" x14ac:dyDescent="0.35">
      <c r="A187" s="28" t="str">
        <f>IF('US Transaction'!A187= "","",'US Transaction'!A187)</f>
        <v/>
      </c>
      <c r="B187" s="28" t="str">
        <f>IF('US Transaction'!B187= "","",'US Transaction'!B187)</f>
        <v/>
      </c>
      <c r="C187" s="28" t="str">
        <f>IF('US Transaction'!C187= "","",IF(B187="BUY",'US Transaction'!C187,-'US Transaction'!C187))</f>
        <v/>
      </c>
      <c r="D187" s="28" t="str">
        <f>IF('US Transaction'!D187= "","",IF(B187="BUY",'US Transaction'!D187,-'US Transaction'!D187))</f>
        <v/>
      </c>
      <c r="E187" s="28" t="str">
        <f>IF('US Transaction'!E187= "","",'US Transaction'!E187)</f>
        <v/>
      </c>
      <c r="F187" s="23"/>
      <c r="G187" s="28" t="str">
        <f t="shared" si="17"/>
        <v/>
      </c>
      <c r="H187" s="28" t="str">
        <f>IF(A187="","",COUNTIF($G$2:G187,G187))</f>
        <v/>
      </c>
      <c r="I187" s="28" t="str">
        <f t="shared" si="18"/>
        <v/>
      </c>
      <c r="J187" s="28" t="str">
        <f>IF(G187="","",IF(COUNTIF($G$2:G187,G187)&gt;1,SUMIF($A$2:A187,G187,$C$2:C187),C187))</f>
        <v/>
      </c>
      <c r="K187" s="45" t="str">
        <f>IF(G187="","",IF(COUNTIF($G$2:G187,G187)&gt;1,SUMIF($A$2:A187,G187,$D$2:D187),D187) +SUMIF($G$2:G187,G187,$M$2:M187))</f>
        <v/>
      </c>
      <c r="L187" s="45" t="str">
        <f t="shared" si="19"/>
        <v/>
      </c>
      <c r="M187" s="46" t="str">
        <f>IF(G187="","",IF(B187 = "BUY", 0,(E187-VLOOKUP(CONCATENATE(G187,(H187-1)),$I$2:L186,4,FALSE))*-C187))</f>
        <v/>
      </c>
    </row>
    <row r="188" spans="1:13" ht="15" thickBot="1" x14ac:dyDescent="0.35">
      <c r="A188" s="28" t="str">
        <f>IF('US Transaction'!A188= "","",'US Transaction'!A188)</f>
        <v/>
      </c>
      <c r="B188" s="28" t="str">
        <f>IF('US Transaction'!B188= "","",'US Transaction'!B188)</f>
        <v/>
      </c>
      <c r="C188" s="28" t="str">
        <f>IF('US Transaction'!C188= "","",IF(B188="BUY",'US Transaction'!C188,-'US Transaction'!C188))</f>
        <v/>
      </c>
      <c r="D188" s="28" t="str">
        <f>IF('US Transaction'!D188= "","",IF(B188="BUY",'US Transaction'!D188,-'US Transaction'!D188))</f>
        <v/>
      </c>
      <c r="E188" s="28" t="str">
        <f>IF('US Transaction'!E188= "","",'US Transaction'!E188)</f>
        <v/>
      </c>
      <c r="F188" s="23"/>
      <c r="G188" s="28" t="str">
        <f t="shared" si="17"/>
        <v/>
      </c>
      <c r="H188" s="28" t="str">
        <f>IF(A188="","",COUNTIF($G$2:G188,G188))</f>
        <v/>
      </c>
      <c r="I188" s="28" t="str">
        <f t="shared" si="18"/>
        <v/>
      </c>
      <c r="J188" s="28" t="str">
        <f>IF(G188="","",IF(COUNTIF($G$2:G188,G188)&gt;1,SUMIF($A$2:A188,G188,$C$2:C188),C188))</f>
        <v/>
      </c>
      <c r="K188" s="45" t="str">
        <f>IF(G188="","",IF(COUNTIF($G$2:G188,G188)&gt;1,SUMIF($A$2:A188,G188,$D$2:D188),D188) +SUMIF($G$2:G188,G188,$M$2:M188))</f>
        <v/>
      </c>
      <c r="L188" s="45" t="str">
        <f t="shared" si="19"/>
        <v/>
      </c>
      <c r="M188" s="46" t="str">
        <f>IF(G188="","",IF(B188 = "BUY", 0,(E188-VLOOKUP(CONCATENATE(G188,(H188-1)),$I$2:L187,4,FALSE))*-C188))</f>
        <v/>
      </c>
    </row>
    <row r="189" spans="1:13" ht="15" thickBot="1" x14ac:dyDescent="0.35">
      <c r="A189" s="28" t="str">
        <f>IF('US Transaction'!A189= "","",'US Transaction'!A189)</f>
        <v/>
      </c>
      <c r="B189" s="28" t="str">
        <f>IF('US Transaction'!B189= "","",'US Transaction'!B189)</f>
        <v/>
      </c>
      <c r="C189" s="28" t="str">
        <f>IF('US Transaction'!C189= "","",IF(B189="BUY",'US Transaction'!C189,-'US Transaction'!C189))</f>
        <v/>
      </c>
      <c r="D189" s="28" t="str">
        <f>IF('US Transaction'!D189= "","",IF(B189="BUY",'US Transaction'!D189,-'US Transaction'!D189))</f>
        <v/>
      </c>
      <c r="E189" s="28" t="str">
        <f>IF('US Transaction'!E189= "","",'US Transaction'!E189)</f>
        <v/>
      </c>
      <c r="F189" s="23"/>
      <c r="G189" s="28" t="str">
        <f t="shared" si="17"/>
        <v/>
      </c>
      <c r="H189" s="28" t="str">
        <f>IF(A189="","",COUNTIF($G$2:G189,G189))</f>
        <v/>
      </c>
      <c r="I189" s="28" t="str">
        <f t="shared" si="18"/>
        <v/>
      </c>
      <c r="J189" s="28" t="str">
        <f>IF(G189="","",IF(COUNTIF($G$2:G189,G189)&gt;1,SUMIF($A$2:A189,G189,$C$2:C189),C189))</f>
        <v/>
      </c>
      <c r="K189" s="45" t="str">
        <f>IF(G189="","",IF(COUNTIF($G$2:G189,G189)&gt;1,SUMIF($A$2:A189,G189,$D$2:D189),D189) +SUMIF($G$2:G189,G189,$M$2:M189))</f>
        <v/>
      </c>
      <c r="L189" s="45" t="str">
        <f t="shared" si="19"/>
        <v/>
      </c>
      <c r="M189" s="46" t="str">
        <f>IF(G189="","",IF(B189 = "BUY", 0,(E189-VLOOKUP(CONCATENATE(G189,(H189-1)),$I$2:L188,4,FALSE))*-C189))</f>
        <v/>
      </c>
    </row>
    <row r="190" spans="1:13" ht="15" thickBot="1" x14ac:dyDescent="0.35">
      <c r="A190" s="28" t="str">
        <f>IF('US Transaction'!A190= "","",'US Transaction'!A190)</f>
        <v/>
      </c>
      <c r="B190" s="28" t="str">
        <f>IF('US Transaction'!B190= "","",'US Transaction'!B190)</f>
        <v/>
      </c>
      <c r="C190" s="28" t="str">
        <f>IF('US Transaction'!C190= "","",IF(B190="BUY",'US Transaction'!C190,-'US Transaction'!C190))</f>
        <v/>
      </c>
      <c r="D190" s="28" t="str">
        <f>IF('US Transaction'!D190= "","",IF(B190="BUY",'US Transaction'!D190,-'US Transaction'!D190))</f>
        <v/>
      </c>
      <c r="E190" s="28" t="str">
        <f>IF('US Transaction'!E190= "","",'US Transaction'!E190)</f>
        <v/>
      </c>
      <c r="F190" s="23"/>
      <c r="G190" s="28" t="str">
        <f t="shared" si="17"/>
        <v/>
      </c>
      <c r="H190" s="28" t="str">
        <f>IF(A190="","",COUNTIF($G$2:G190,G190))</f>
        <v/>
      </c>
      <c r="I190" s="28" t="str">
        <f t="shared" si="18"/>
        <v/>
      </c>
      <c r="J190" s="28" t="str">
        <f>IF(G190="","",IF(COUNTIF($G$2:G190,G190)&gt;1,SUMIF($A$2:A190,G190,$C$2:C190),C190))</f>
        <v/>
      </c>
      <c r="K190" s="45" t="str">
        <f>IF(G190="","",IF(COUNTIF($G$2:G190,G190)&gt;1,SUMIF($A$2:A190,G190,$D$2:D190),D190) +SUMIF($G$2:G190,G190,$M$2:M190))</f>
        <v/>
      </c>
      <c r="L190" s="45" t="str">
        <f t="shared" si="19"/>
        <v/>
      </c>
      <c r="M190" s="46" t="str">
        <f>IF(G190="","",IF(B190 = "BUY", 0,(E190-VLOOKUP(CONCATENATE(G190,(H190-1)),$I$2:L189,4,FALSE))*-C190))</f>
        <v/>
      </c>
    </row>
    <row r="191" spans="1:13" ht="15" thickBot="1" x14ac:dyDescent="0.35">
      <c r="A191" s="28" t="str">
        <f>IF('US Transaction'!A191= "","",'US Transaction'!A191)</f>
        <v/>
      </c>
      <c r="B191" s="28" t="str">
        <f>IF('US Transaction'!B191= "","",'US Transaction'!B191)</f>
        <v/>
      </c>
      <c r="C191" s="28" t="str">
        <f>IF('US Transaction'!C191= "","",IF(B191="BUY",'US Transaction'!C191,-'US Transaction'!C191))</f>
        <v/>
      </c>
      <c r="D191" s="28" t="str">
        <f>IF('US Transaction'!D191= "","",IF(B191="BUY",'US Transaction'!D191,-'US Transaction'!D191))</f>
        <v/>
      </c>
      <c r="E191" s="28" t="str">
        <f>IF('US Transaction'!E191= "","",'US Transaction'!E191)</f>
        <v/>
      </c>
      <c r="F191" s="23"/>
      <c r="G191" s="28" t="str">
        <f t="shared" si="17"/>
        <v/>
      </c>
      <c r="H191" s="28" t="str">
        <f>IF(A191="","",COUNTIF($G$2:G191,G191))</f>
        <v/>
      </c>
      <c r="I191" s="28" t="str">
        <f t="shared" si="18"/>
        <v/>
      </c>
      <c r="J191" s="28" t="str">
        <f>IF(G191="","",IF(COUNTIF($G$2:G191,G191)&gt;1,SUMIF($A$2:A191,G191,$C$2:C191),C191))</f>
        <v/>
      </c>
      <c r="K191" s="45" t="str">
        <f>IF(G191="","",IF(COUNTIF($G$2:G191,G191)&gt;1,SUMIF($A$2:A191,G191,$D$2:D191),D191) +SUMIF($G$2:G191,G191,$M$2:M191))</f>
        <v/>
      </c>
      <c r="L191" s="45" t="str">
        <f t="shared" si="19"/>
        <v/>
      </c>
      <c r="M191" s="46" t="str">
        <f>IF(G191="","",IF(B191 = "BUY", 0,(E191-VLOOKUP(CONCATENATE(G191,(H191-1)),$I$2:L190,4,FALSE))*-C191))</f>
        <v/>
      </c>
    </row>
    <row r="192" spans="1:13" ht="15" thickBot="1" x14ac:dyDescent="0.35">
      <c r="A192" s="28" t="str">
        <f>IF('US Transaction'!A192= "","",'US Transaction'!A192)</f>
        <v/>
      </c>
      <c r="B192" s="28" t="str">
        <f>IF('US Transaction'!B192= "","",'US Transaction'!B192)</f>
        <v/>
      </c>
      <c r="C192" s="28" t="str">
        <f>IF('US Transaction'!C192= "","",IF(B192="BUY",'US Transaction'!C192,-'US Transaction'!C192))</f>
        <v/>
      </c>
      <c r="D192" s="28" t="str">
        <f>IF('US Transaction'!D192= "","",IF(B192="BUY",'US Transaction'!D192,-'US Transaction'!D192))</f>
        <v/>
      </c>
      <c r="E192" s="28" t="str">
        <f>IF('US Transaction'!E192= "","",'US Transaction'!E192)</f>
        <v/>
      </c>
      <c r="F192" s="23"/>
      <c r="G192" s="28" t="str">
        <f t="shared" si="17"/>
        <v/>
      </c>
      <c r="H192" s="28" t="str">
        <f>IF(A192="","",COUNTIF($G$2:G192,G192))</f>
        <v/>
      </c>
      <c r="I192" s="28" t="str">
        <f t="shared" si="18"/>
        <v/>
      </c>
      <c r="J192" s="28" t="str">
        <f>IF(G192="","",IF(COUNTIF($G$2:G192,G192)&gt;1,SUMIF($A$2:A192,G192,$C$2:C192),C192))</f>
        <v/>
      </c>
      <c r="K192" s="45" t="str">
        <f>IF(G192="","",IF(COUNTIF($G$2:G192,G192)&gt;1,SUMIF($A$2:A192,G192,$D$2:D192),D192) +SUMIF($G$2:G192,G192,$M$2:M192))</f>
        <v/>
      </c>
      <c r="L192" s="45" t="str">
        <f t="shared" si="19"/>
        <v/>
      </c>
      <c r="M192" s="46" t="str">
        <f>IF(G192="","",IF(B192 = "BUY", 0,(E192-VLOOKUP(CONCATENATE(G192,(H192-1)),$I$2:L191,4,FALSE))*-C192))</f>
        <v/>
      </c>
    </row>
    <row r="193" spans="1:13" ht="15" thickBot="1" x14ac:dyDescent="0.35">
      <c r="A193" s="28" t="str">
        <f>IF('US Transaction'!A193= "","",'US Transaction'!A193)</f>
        <v/>
      </c>
      <c r="B193" s="28" t="str">
        <f>IF('US Transaction'!B193= "","",'US Transaction'!B193)</f>
        <v/>
      </c>
      <c r="C193" s="28" t="str">
        <f>IF('US Transaction'!C193= "","",IF(B193="BUY",'US Transaction'!C193,-'US Transaction'!C193))</f>
        <v/>
      </c>
      <c r="D193" s="28" t="str">
        <f>IF('US Transaction'!D193= "","",IF(B193="BUY",'US Transaction'!D193,-'US Transaction'!D193))</f>
        <v/>
      </c>
      <c r="E193" s="28" t="str">
        <f>IF('US Transaction'!E193= "","",'US Transaction'!E193)</f>
        <v/>
      </c>
      <c r="F193" s="23"/>
      <c r="G193" s="28" t="str">
        <f t="shared" si="17"/>
        <v/>
      </c>
      <c r="H193" s="28" t="str">
        <f>IF(A193="","",COUNTIF($G$2:G193,G193))</f>
        <v/>
      </c>
      <c r="I193" s="28" t="str">
        <f t="shared" si="18"/>
        <v/>
      </c>
      <c r="J193" s="28" t="str">
        <f>IF(G193="","",IF(COUNTIF($G$2:G193,G193)&gt;1,SUMIF($A$2:A193,G193,$C$2:C193),C193))</f>
        <v/>
      </c>
      <c r="K193" s="45" t="str">
        <f>IF(G193="","",IF(COUNTIF($G$2:G193,G193)&gt;1,SUMIF($A$2:A193,G193,$D$2:D193),D193) +SUMIF($G$2:G193,G193,$M$2:M193))</f>
        <v/>
      </c>
      <c r="L193" s="45" t="str">
        <f t="shared" si="19"/>
        <v/>
      </c>
      <c r="M193" s="46" t="str">
        <f>IF(G193="","",IF(B193 = "BUY", 0,(E193-VLOOKUP(CONCATENATE(G193,(H193-1)),$I$2:L192,4,FALSE))*-C193))</f>
        <v/>
      </c>
    </row>
    <row r="194" spans="1:13" ht="15" thickBot="1" x14ac:dyDescent="0.35">
      <c r="A194" s="28" t="str">
        <f>IF('US Transaction'!A194= "","",'US Transaction'!A194)</f>
        <v/>
      </c>
      <c r="B194" s="28" t="str">
        <f>IF('US Transaction'!B194= "","",'US Transaction'!B194)</f>
        <v/>
      </c>
      <c r="C194" s="28" t="str">
        <f>IF('US Transaction'!C194= "","",IF(B194="BUY",'US Transaction'!C194,-'US Transaction'!C194))</f>
        <v/>
      </c>
      <c r="D194" s="28" t="str">
        <f>IF('US Transaction'!D194= "","",IF(B194="BUY",'US Transaction'!D194,-'US Transaction'!D194))</f>
        <v/>
      </c>
      <c r="E194" s="28" t="str">
        <f>IF('US Transaction'!E194= "","",'US Transaction'!E194)</f>
        <v/>
      </c>
      <c r="F194" s="23"/>
      <c r="G194" s="28" t="str">
        <f t="shared" si="17"/>
        <v/>
      </c>
      <c r="H194" s="28" t="str">
        <f>IF(A194="","",COUNTIF($G$2:G194,G194))</f>
        <v/>
      </c>
      <c r="I194" s="28" t="str">
        <f t="shared" si="18"/>
        <v/>
      </c>
      <c r="J194" s="28" t="str">
        <f>IF(G194="","",IF(COUNTIF($G$2:G194,G194)&gt;1,SUMIF($A$2:A194,G194,$C$2:C194),C194))</f>
        <v/>
      </c>
      <c r="K194" s="45" t="str">
        <f>IF(G194="","",IF(COUNTIF($G$2:G194,G194)&gt;1,SUMIF($A$2:A194,G194,$D$2:D194),D194) +SUMIF($G$2:G194,G194,$M$2:M194))</f>
        <v/>
      </c>
      <c r="L194" s="45" t="str">
        <f t="shared" si="19"/>
        <v/>
      </c>
      <c r="M194" s="46" t="str">
        <f>IF(G194="","",IF(B194 = "BUY", 0,(E194-VLOOKUP(CONCATENATE(G194,(H194-1)),$I$2:L193,4,FALSE))*-C194))</f>
        <v/>
      </c>
    </row>
    <row r="195" spans="1:13" ht="15" thickBot="1" x14ac:dyDescent="0.35">
      <c r="A195" s="28" t="str">
        <f>IF('US Transaction'!A195= "","",'US Transaction'!A195)</f>
        <v/>
      </c>
      <c r="B195" s="28" t="str">
        <f>IF('US Transaction'!B195= "","",'US Transaction'!B195)</f>
        <v/>
      </c>
      <c r="C195" s="28" t="str">
        <f>IF('US Transaction'!C195= "","",IF(B195="BUY",'US Transaction'!C195,-'US Transaction'!C195))</f>
        <v/>
      </c>
      <c r="D195" s="28" t="str">
        <f>IF('US Transaction'!D195= "","",IF(B195="BUY",'US Transaction'!D195,-'US Transaction'!D195))</f>
        <v/>
      </c>
      <c r="E195" s="28" t="str">
        <f>IF('US Transaction'!E195= "","",'US Transaction'!E195)</f>
        <v/>
      </c>
      <c r="F195" s="23"/>
      <c r="G195" s="28" t="str">
        <f t="shared" ref="G195:G258" si="20">A195</f>
        <v/>
      </c>
      <c r="H195" s="28" t="str">
        <f>IF(A195="","",COUNTIF($G$2:G195,G195))</f>
        <v/>
      </c>
      <c r="I195" s="28" t="str">
        <f t="shared" ref="I195:I258" si="21">_xlfn.CONCAT(G195,H195)</f>
        <v/>
      </c>
      <c r="J195" s="28" t="str">
        <f>IF(G195="","",IF(COUNTIF($G$2:G195,G195)&gt;1,SUMIF($A$2:A195,G195,$C$2:C195),C195))</f>
        <v/>
      </c>
      <c r="K195" s="45" t="str">
        <f>IF(G195="","",IF(COUNTIF($G$2:G195,G195)&gt;1,SUMIF($A$2:A195,G195,$D$2:D195),D195) +SUMIF($G$2:G195,G195,$M$2:M195))</f>
        <v/>
      </c>
      <c r="L195" s="45" t="str">
        <f t="shared" ref="L195:L258" si="22">IF(G195="","",IFERROR(K195/J195,0))</f>
        <v/>
      </c>
      <c r="M195" s="46" t="str">
        <f>IF(G195="","",IF(B195 = "BUY", 0,(E195-VLOOKUP(CONCATENATE(G195,(H195-1)),$I$2:L194,4,FALSE))*-C195))</f>
        <v/>
      </c>
    </row>
    <row r="196" spans="1:13" ht="15" thickBot="1" x14ac:dyDescent="0.35">
      <c r="A196" s="28" t="str">
        <f>IF('US Transaction'!A196= "","",'US Transaction'!A196)</f>
        <v/>
      </c>
      <c r="B196" s="28" t="str">
        <f>IF('US Transaction'!B196= "","",'US Transaction'!B196)</f>
        <v/>
      </c>
      <c r="C196" s="28" t="str">
        <f>IF('US Transaction'!C196= "","",IF(B196="BUY",'US Transaction'!C196,-'US Transaction'!C196))</f>
        <v/>
      </c>
      <c r="D196" s="28" t="str">
        <f>IF('US Transaction'!D196= "","",IF(B196="BUY",'US Transaction'!D196,-'US Transaction'!D196))</f>
        <v/>
      </c>
      <c r="E196" s="28" t="str">
        <f>IF('US Transaction'!E196= "","",'US Transaction'!E196)</f>
        <v/>
      </c>
      <c r="F196" s="23"/>
      <c r="G196" s="28" t="str">
        <f t="shared" si="20"/>
        <v/>
      </c>
      <c r="H196" s="28" t="str">
        <f>IF(A196="","",COUNTIF($G$2:G196,G196))</f>
        <v/>
      </c>
      <c r="I196" s="28" t="str">
        <f t="shared" si="21"/>
        <v/>
      </c>
      <c r="J196" s="28" t="str">
        <f>IF(G196="","",IF(COUNTIF($G$2:G196,G196)&gt;1,SUMIF($A$2:A196,G196,$C$2:C196),C196))</f>
        <v/>
      </c>
      <c r="K196" s="45" t="str">
        <f>IF(G196="","",IF(COUNTIF($G$2:G196,G196)&gt;1,SUMIF($A$2:A196,G196,$D$2:D196),D196) +SUMIF($G$2:G196,G196,$M$2:M196))</f>
        <v/>
      </c>
      <c r="L196" s="45" t="str">
        <f t="shared" si="22"/>
        <v/>
      </c>
      <c r="M196" s="46" t="str">
        <f>IF(G196="","",IF(B196 = "BUY", 0,(E196-VLOOKUP(CONCATENATE(G196,(H196-1)),$I$2:L195,4,FALSE))*-C196))</f>
        <v/>
      </c>
    </row>
    <row r="197" spans="1:13" ht="15" thickBot="1" x14ac:dyDescent="0.35">
      <c r="A197" s="28" t="str">
        <f>IF('US Transaction'!A197= "","",'US Transaction'!A197)</f>
        <v/>
      </c>
      <c r="B197" s="28" t="str">
        <f>IF('US Transaction'!B197= "","",'US Transaction'!B197)</f>
        <v/>
      </c>
      <c r="C197" s="28" t="str">
        <f>IF('US Transaction'!C197= "","",IF(B197="BUY",'US Transaction'!C197,-'US Transaction'!C197))</f>
        <v/>
      </c>
      <c r="D197" s="28" t="str">
        <f>IF('US Transaction'!D197= "","",IF(B197="BUY",'US Transaction'!D197,-'US Transaction'!D197))</f>
        <v/>
      </c>
      <c r="E197" s="28" t="str">
        <f>IF('US Transaction'!E197= "","",'US Transaction'!E197)</f>
        <v/>
      </c>
      <c r="F197" s="23"/>
      <c r="G197" s="28" t="str">
        <f t="shared" si="20"/>
        <v/>
      </c>
      <c r="H197" s="28" t="str">
        <f>IF(A197="","",COUNTIF($G$2:G197,G197))</f>
        <v/>
      </c>
      <c r="I197" s="28" t="str">
        <f t="shared" si="21"/>
        <v/>
      </c>
      <c r="J197" s="28" t="str">
        <f>IF(G197="","",IF(COUNTIF($G$2:G197,G197)&gt;1,SUMIF($A$2:A197,G197,$C$2:C197),C197))</f>
        <v/>
      </c>
      <c r="K197" s="45" t="str">
        <f>IF(G197="","",IF(COUNTIF($G$2:G197,G197)&gt;1,SUMIF($A$2:A197,G197,$D$2:D197),D197) +SUMIF($G$2:G197,G197,$M$2:M197))</f>
        <v/>
      </c>
      <c r="L197" s="45" t="str">
        <f t="shared" si="22"/>
        <v/>
      </c>
      <c r="M197" s="46" t="str">
        <f>IF(G197="","",IF(B197 = "BUY", 0,(E197-VLOOKUP(CONCATENATE(G197,(H197-1)),$I$2:L196,4,FALSE))*-C197))</f>
        <v/>
      </c>
    </row>
    <row r="198" spans="1:13" ht="15" thickBot="1" x14ac:dyDescent="0.35">
      <c r="A198" s="28" t="str">
        <f>IF('US Transaction'!A198= "","",'US Transaction'!A198)</f>
        <v/>
      </c>
      <c r="B198" s="28" t="str">
        <f>IF('US Transaction'!B198= "","",'US Transaction'!B198)</f>
        <v/>
      </c>
      <c r="C198" s="28" t="str">
        <f>IF('US Transaction'!C198= "","",IF(B198="BUY",'US Transaction'!C198,-'US Transaction'!C198))</f>
        <v/>
      </c>
      <c r="D198" s="28" t="str">
        <f>IF('US Transaction'!D198= "","",IF(B198="BUY",'US Transaction'!D198,-'US Transaction'!D198))</f>
        <v/>
      </c>
      <c r="E198" s="28" t="str">
        <f>IF('US Transaction'!E198= "","",'US Transaction'!E198)</f>
        <v/>
      </c>
      <c r="F198" s="23"/>
      <c r="G198" s="28" t="str">
        <f t="shared" si="20"/>
        <v/>
      </c>
      <c r="H198" s="28" t="str">
        <f>IF(A198="","",COUNTIF($G$2:G198,G198))</f>
        <v/>
      </c>
      <c r="I198" s="28" t="str">
        <f t="shared" si="21"/>
        <v/>
      </c>
      <c r="J198" s="28" t="str">
        <f>IF(G198="","",IF(COUNTIF($G$2:G198,G198)&gt;1,SUMIF($A$2:A198,G198,$C$2:C198),C198))</f>
        <v/>
      </c>
      <c r="K198" s="45" t="str">
        <f>IF(G198="","",IF(COUNTIF($G$2:G198,G198)&gt;1,SUMIF($A$2:A198,G198,$D$2:D198),D198) +SUMIF($G$2:G198,G198,$M$2:M198))</f>
        <v/>
      </c>
      <c r="L198" s="45" t="str">
        <f t="shared" si="22"/>
        <v/>
      </c>
      <c r="M198" s="46" t="str">
        <f>IF(G198="","",IF(B198 = "BUY", 0,(E198-VLOOKUP(CONCATENATE(G198,(H198-1)),$I$2:L197,4,FALSE))*-C198))</f>
        <v/>
      </c>
    </row>
    <row r="199" spans="1:13" ht="15" thickBot="1" x14ac:dyDescent="0.35">
      <c r="A199" s="28" t="str">
        <f>IF('US Transaction'!A199= "","",'US Transaction'!A199)</f>
        <v/>
      </c>
      <c r="B199" s="28" t="str">
        <f>IF('US Transaction'!B199= "","",'US Transaction'!B199)</f>
        <v/>
      </c>
      <c r="C199" s="28" t="str">
        <f>IF('US Transaction'!C199= "","",IF(B199="BUY",'US Transaction'!C199,-'US Transaction'!C199))</f>
        <v/>
      </c>
      <c r="D199" s="28" t="str">
        <f>IF('US Transaction'!D199= "","",IF(B199="BUY",'US Transaction'!D199,-'US Transaction'!D199))</f>
        <v/>
      </c>
      <c r="E199" s="28" t="str">
        <f>IF('US Transaction'!E199= "","",'US Transaction'!E199)</f>
        <v/>
      </c>
      <c r="F199" s="23"/>
      <c r="G199" s="28" t="str">
        <f t="shared" si="20"/>
        <v/>
      </c>
      <c r="H199" s="28" t="str">
        <f>IF(A199="","",COUNTIF($G$2:G199,G199))</f>
        <v/>
      </c>
      <c r="I199" s="28" t="str">
        <f t="shared" si="21"/>
        <v/>
      </c>
      <c r="J199" s="28" t="str">
        <f>IF(G199="","",IF(COUNTIF($G$2:G199,G199)&gt;1,SUMIF($A$2:A199,G199,$C$2:C199),C199))</f>
        <v/>
      </c>
      <c r="K199" s="45" t="str">
        <f>IF(G199="","",IF(COUNTIF($G$2:G199,G199)&gt;1,SUMIF($A$2:A199,G199,$D$2:D199),D199) +SUMIF($G$2:G199,G199,$M$2:M199))</f>
        <v/>
      </c>
      <c r="L199" s="45" t="str">
        <f t="shared" si="22"/>
        <v/>
      </c>
      <c r="M199" s="46" t="str">
        <f>IF(G199="","",IF(B199 = "BUY", 0,(E199-VLOOKUP(CONCATENATE(G199,(H199-1)),$I$2:L198,4,FALSE))*-C199))</f>
        <v/>
      </c>
    </row>
    <row r="200" spans="1:13" ht="15" thickBot="1" x14ac:dyDescent="0.35">
      <c r="A200" s="28" t="str">
        <f>IF('US Transaction'!A200= "","",'US Transaction'!A200)</f>
        <v/>
      </c>
      <c r="B200" s="28" t="str">
        <f>IF('US Transaction'!B200= "","",'US Transaction'!B200)</f>
        <v/>
      </c>
      <c r="C200" s="28" t="str">
        <f>IF('US Transaction'!C200= "","",IF(B200="BUY",'US Transaction'!C200,-'US Transaction'!C200))</f>
        <v/>
      </c>
      <c r="D200" s="28" t="str">
        <f>IF('US Transaction'!D200= "","",IF(B200="BUY",'US Transaction'!D200,-'US Transaction'!D200))</f>
        <v/>
      </c>
      <c r="E200" s="28" t="str">
        <f>IF('US Transaction'!E200= "","",'US Transaction'!E200)</f>
        <v/>
      </c>
      <c r="F200" s="23"/>
      <c r="G200" s="28" t="str">
        <f t="shared" si="20"/>
        <v/>
      </c>
      <c r="H200" s="28" t="str">
        <f>IF(A200="","",COUNTIF($G$2:G200,G200))</f>
        <v/>
      </c>
      <c r="I200" s="28" t="str">
        <f t="shared" si="21"/>
        <v/>
      </c>
      <c r="J200" s="28" t="str">
        <f>IF(G200="","",IF(COUNTIF($G$2:G200,G200)&gt;1,SUMIF($A$2:A200,G200,$C$2:C200),C200))</f>
        <v/>
      </c>
      <c r="K200" s="45" t="str">
        <f>IF(G200="","",IF(COUNTIF($G$2:G200,G200)&gt;1,SUMIF($A$2:A200,G200,$D$2:D200),D200) +SUMIF($G$2:G200,G200,$M$2:M200))</f>
        <v/>
      </c>
      <c r="L200" s="45" t="str">
        <f t="shared" si="22"/>
        <v/>
      </c>
      <c r="M200" s="46" t="str">
        <f>IF(G200="","",IF(B200 = "BUY", 0,(E200-VLOOKUP(CONCATENATE(G200,(H200-1)),$I$2:L199,4,FALSE))*-C200))</f>
        <v/>
      </c>
    </row>
    <row r="201" spans="1:13" ht="15" thickBot="1" x14ac:dyDescent="0.35">
      <c r="A201" s="28" t="str">
        <f>IF('US Transaction'!A201= "","",'US Transaction'!A201)</f>
        <v/>
      </c>
      <c r="B201" s="28" t="str">
        <f>IF('US Transaction'!B201= "","",'US Transaction'!B201)</f>
        <v/>
      </c>
      <c r="C201" s="28" t="str">
        <f>IF('US Transaction'!C201= "","",IF(B201="BUY",'US Transaction'!C201,-'US Transaction'!C201))</f>
        <v/>
      </c>
      <c r="D201" s="28" t="str">
        <f>IF('US Transaction'!D201= "","",IF(B201="BUY",'US Transaction'!D201,-'US Transaction'!D201))</f>
        <v/>
      </c>
      <c r="E201" s="28" t="str">
        <f>IF('US Transaction'!E201= "","",'US Transaction'!E201)</f>
        <v/>
      </c>
      <c r="F201" s="23"/>
      <c r="G201" s="28" t="str">
        <f t="shared" si="20"/>
        <v/>
      </c>
      <c r="H201" s="28" t="str">
        <f>IF(A201="","",COUNTIF($G$2:G201,G201))</f>
        <v/>
      </c>
      <c r="I201" s="28" t="str">
        <f t="shared" si="21"/>
        <v/>
      </c>
      <c r="J201" s="28" t="str">
        <f>IF(G201="","",IF(COUNTIF($G$2:G201,G201)&gt;1,SUMIF($A$2:A201,G201,$C$2:C201),C201))</f>
        <v/>
      </c>
      <c r="K201" s="45" t="str">
        <f>IF(G201="","",IF(COUNTIF($G$2:G201,G201)&gt;1,SUMIF($A$2:A201,G201,$D$2:D201),D201) +SUMIF($G$2:G201,G201,$M$2:M201))</f>
        <v/>
      </c>
      <c r="L201" s="45" t="str">
        <f t="shared" si="22"/>
        <v/>
      </c>
      <c r="M201" s="46" t="str">
        <f>IF(G201="","",IF(B201 = "BUY", 0,(E201-VLOOKUP(CONCATENATE(G201,(H201-1)),$I$2:L200,4,FALSE))*-C201))</f>
        <v/>
      </c>
    </row>
    <row r="202" spans="1:13" ht="15" thickBot="1" x14ac:dyDescent="0.35">
      <c r="A202" s="28" t="str">
        <f>IF('US Transaction'!A202= "","",'US Transaction'!A202)</f>
        <v/>
      </c>
      <c r="B202" s="28" t="str">
        <f>IF('US Transaction'!B202= "","",'US Transaction'!B202)</f>
        <v/>
      </c>
      <c r="C202" s="28" t="str">
        <f>IF('US Transaction'!C202= "","",IF(B202="BUY",'US Transaction'!C202,-'US Transaction'!C202))</f>
        <v/>
      </c>
      <c r="D202" s="28" t="str">
        <f>IF('US Transaction'!D202= "","",IF(B202="BUY",'US Transaction'!D202,-'US Transaction'!D202))</f>
        <v/>
      </c>
      <c r="E202" s="28" t="str">
        <f>IF('US Transaction'!E202= "","",'US Transaction'!E202)</f>
        <v/>
      </c>
      <c r="F202" s="23"/>
      <c r="G202" s="28" t="str">
        <f t="shared" si="20"/>
        <v/>
      </c>
      <c r="H202" s="28" t="str">
        <f>IF(A202="","",COUNTIF($G$2:G202,G202))</f>
        <v/>
      </c>
      <c r="I202" s="28" t="str">
        <f t="shared" si="21"/>
        <v/>
      </c>
      <c r="J202" s="28" t="str">
        <f>IF(G202="","",IF(COUNTIF($G$2:G202,G202)&gt;1,SUMIF($A$2:A202,G202,$C$2:C202),C202))</f>
        <v/>
      </c>
      <c r="K202" s="45" t="str">
        <f>IF(G202="","",IF(COUNTIF($G$2:G202,G202)&gt;1,SUMIF($A$2:A202,G202,$D$2:D202),D202) +SUMIF($G$2:G202,G202,$M$2:M202))</f>
        <v/>
      </c>
      <c r="L202" s="45" t="str">
        <f t="shared" si="22"/>
        <v/>
      </c>
      <c r="M202" s="46" t="str">
        <f>IF(G202="","",IF(B202 = "BUY", 0,(E202-VLOOKUP(CONCATENATE(G202,(H202-1)),$I$2:L201,4,FALSE))*-C202))</f>
        <v/>
      </c>
    </row>
    <row r="203" spans="1:13" ht="15" thickBot="1" x14ac:dyDescent="0.35">
      <c r="A203" s="28" t="str">
        <f>IF('US Transaction'!A203= "","",'US Transaction'!A203)</f>
        <v/>
      </c>
      <c r="B203" s="28" t="str">
        <f>IF('US Transaction'!B203= "","",'US Transaction'!B203)</f>
        <v/>
      </c>
      <c r="C203" s="28" t="str">
        <f>IF('US Transaction'!C203= "","",IF(B203="BUY",'US Transaction'!C203,-'US Transaction'!C203))</f>
        <v/>
      </c>
      <c r="D203" s="28" t="str">
        <f>IF('US Transaction'!D203= "","",IF(B203="BUY",'US Transaction'!D203,-'US Transaction'!D203))</f>
        <v/>
      </c>
      <c r="E203" s="28" t="str">
        <f>IF('US Transaction'!E203= "","",'US Transaction'!E203)</f>
        <v/>
      </c>
      <c r="F203" s="23"/>
      <c r="G203" s="28" t="str">
        <f t="shared" si="20"/>
        <v/>
      </c>
      <c r="H203" s="28" t="str">
        <f>IF(A203="","",COUNTIF($G$2:G203,G203))</f>
        <v/>
      </c>
      <c r="I203" s="28" t="str">
        <f t="shared" si="21"/>
        <v/>
      </c>
      <c r="J203" s="28" t="str">
        <f>IF(G203="","",IF(COUNTIF($G$2:G203,G203)&gt;1,SUMIF($A$2:A203,G203,$C$2:C203),C203))</f>
        <v/>
      </c>
      <c r="K203" s="45" t="str">
        <f>IF(G203="","",IF(COUNTIF($G$2:G203,G203)&gt;1,SUMIF($A$2:A203,G203,$D$2:D203),D203) +SUMIF($G$2:G203,G203,$M$2:M203))</f>
        <v/>
      </c>
      <c r="L203" s="45" t="str">
        <f t="shared" si="22"/>
        <v/>
      </c>
      <c r="M203" s="46" t="str">
        <f>IF(G203="","",IF(B203 = "BUY", 0,(E203-VLOOKUP(CONCATENATE(G203,(H203-1)),$I$2:L202,4,FALSE))*-C203))</f>
        <v/>
      </c>
    </row>
    <row r="204" spans="1:13" ht="15" thickBot="1" x14ac:dyDescent="0.35">
      <c r="A204" s="28" t="str">
        <f>IF('US Transaction'!A204= "","",'US Transaction'!A204)</f>
        <v/>
      </c>
      <c r="B204" s="28" t="str">
        <f>IF('US Transaction'!B204= "","",'US Transaction'!B204)</f>
        <v/>
      </c>
      <c r="C204" s="28" t="str">
        <f>IF('US Transaction'!C204= "","",IF(B204="BUY",'US Transaction'!C204,-'US Transaction'!C204))</f>
        <v/>
      </c>
      <c r="D204" s="28" t="str">
        <f>IF('US Transaction'!D204= "","",IF(B204="BUY",'US Transaction'!D204,-'US Transaction'!D204))</f>
        <v/>
      </c>
      <c r="E204" s="28" t="str">
        <f>IF('US Transaction'!E204= "","",'US Transaction'!E204)</f>
        <v/>
      </c>
      <c r="F204" s="23"/>
      <c r="G204" s="28" t="str">
        <f t="shared" si="20"/>
        <v/>
      </c>
      <c r="H204" s="28" t="str">
        <f>IF(A204="","",COUNTIF($G$2:G204,G204))</f>
        <v/>
      </c>
      <c r="I204" s="28" t="str">
        <f t="shared" si="21"/>
        <v/>
      </c>
      <c r="J204" s="28" t="str">
        <f>IF(G204="","",IF(COUNTIF($G$2:G204,G204)&gt;1,SUMIF($A$2:A204,G204,$C$2:C204),C204))</f>
        <v/>
      </c>
      <c r="K204" s="45" t="str">
        <f>IF(G204="","",IF(COUNTIF($G$2:G204,G204)&gt;1,SUMIF($A$2:A204,G204,$D$2:D204),D204) +SUMIF($G$2:G204,G204,$M$2:M204))</f>
        <v/>
      </c>
      <c r="L204" s="45" t="str">
        <f t="shared" si="22"/>
        <v/>
      </c>
      <c r="M204" s="46" t="str">
        <f>IF(G204="","",IF(B204 = "BUY", 0,(E204-VLOOKUP(CONCATENATE(G204,(H204-1)),$I$2:L203,4,FALSE))*-C204))</f>
        <v/>
      </c>
    </row>
    <row r="205" spans="1:13" ht="15" thickBot="1" x14ac:dyDescent="0.35">
      <c r="A205" s="28" t="str">
        <f>IF('US Transaction'!A205= "","",'US Transaction'!A205)</f>
        <v/>
      </c>
      <c r="B205" s="28" t="str">
        <f>IF('US Transaction'!B205= "","",'US Transaction'!B205)</f>
        <v/>
      </c>
      <c r="C205" s="28" t="str">
        <f>IF('US Transaction'!C205= "","",IF(B205="BUY",'US Transaction'!C205,-'US Transaction'!C205))</f>
        <v/>
      </c>
      <c r="D205" s="28" t="str">
        <f>IF('US Transaction'!D205= "","",IF(B205="BUY",'US Transaction'!D205,-'US Transaction'!D205))</f>
        <v/>
      </c>
      <c r="E205" s="28" t="str">
        <f>IF('US Transaction'!E205= "","",'US Transaction'!E205)</f>
        <v/>
      </c>
      <c r="F205" s="23"/>
      <c r="G205" s="28" t="str">
        <f t="shared" si="20"/>
        <v/>
      </c>
      <c r="H205" s="28" t="str">
        <f>IF(A205="","",COUNTIF($G$2:G205,G205))</f>
        <v/>
      </c>
      <c r="I205" s="28" t="str">
        <f t="shared" si="21"/>
        <v/>
      </c>
      <c r="J205" s="28" t="str">
        <f>IF(G205="","",IF(COUNTIF($G$2:G205,G205)&gt;1,SUMIF($A$2:A205,G205,$C$2:C205),C205))</f>
        <v/>
      </c>
      <c r="K205" s="45" t="str">
        <f>IF(G205="","",IF(COUNTIF($G$2:G205,G205)&gt;1,SUMIF($A$2:A205,G205,$D$2:D205),D205) +SUMIF($G$2:G205,G205,$M$2:M205))</f>
        <v/>
      </c>
      <c r="L205" s="45" t="str">
        <f t="shared" si="22"/>
        <v/>
      </c>
      <c r="M205" s="46" t="str">
        <f>IF(G205="","",IF(B205 = "BUY", 0,(E205-VLOOKUP(CONCATENATE(G205,(H205-1)),$I$2:L204,4,FALSE))*-C205))</f>
        <v/>
      </c>
    </row>
    <row r="206" spans="1:13" ht="15" thickBot="1" x14ac:dyDescent="0.35">
      <c r="A206" s="28" t="str">
        <f>IF('US Transaction'!A206= "","",'US Transaction'!A206)</f>
        <v/>
      </c>
      <c r="B206" s="28" t="str">
        <f>IF('US Transaction'!B206= "","",'US Transaction'!B206)</f>
        <v/>
      </c>
      <c r="C206" s="28" t="str">
        <f>IF('US Transaction'!C206= "","",IF(B206="BUY",'US Transaction'!C206,-'US Transaction'!C206))</f>
        <v/>
      </c>
      <c r="D206" s="28" t="str">
        <f>IF('US Transaction'!D206= "","",IF(B206="BUY",'US Transaction'!D206,-'US Transaction'!D206))</f>
        <v/>
      </c>
      <c r="E206" s="28" t="str">
        <f>IF('US Transaction'!E206= "","",'US Transaction'!E206)</f>
        <v/>
      </c>
      <c r="F206" s="23"/>
      <c r="G206" s="28" t="str">
        <f t="shared" si="20"/>
        <v/>
      </c>
      <c r="H206" s="28" t="str">
        <f>IF(A206="","",COUNTIF($G$2:G206,G206))</f>
        <v/>
      </c>
      <c r="I206" s="28" t="str">
        <f t="shared" si="21"/>
        <v/>
      </c>
      <c r="J206" s="28" t="str">
        <f>IF(G206="","",IF(COUNTIF($G$2:G206,G206)&gt;1,SUMIF($A$2:A206,G206,$C$2:C206),C206))</f>
        <v/>
      </c>
      <c r="K206" s="45" t="str">
        <f>IF(G206="","",IF(COUNTIF($G$2:G206,G206)&gt;1,SUMIF($A$2:A206,G206,$D$2:D206),D206) +SUMIF($G$2:G206,G206,$M$2:M206))</f>
        <v/>
      </c>
      <c r="L206" s="45" t="str">
        <f t="shared" si="22"/>
        <v/>
      </c>
      <c r="M206" s="46" t="str">
        <f>IF(G206="","",IF(B206 = "BUY", 0,(E206-VLOOKUP(CONCATENATE(G206,(H206-1)),$I$2:L205,4,FALSE))*-C206))</f>
        <v/>
      </c>
    </row>
    <row r="207" spans="1:13" ht="15" thickBot="1" x14ac:dyDescent="0.35">
      <c r="A207" s="28" t="str">
        <f>IF('US Transaction'!A207= "","",'US Transaction'!A207)</f>
        <v/>
      </c>
      <c r="B207" s="28" t="str">
        <f>IF('US Transaction'!B207= "","",'US Transaction'!B207)</f>
        <v/>
      </c>
      <c r="C207" s="28" t="str">
        <f>IF('US Transaction'!C207= "","",IF(B207="BUY",'US Transaction'!C207,-'US Transaction'!C207))</f>
        <v/>
      </c>
      <c r="D207" s="28" t="str">
        <f>IF('US Transaction'!D207= "","",IF(B207="BUY",'US Transaction'!D207,-'US Transaction'!D207))</f>
        <v/>
      </c>
      <c r="E207" s="28" t="str">
        <f>IF('US Transaction'!E207= "","",'US Transaction'!E207)</f>
        <v/>
      </c>
      <c r="F207" s="23"/>
      <c r="G207" s="28" t="str">
        <f t="shared" si="20"/>
        <v/>
      </c>
      <c r="H207" s="28" t="str">
        <f>IF(A207="","",COUNTIF($G$2:G207,G207))</f>
        <v/>
      </c>
      <c r="I207" s="28" t="str">
        <f t="shared" si="21"/>
        <v/>
      </c>
      <c r="J207" s="28" t="str">
        <f>IF(G207="","",IF(COUNTIF($G$2:G207,G207)&gt;1,SUMIF($A$2:A207,G207,$C$2:C207),C207))</f>
        <v/>
      </c>
      <c r="K207" s="45" t="str">
        <f>IF(G207="","",IF(COUNTIF($G$2:G207,G207)&gt;1,SUMIF($A$2:A207,G207,$D$2:D207),D207) +SUMIF($G$2:G207,G207,$M$2:M207))</f>
        <v/>
      </c>
      <c r="L207" s="45" t="str">
        <f t="shared" si="22"/>
        <v/>
      </c>
      <c r="M207" s="46" t="str">
        <f>IF(G207="","",IF(B207 = "BUY", 0,(E207-VLOOKUP(CONCATENATE(G207,(H207-1)),$I$2:L206,4,FALSE))*-C207))</f>
        <v/>
      </c>
    </row>
    <row r="208" spans="1:13" ht="15" thickBot="1" x14ac:dyDescent="0.35">
      <c r="A208" s="28" t="str">
        <f>IF('US Transaction'!A208= "","",'US Transaction'!A208)</f>
        <v/>
      </c>
      <c r="B208" s="28" t="str">
        <f>IF('US Transaction'!B208= "","",'US Transaction'!B208)</f>
        <v/>
      </c>
      <c r="C208" s="28" t="str">
        <f>IF('US Transaction'!C208= "","",IF(B208="BUY",'US Transaction'!C208,-'US Transaction'!C208))</f>
        <v/>
      </c>
      <c r="D208" s="28" t="str">
        <f>IF('US Transaction'!D208= "","",IF(B208="BUY",'US Transaction'!D208,-'US Transaction'!D208))</f>
        <v/>
      </c>
      <c r="E208" s="28" t="str">
        <f>IF('US Transaction'!E208= "","",'US Transaction'!E208)</f>
        <v/>
      </c>
      <c r="F208" s="23"/>
      <c r="G208" s="28" t="str">
        <f t="shared" si="20"/>
        <v/>
      </c>
      <c r="H208" s="28" t="str">
        <f>IF(A208="","",COUNTIF($G$2:G208,G208))</f>
        <v/>
      </c>
      <c r="I208" s="28" t="str">
        <f t="shared" si="21"/>
        <v/>
      </c>
      <c r="J208" s="28" t="str">
        <f>IF(G208="","",IF(COUNTIF($G$2:G208,G208)&gt;1,SUMIF($A$2:A208,G208,$C$2:C208),C208))</f>
        <v/>
      </c>
      <c r="K208" s="45" t="str">
        <f>IF(G208="","",IF(COUNTIF($G$2:G208,G208)&gt;1,SUMIF($A$2:A208,G208,$D$2:D208),D208) +SUMIF($G$2:G208,G208,$M$2:M208))</f>
        <v/>
      </c>
      <c r="L208" s="45" t="str">
        <f t="shared" si="22"/>
        <v/>
      </c>
      <c r="M208" s="46" t="str">
        <f>IF(G208="","",IF(B208 = "BUY", 0,(E208-VLOOKUP(CONCATENATE(G208,(H208-1)),$I$2:L207,4,FALSE))*-C208))</f>
        <v/>
      </c>
    </row>
    <row r="209" spans="1:13" ht="15" thickBot="1" x14ac:dyDescent="0.35">
      <c r="A209" s="28" t="str">
        <f>IF('US Transaction'!A209= "","",'US Transaction'!A209)</f>
        <v/>
      </c>
      <c r="B209" s="28" t="str">
        <f>IF('US Transaction'!B209= "","",'US Transaction'!B209)</f>
        <v/>
      </c>
      <c r="C209" s="28" t="str">
        <f>IF('US Transaction'!C209= "","",IF(B209="BUY",'US Transaction'!C209,-'US Transaction'!C209))</f>
        <v/>
      </c>
      <c r="D209" s="28" t="str">
        <f>IF('US Transaction'!D209= "","",IF(B209="BUY",'US Transaction'!D209,-'US Transaction'!D209))</f>
        <v/>
      </c>
      <c r="E209" s="28" t="str">
        <f>IF('US Transaction'!E209= "","",'US Transaction'!E209)</f>
        <v/>
      </c>
      <c r="F209" s="23"/>
      <c r="G209" s="28" t="str">
        <f t="shared" si="20"/>
        <v/>
      </c>
      <c r="H209" s="28" t="str">
        <f>IF(A209="","",COUNTIF($G$2:G209,G209))</f>
        <v/>
      </c>
      <c r="I209" s="28" t="str">
        <f t="shared" si="21"/>
        <v/>
      </c>
      <c r="J209" s="28" t="str">
        <f>IF(G209="","",IF(COUNTIF($G$2:G209,G209)&gt;1,SUMIF($A$2:A209,G209,$C$2:C209),C209))</f>
        <v/>
      </c>
      <c r="K209" s="45" t="str">
        <f>IF(G209="","",IF(COUNTIF($G$2:G209,G209)&gt;1,SUMIF($A$2:A209,G209,$D$2:D209),D209) +SUMIF($G$2:G209,G209,$M$2:M209))</f>
        <v/>
      </c>
      <c r="L209" s="45" t="str">
        <f t="shared" si="22"/>
        <v/>
      </c>
      <c r="M209" s="46" t="str">
        <f>IF(G209="","",IF(B209 = "BUY", 0,(E209-VLOOKUP(CONCATENATE(G209,(H209-1)),$I$2:L208,4,FALSE))*-C209))</f>
        <v/>
      </c>
    </row>
    <row r="210" spans="1:13" ht="15" thickBot="1" x14ac:dyDescent="0.35">
      <c r="A210" s="28" t="str">
        <f>IF('US Transaction'!A210= "","",'US Transaction'!A210)</f>
        <v/>
      </c>
      <c r="B210" s="28" t="str">
        <f>IF('US Transaction'!B210= "","",'US Transaction'!B210)</f>
        <v/>
      </c>
      <c r="C210" s="28" t="str">
        <f>IF('US Transaction'!C210= "","",IF(B210="BUY",'US Transaction'!C210,-'US Transaction'!C210))</f>
        <v/>
      </c>
      <c r="D210" s="28" t="str">
        <f>IF('US Transaction'!D210= "","",IF(B210="BUY",'US Transaction'!D210,-'US Transaction'!D210))</f>
        <v/>
      </c>
      <c r="E210" s="28" t="str">
        <f>IF('US Transaction'!E210= "","",'US Transaction'!E210)</f>
        <v/>
      </c>
      <c r="F210" s="23"/>
      <c r="G210" s="28" t="str">
        <f t="shared" si="20"/>
        <v/>
      </c>
      <c r="H210" s="28" t="str">
        <f>IF(A210="","",COUNTIF($G$2:G210,G210))</f>
        <v/>
      </c>
      <c r="I210" s="28" t="str">
        <f t="shared" si="21"/>
        <v/>
      </c>
      <c r="J210" s="28" t="str">
        <f>IF(G210="","",IF(COUNTIF($G$2:G210,G210)&gt;1,SUMIF($A$2:A210,G210,$C$2:C210),C210))</f>
        <v/>
      </c>
      <c r="K210" s="45" t="str">
        <f>IF(G210="","",IF(COUNTIF($G$2:G210,G210)&gt;1,SUMIF($A$2:A210,G210,$D$2:D210),D210) +SUMIF($G$2:G210,G210,$M$2:M210))</f>
        <v/>
      </c>
      <c r="L210" s="45" t="str">
        <f t="shared" si="22"/>
        <v/>
      </c>
      <c r="M210" s="46" t="str">
        <f>IF(G210="","",IF(B210 = "BUY", 0,(E210-VLOOKUP(CONCATENATE(G210,(H210-1)),$I$2:L209,4,FALSE))*-C210))</f>
        <v/>
      </c>
    </row>
    <row r="211" spans="1:13" ht="15" thickBot="1" x14ac:dyDescent="0.35">
      <c r="A211" s="28" t="str">
        <f>IF('US Transaction'!A211= "","",'US Transaction'!A211)</f>
        <v/>
      </c>
      <c r="B211" s="28" t="str">
        <f>IF('US Transaction'!B211= "","",'US Transaction'!B211)</f>
        <v/>
      </c>
      <c r="C211" s="28" t="str">
        <f>IF('US Transaction'!C211= "","",IF(B211="BUY",'US Transaction'!C211,-'US Transaction'!C211))</f>
        <v/>
      </c>
      <c r="D211" s="28" t="str">
        <f>IF('US Transaction'!D211= "","",IF(B211="BUY",'US Transaction'!D211,-'US Transaction'!D211))</f>
        <v/>
      </c>
      <c r="E211" s="28" t="str">
        <f>IF('US Transaction'!E211= "","",'US Transaction'!E211)</f>
        <v/>
      </c>
      <c r="F211" s="23"/>
      <c r="G211" s="28" t="str">
        <f t="shared" si="20"/>
        <v/>
      </c>
      <c r="H211" s="28" t="str">
        <f>IF(A211="","",COUNTIF($G$2:G211,G211))</f>
        <v/>
      </c>
      <c r="I211" s="28" t="str">
        <f t="shared" si="21"/>
        <v/>
      </c>
      <c r="J211" s="28" t="str">
        <f>IF(G211="","",IF(COUNTIF($G$2:G211,G211)&gt;1,SUMIF($A$2:A211,G211,$C$2:C211),C211))</f>
        <v/>
      </c>
      <c r="K211" s="45" t="str">
        <f>IF(G211="","",IF(COUNTIF($G$2:G211,G211)&gt;1,SUMIF($A$2:A211,G211,$D$2:D211),D211) +SUMIF($G$2:G211,G211,$M$2:M211))</f>
        <v/>
      </c>
      <c r="L211" s="45" t="str">
        <f t="shared" si="22"/>
        <v/>
      </c>
      <c r="M211" s="46" t="str">
        <f>IF(G211="","",IF(B211 = "BUY", 0,(E211-VLOOKUP(CONCATENATE(G211,(H211-1)),$I$2:L210,4,FALSE))*-C211))</f>
        <v/>
      </c>
    </row>
    <row r="212" spans="1:13" ht="15" thickBot="1" x14ac:dyDescent="0.35">
      <c r="A212" s="28" t="str">
        <f>IF('US Transaction'!A212= "","",'US Transaction'!A212)</f>
        <v/>
      </c>
      <c r="B212" s="28" t="str">
        <f>IF('US Transaction'!B212= "","",'US Transaction'!B212)</f>
        <v/>
      </c>
      <c r="C212" s="28" t="str">
        <f>IF('US Transaction'!C212= "","",IF(B212="BUY",'US Transaction'!C212,-'US Transaction'!C212))</f>
        <v/>
      </c>
      <c r="D212" s="28" t="str">
        <f>IF('US Transaction'!D212= "","",IF(B212="BUY",'US Transaction'!D212,-'US Transaction'!D212))</f>
        <v/>
      </c>
      <c r="E212" s="28" t="str">
        <f>IF('US Transaction'!E212= "","",'US Transaction'!E212)</f>
        <v/>
      </c>
      <c r="F212" s="23"/>
      <c r="G212" s="28" t="str">
        <f t="shared" si="20"/>
        <v/>
      </c>
      <c r="H212" s="28" t="str">
        <f>IF(A212="","",COUNTIF($G$2:G212,G212))</f>
        <v/>
      </c>
      <c r="I212" s="28" t="str">
        <f t="shared" si="21"/>
        <v/>
      </c>
      <c r="J212" s="28" t="str">
        <f>IF(G212="","",IF(COUNTIF($G$2:G212,G212)&gt;1,SUMIF($A$2:A212,G212,$C$2:C212),C212))</f>
        <v/>
      </c>
      <c r="K212" s="45" t="str">
        <f>IF(G212="","",IF(COUNTIF($G$2:G212,G212)&gt;1,SUMIF($A$2:A212,G212,$D$2:D212),D212) +SUMIF($G$2:G212,G212,$M$2:M212))</f>
        <v/>
      </c>
      <c r="L212" s="45" t="str">
        <f t="shared" si="22"/>
        <v/>
      </c>
      <c r="M212" s="46" t="str">
        <f>IF(G212="","",IF(B212 = "BUY", 0,(E212-VLOOKUP(CONCATENATE(G212,(H212-1)),$I$2:L211,4,FALSE))*-C212))</f>
        <v/>
      </c>
    </row>
    <row r="213" spans="1:13" ht="15" thickBot="1" x14ac:dyDescent="0.35">
      <c r="A213" s="28" t="str">
        <f>IF('US Transaction'!A213= "","",'US Transaction'!A213)</f>
        <v/>
      </c>
      <c r="B213" s="28" t="str">
        <f>IF('US Transaction'!B213= "","",'US Transaction'!B213)</f>
        <v/>
      </c>
      <c r="C213" s="28" t="str">
        <f>IF('US Transaction'!C213= "","",IF(B213="BUY",'US Transaction'!C213,-'US Transaction'!C213))</f>
        <v/>
      </c>
      <c r="D213" s="28" t="str">
        <f>IF('US Transaction'!D213= "","",IF(B213="BUY",'US Transaction'!D213,-'US Transaction'!D213))</f>
        <v/>
      </c>
      <c r="E213" s="28" t="str">
        <f>IF('US Transaction'!E213= "","",'US Transaction'!E213)</f>
        <v/>
      </c>
      <c r="F213" s="23"/>
      <c r="G213" s="28" t="str">
        <f t="shared" si="20"/>
        <v/>
      </c>
      <c r="H213" s="28" t="str">
        <f>IF(A213="","",COUNTIF($G$2:G213,G213))</f>
        <v/>
      </c>
      <c r="I213" s="28" t="str">
        <f t="shared" si="21"/>
        <v/>
      </c>
      <c r="J213" s="28" t="str">
        <f>IF(G213="","",IF(COUNTIF($G$2:G213,G213)&gt;1,SUMIF($A$2:A213,G213,$C$2:C213),C213))</f>
        <v/>
      </c>
      <c r="K213" s="45" t="str">
        <f>IF(G213="","",IF(COUNTIF($G$2:G213,G213)&gt;1,SUMIF($A$2:A213,G213,$D$2:D213),D213) +SUMIF($G$2:G213,G213,$M$2:M213))</f>
        <v/>
      </c>
      <c r="L213" s="45" t="str">
        <f t="shared" si="22"/>
        <v/>
      </c>
      <c r="M213" s="46" t="str">
        <f>IF(G213="","",IF(B213 = "BUY", 0,(E213-VLOOKUP(CONCATENATE(G213,(H213-1)),$I$2:L212,4,FALSE))*-C213))</f>
        <v/>
      </c>
    </row>
    <row r="214" spans="1:13" ht="15" thickBot="1" x14ac:dyDescent="0.35">
      <c r="A214" s="28" t="str">
        <f>IF('US Transaction'!A214= "","",'US Transaction'!A214)</f>
        <v/>
      </c>
      <c r="B214" s="28" t="str">
        <f>IF('US Transaction'!B214= "","",'US Transaction'!B214)</f>
        <v/>
      </c>
      <c r="C214" s="28" t="str">
        <f>IF('US Transaction'!C214= "","",IF(B214="BUY",'US Transaction'!C214,-'US Transaction'!C214))</f>
        <v/>
      </c>
      <c r="D214" s="28" t="str">
        <f>IF('US Transaction'!D214= "","",IF(B214="BUY",'US Transaction'!D214,-'US Transaction'!D214))</f>
        <v/>
      </c>
      <c r="E214" s="28" t="str">
        <f>IF('US Transaction'!E214= "","",'US Transaction'!E214)</f>
        <v/>
      </c>
      <c r="F214" s="23"/>
      <c r="G214" s="28" t="str">
        <f t="shared" si="20"/>
        <v/>
      </c>
      <c r="H214" s="28" t="str">
        <f>IF(A214="","",COUNTIF($G$2:G214,G214))</f>
        <v/>
      </c>
      <c r="I214" s="28" t="str">
        <f t="shared" si="21"/>
        <v/>
      </c>
      <c r="J214" s="28" t="str">
        <f>IF(G214="","",IF(COUNTIF($G$2:G214,G214)&gt;1,SUMIF($A$2:A214,G214,$C$2:C214),C214))</f>
        <v/>
      </c>
      <c r="K214" s="45" t="str">
        <f>IF(G214="","",IF(COUNTIF($G$2:G214,G214)&gt;1,SUMIF($A$2:A214,G214,$D$2:D214),D214) +SUMIF($G$2:G214,G214,$M$2:M214))</f>
        <v/>
      </c>
      <c r="L214" s="45" t="str">
        <f t="shared" si="22"/>
        <v/>
      </c>
      <c r="M214" s="46" t="str">
        <f>IF(G214="","",IF(B214 = "BUY", 0,(E214-VLOOKUP(CONCATENATE(G214,(H214-1)),$I$2:L213,4,FALSE))*-C214))</f>
        <v/>
      </c>
    </row>
    <row r="215" spans="1:13" ht="15" thickBot="1" x14ac:dyDescent="0.35">
      <c r="A215" s="28" t="str">
        <f>IF('US Transaction'!A215= "","",'US Transaction'!A215)</f>
        <v/>
      </c>
      <c r="B215" s="28" t="str">
        <f>IF('US Transaction'!B215= "","",'US Transaction'!B215)</f>
        <v/>
      </c>
      <c r="C215" s="28" t="str">
        <f>IF('US Transaction'!C215= "","",IF(B215="BUY",'US Transaction'!C215,-'US Transaction'!C215))</f>
        <v/>
      </c>
      <c r="D215" s="28" t="str">
        <f>IF('US Transaction'!D215= "","",IF(B215="BUY",'US Transaction'!D215,-'US Transaction'!D215))</f>
        <v/>
      </c>
      <c r="E215" s="28" t="str">
        <f>IF('US Transaction'!E215= "","",'US Transaction'!E215)</f>
        <v/>
      </c>
      <c r="F215" s="23"/>
      <c r="G215" s="28" t="str">
        <f t="shared" si="20"/>
        <v/>
      </c>
      <c r="H215" s="28" t="str">
        <f>IF(A215="","",COUNTIF($G$2:G215,G215))</f>
        <v/>
      </c>
      <c r="I215" s="28" t="str">
        <f t="shared" si="21"/>
        <v/>
      </c>
      <c r="J215" s="28" t="str">
        <f>IF(G215="","",IF(COUNTIF($G$2:G215,G215)&gt;1,SUMIF($A$2:A215,G215,$C$2:C215),C215))</f>
        <v/>
      </c>
      <c r="K215" s="45" t="str">
        <f>IF(G215="","",IF(COUNTIF($G$2:G215,G215)&gt;1,SUMIF($A$2:A215,G215,$D$2:D215),D215) +SUMIF($G$2:G215,G215,$M$2:M215))</f>
        <v/>
      </c>
      <c r="L215" s="45" t="str">
        <f t="shared" si="22"/>
        <v/>
      </c>
      <c r="M215" s="46" t="str">
        <f>IF(G215="","",IF(B215 = "BUY", 0,(E215-VLOOKUP(CONCATENATE(G215,(H215-1)),$I$2:L214,4,FALSE))*-C215))</f>
        <v/>
      </c>
    </row>
    <row r="216" spans="1:13" ht="15" thickBot="1" x14ac:dyDescent="0.35">
      <c r="A216" s="28" t="str">
        <f>IF('US Transaction'!A216= "","",'US Transaction'!A216)</f>
        <v/>
      </c>
      <c r="B216" s="28" t="str">
        <f>IF('US Transaction'!B216= "","",'US Transaction'!B216)</f>
        <v/>
      </c>
      <c r="C216" s="28" t="str">
        <f>IF('US Transaction'!C216= "","",IF(B216="BUY",'US Transaction'!C216,-'US Transaction'!C216))</f>
        <v/>
      </c>
      <c r="D216" s="28" t="str">
        <f>IF('US Transaction'!D216= "","",IF(B216="BUY",'US Transaction'!D216,-'US Transaction'!D216))</f>
        <v/>
      </c>
      <c r="E216" s="28" t="str">
        <f>IF('US Transaction'!E216= "","",'US Transaction'!E216)</f>
        <v/>
      </c>
      <c r="F216" s="23"/>
      <c r="G216" s="28" t="str">
        <f t="shared" si="20"/>
        <v/>
      </c>
      <c r="H216" s="28" t="str">
        <f>IF(A216="","",COUNTIF($G$2:G216,G216))</f>
        <v/>
      </c>
      <c r="I216" s="28" t="str">
        <f t="shared" si="21"/>
        <v/>
      </c>
      <c r="J216" s="28" t="str">
        <f>IF(G216="","",IF(COUNTIF($G$2:G216,G216)&gt;1,SUMIF($A$2:A216,G216,$C$2:C216),C216))</f>
        <v/>
      </c>
      <c r="K216" s="45" t="str">
        <f>IF(G216="","",IF(COUNTIF($G$2:G216,G216)&gt;1,SUMIF($A$2:A216,G216,$D$2:D216),D216) +SUMIF($G$2:G216,G216,$M$2:M216))</f>
        <v/>
      </c>
      <c r="L216" s="45" t="str">
        <f t="shared" si="22"/>
        <v/>
      </c>
      <c r="M216" s="46" t="str">
        <f>IF(G216="","",IF(B216 = "BUY", 0,(E216-VLOOKUP(CONCATENATE(G216,(H216-1)),$I$2:L215,4,FALSE))*-C216))</f>
        <v/>
      </c>
    </row>
    <row r="217" spans="1:13" ht="15" thickBot="1" x14ac:dyDescent="0.35">
      <c r="A217" s="28" t="str">
        <f>IF('US Transaction'!A217= "","",'US Transaction'!A217)</f>
        <v/>
      </c>
      <c r="B217" s="28" t="str">
        <f>IF('US Transaction'!B217= "","",'US Transaction'!B217)</f>
        <v/>
      </c>
      <c r="C217" s="28" t="str">
        <f>IF('US Transaction'!C217= "","",IF(B217="BUY",'US Transaction'!C217,-'US Transaction'!C217))</f>
        <v/>
      </c>
      <c r="D217" s="28" t="str">
        <f>IF('US Transaction'!D217= "","",IF(B217="BUY",'US Transaction'!D217,-'US Transaction'!D217))</f>
        <v/>
      </c>
      <c r="E217" s="28" t="str">
        <f>IF('US Transaction'!E217= "","",'US Transaction'!E217)</f>
        <v/>
      </c>
      <c r="F217" s="23"/>
      <c r="G217" s="28" t="str">
        <f t="shared" si="20"/>
        <v/>
      </c>
      <c r="H217" s="28" t="str">
        <f>IF(A217="","",COUNTIF($G$2:G217,G217))</f>
        <v/>
      </c>
      <c r="I217" s="28" t="str">
        <f t="shared" si="21"/>
        <v/>
      </c>
      <c r="J217" s="28" t="str">
        <f>IF(G217="","",IF(COUNTIF($G$2:G217,G217)&gt;1,SUMIF($A$2:A217,G217,$C$2:C217),C217))</f>
        <v/>
      </c>
      <c r="K217" s="45" t="str">
        <f>IF(G217="","",IF(COUNTIF($G$2:G217,G217)&gt;1,SUMIF($A$2:A217,G217,$D$2:D217),D217) +SUMIF($G$2:G217,G217,$M$2:M217))</f>
        <v/>
      </c>
      <c r="L217" s="45" t="str">
        <f t="shared" si="22"/>
        <v/>
      </c>
      <c r="M217" s="46" t="str">
        <f>IF(G217="","",IF(B217 = "BUY", 0,(E217-VLOOKUP(CONCATENATE(G217,(H217-1)),$I$2:L216,4,FALSE))*-C217))</f>
        <v/>
      </c>
    </row>
    <row r="218" spans="1:13" ht="15" thickBot="1" x14ac:dyDescent="0.35">
      <c r="A218" s="28" t="str">
        <f>IF('US Transaction'!A218= "","",'US Transaction'!A218)</f>
        <v/>
      </c>
      <c r="B218" s="28" t="str">
        <f>IF('US Transaction'!B218= "","",'US Transaction'!B218)</f>
        <v/>
      </c>
      <c r="C218" s="28" t="str">
        <f>IF('US Transaction'!C218= "","",IF(B218="BUY",'US Transaction'!C218,-'US Transaction'!C218))</f>
        <v/>
      </c>
      <c r="D218" s="28" t="str">
        <f>IF('US Transaction'!D218= "","",IF(B218="BUY",'US Transaction'!D218,-'US Transaction'!D218))</f>
        <v/>
      </c>
      <c r="E218" s="28" t="str">
        <f>IF('US Transaction'!E218= "","",'US Transaction'!E218)</f>
        <v/>
      </c>
      <c r="F218" s="23"/>
      <c r="G218" s="28" t="str">
        <f t="shared" si="20"/>
        <v/>
      </c>
      <c r="H218" s="28" t="str">
        <f>IF(A218="","",COUNTIF($G$2:G218,G218))</f>
        <v/>
      </c>
      <c r="I218" s="28" t="str">
        <f t="shared" si="21"/>
        <v/>
      </c>
      <c r="J218" s="28" t="str">
        <f>IF(G218="","",IF(COUNTIF($G$2:G218,G218)&gt;1,SUMIF($A$2:A218,G218,$C$2:C218),C218))</f>
        <v/>
      </c>
      <c r="K218" s="45" t="str">
        <f>IF(G218="","",IF(COUNTIF($G$2:G218,G218)&gt;1,SUMIF($A$2:A218,G218,$D$2:D218),D218) +SUMIF($G$2:G218,G218,$M$2:M218))</f>
        <v/>
      </c>
      <c r="L218" s="45" t="str">
        <f t="shared" si="22"/>
        <v/>
      </c>
      <c r="M218" s="46" t="str">
        <f>IF(G218="","",IF(B218 = "BUY", 0,(E218-VLOOKUP(CONCATENATE(G218,(H218-1)),$I$2:L217,4,FALSE))*-C218))</f>
        <v/>
      </c>
    </row>
    <row r="219" spans="1:13" ht="15" thickBot="1" x14ac:dyDescent="0.35">
      <c r="A219" s="28" t="str">
        <f>IF('US Transaction'!A219= "","",'US Transaction'!A219)</f>
        <v/>
      </c>
      <c r="B219" s="28" t="str">
        <f>IF('US Transaction'!B219= "","",'US Transaction'!B219)</f>
        <v/>
      </c>
      <c r="C219" s="28" t="str">
        <f>IF('US Transaction'!C219= "","",IF(B219="BUY",'US Transaction'!C219,-'US Transaction'!C219))</f>
        <v/>
      </c>
      <c r="D219" s="28" t="str">
        <f>IF('US Transaction'!D219= "","",IF(B219="BUY",'US Transaction'!D219,-'US Transaction'!D219))</f>
        <v/>
      </c>
      <c r="E219" s="28" t="str">
        <f>IF('US Transaction'!E219= "","",'US Transaction'!E219)</f>
        <v/>
      </c>
      <c r="F219" s="23"/>
      <c r="G219" s="28" t="str">
        <f t="shared" si="20"/>
        <v/>
      </c>
      <c r="H219" s="28" t="str">
        <f>IF(A219="","",COUNTIF($G$2:G219,G219))</f>
        <v/>
      </c>
      <c r="I219" s="28" t="str">
        <f t="shared" si="21"/>
        <v/>
      </c>
      <c r="J219" s="28" t="str">
        <f>IF(G219="","",IF(COUNTIF($G$2:G219,G219)&gt;1,SUMIF($A$2:A219,G219,$C$2:C219),C219))</f>
        <v/>
      </c>
      <c r="K219" s="45" t="str">
        <f>IF(G219="","",IF(COUNTIF($G$2:G219,G219)&gt;1,SUMIF($A$2:A219,G219,$D$2:D219),D219) +SUMIF($G$2:G219,G219,$M$2:M219))</f>
        <v/>
      </c>
      <c r="L219" s="45" t="str">
        <f t="shared" si="22"/>
        <v/>
      </c>
      <c r="M219" s="46" t="str">
        <f>IF(G219="","",IF(B219 = "BUY", 0,(E219-VLOOKUP(CONCATENATE(G219,(H219-1)),$I$2:L218,4,FALSE))*-C219))</f>
        <v/>
      </c>
    </row>
    <row r="220" spans="1:13" ht="15" thickBot="1" x14ac:dyDescent="0.35">
      <c r="A220" s="28" t="str">
        <f>IF('US Transaction'!A220= "","",'US Transaction'!A220)</f>
        <v/>
      </c>
      <c r="B220" s="28" t="str">
        <f>IF('US Transaction'!B220= "","",'US Transaction'!B220)</f>
        <v/>
      </c>
      <c r="C220" s="28" t="str">
        <f>IF('US Transaction'!C220= "","",IF(B220="BUY",'US Transaction'!C220,-'US Transaction'!C220))</f>
        <v/>
      </c>
      <c r="D220" s="28" t="str">
        <f>IF('US Transaction'!D220= "","",IF(B220="BUY",'US Transaction'!D220,-'US Transaction'!D220))</f>
        <v/>
      </c>
      <c r="E220" s="28" t="str">
        <f>IF('US Transaction'!E220= "","",'US Transaction'!E220)</f>
        <v/>
      </c>
      <c r="F220" s="23"/>
      <c r="G220" s="28" t="str">
        <f t="shared" si="20"/>
        <v/>
      </c>
      <c r="H220" s="28" t="str">
        <f>IF(A220="","",COUNTIF($G$2:G220,G220))</f>
        <v/>
      </c>
      <c r="I220" s="28" t="str">
        <f t="shared" si="21"/>
        <v/>
      </c>
      <c r="J220" s="28" t="str">
        <f>IF(G220="","",IF(COUNTIF($G$2:G220,G220)&gt;1,SUMIF($A$2:A220,G220,$C$2:C220),C220))</f>
        <v/>
      </c>
      <c r="K220" s="45" t="str">
        <f>IF(G220="","",IF(COUNTIF($G$2:G220,G220)&gt;1,SUMIF($A$2:A220,G220,$D$2:D220),D220) +SUMIF($G$2:G220,G220,$M$2:M220))</f>
        <v/>
      </c>
      <c r="L220" s="45" t="str">
        <f t="shared" si="22"/>
        <v/>
      </c>
      <c r="M220" s="46" t="str">
        <f>IF(G220="","",IF(B220 = "BUY", 0,(E220-VLOOKUP(CONCATENATE(G220,(H220-1)),$I$2:L219,4,FALSE))*-C220))</f>
        <v/>
      </c>
    </row>
    <row r="221" spans="1:13" ht="15" thickBot="1" x14ac:dyDescent="0.35">
      <c r="A221" s="28" t="str">
        <f>IF('US Transaction'!A221= "","",'US Transaction'!A221)</f>
        <v/>
      </c>
      <c r="B221" s="28" t="str">
        <f>IF('US Transaction'!B221= "","",'US Transaction'!B221)</f>
        <v/>
      </c>
      <c r="C221" s="28" t="str">
        <f>IF('US Transaction'!C221= "","",IF(B221="BUY",'US Transaction'!C221,-'US Transaction'!C221))</f>
        <v/>
      </c>
      <c r="D221" s="28" t="str">
        <f>IF('US Transaction'!D221= "","",IF(B221="BUY",'US Transaction'!D221,-'US Transaction'!D221))</f>
        <v/>
      </c>
      <c r="E221" s="28" t="str">
        <f>IF('US Transaction'!E221= "","",'US Transaction'!E221)</f>
        <v/>
      </c>
      <c r="F221" s="23"/>
      <c r="G221" s="28" t="str">
        <f t="shared" si="20"/>
        <v/>
      </c>
      <c r="H221" s="28" t="str">
        <f>IF(A221="","",COUNTIF($G$2:G221,G221))</f>
        <v/>
      </c>
      <c r="I221" s="28" t="str">
        <f t="shared" si="21"/>
        <v/>
      </c>
      <c r="J221" s="28" t="str">
        <f>IF(G221="","",IF(COUNTIF($G$2:G221,G221)&gt;1,SUMIF($A$2:A221,G221,$C$2:C221),C221))</f>
        <v/>
      </c>
      <c r="K221" s="45" t="str">
        <f>IF(G221="","",IF(COUNTIF($G$2:G221,G221)&gt;1,SUMIF($A$2:A221,G221,$D$2:D221),D221) +SUMIF($G$2:G221,G221,$M$2:M221))</f>
        <v/>
      </c>
      <c r="L221" s="45" t="str">
        <f t="shared" si="22"/>
        <v/>
      </c>
      <c r="M221" s="46" t="str">
        <f>IF(G221="","",IF(B221 = "BUY", 0,(E221-VLOOKUP(CONCATENATE(G221,(H221-1)),$I$2:L220,4,FALSE))*-C221))</f>
        <v/>
      </c>
    </row>
    <row r="222" spans="1:13" ht="15" thickBot="1" x14ac:dyDescent="0.35">
      <c r="A222" s="28" t="str">
        <f>IF('US Transaction'!A222= "","",'US Transaction'!A222)</f>
        <v/>
      </c>
      <c r="B222" s="28" t="str">
        <f>IF('US Transaction'!B222= "","",'US Transaction'!B222)</f>
        <v/>
      </c>
      <c r="C222" s="28" t="str">
        <f>IF('US Transaction'!C222= "","",IF(B222="BUY",'US Transaction'!C222,-'US Transaction'!C222))</f>
        <v/>
      </c>
      <c r="D222" s="28" t="str">
        <f>IF('US Transaction'!D222= "","",IF(B222="BUY",'US Transaction'!D222,-'US Transaction'!D222))</f>
        <v/>
      </c>
      <c r="E222" s="28" t="str">
        <f>IF('US Transaction'!E222= "","",'US Transaction'!E222)</f>
        <v/>
      </c>
      <c r="F222" s="23"/>
      <c r="G222" s="28" t="str">
        <f t="shared" si="20"/>
        <v/>
      </c>
      <c r="H222" s="28" t="str">
        <f>IF(A222="","",COUNTIF($G$2:G222,G222))</f>
        <v/>
      </c>
      <c r="I222" s="28" t="str">
        <f t="shared" si="21"/>
        <v/>
      </c>
      <c r="J222" s="28" t="str">
        <f>IF(G222="","",IF(COUNTIF($G$2:G222,G222)&gt;1,SUMIF($A$2:A222,G222,$C$2:C222),C222))</f>
        <v/>
      </c>
      <c r="K222" s="45" t="str">
        <f>IF(G222="","",IF(COUNTIF($G$2:G222,G222)&gt;1,SUMIF($A$2:A222,G222,$D$2:D222),D222) +SUMIF($G$2:G222,G222,$M$2:M222))</f>
        <v/>
      </c>
      <c r="L222" s="45" t="str">
        <f t="shared" si="22"/>
        <v/>
      </c>
      <c r="M222" s="46" t="str">
        <f>IF(G222="","",IF(B222 = "BUY", 0,(E222-VLOOKUP(CONCATENATE(G222,(H222-1)),$I$2:L221,4,FALSE))*-C222))</f>
        <v/>
      </c>
    </row>
    <row r="223" spans="1:13" ht="15" thickBot="1" x14ac:dyDescent="0.35">
      <c r="A223" s="28" t="str">
        <f>IF('US Transaction'!A223= "","",'US Transaction'!A223)</f>
        <v/>
      </c>
      <c r="B223" s="28" t="str">
        <f>IF('US Transaction'!B223= "","",'US Transaction'!B223)</f>
        <v/>
      </c>
      <c r="C223" s="28" t="str">
        <f>IF('US Transaction'!C223= "","",IF(B223="BUY",'US Transaction'!C223,-'US Transaction'!C223))</f>
        <v/>
      </c>
      <c r="D223" s="28" t="str">
        <f>IF('US Transaction'!D223= "","",IF(B223="BUY",'US Transaction'!D223,-'US Transaction'!D223))</f>
        <v/>
      </c>
      <c r="E223" s="28" t="str">
        <f>IF('US Transaction'!E223= "","",'US Transaction'!E223)</f>
        <v/>
      </c>
      <c r="F223" s="23"/>
      <c r="G223" s="28" t="str">
        <f t="shared" si="20"/>
        <v/>
      </c>
      <c r="H223" s="28" t="str">
        <f>IF(A223="","",COUNTIF($G$2:G223,G223))</f>
        <v/>
      </c>
      <c r="I223" s="28" t="str">
        <f t="shared" si="21"/>
        <v/>
      </c>
      <c r="J223" s="28" t="str">
        <f>IF(G223="","",IF(COUNTIF($G$2:G223,G223)&gt;1,SUMIF($A$2:A223,G223,$C$2:C223),C223))</f>
        <v/>
      </c>
      <c r="K223" s="45" t="str">
        <f>IF(G223="","",IF(COUNTIF($G$2:G223,G223)&gt;1,SUMIF($A$2:A223,G223,$D$2:D223),D223) +SUMIF($G$2:G223,G223,$M$2:M223))</f>
        <v/>
      </c>
      <c r="L223" s="45" t="str">
        <f t="shared" si="22"/>
        <v/>
      </c>
      <c r="M223" s="46" t="str">
        <f>IF(G223="","",IF(B223 = "BUY", 0,(E223-VLOOKUP(CONCATENATE(G223,(H223-1)),$I$2:L222,4,FALSE))*-C223))</f>
        <v/>
      </c>
    </row>
    <row r="224" spans="1:13" ht="15" thickBot="1" x14ac:dyDescent="0.35">
      <c r="A224" s="28" t="str">
        <f>IF('US Transaction'!A224= "","",'US Transaction'!A224)</f>
        <v/>
      </c>
      <c r="B224" s="28" t="str">
        <f>IF('US Transaction'!B224= "","",'US Transaction'!B224)</f>
        <v/>
      </c>
      <c r="C224" s="28" t="str">
        <f>IF('US Transaction'!C224= "","",IF(B224="BUY",'US Transaction'!C224,-'US Transaction'!C224))</f>
        <v/>
      </c>
      <c r="D224" s="28" t="str">
        <f>IF('US Transaction'!D224= "","",IF(B224="BUY",'US Transaction'!D224,-'US Transaction'!D224))</f>
        <v/>
      </c>
      <c r="E224" s="28" t="str">
        <f>IF('US Transaction'!E224= "","",'US Transaction'!E224)</f>
        <v/>
      </c>
      <c r="F224" s="23"/>
      <c r="G224" s="28" t="str">
        <f t="shared" si="20"/>
        <v/>
      </c>
      <c r="H224" s="28" t="str">
        <f>IF(A224="","",COUNTIF($G$2:G224,G224))</f>
        <v/>
      </c>
      <c r="I224" s="28" t="str">
        <f t="shared" si="21"/>
        <v/>
      </c>
      <c r="J224" s="28" t="str">
        <f>IF(G224="","",IF(COUNTIF($G$2:G224,G224)&gt;1,SUMIF($A$2:A224,G224,$C$2:C224),C224))</f>
        <v/>
      </c>
      <c r="K224" s="45" t="str">
        <f>IF(G224="","",IF(COUNTIF($G$2:G224,G224)&gt;1,SUMIF($A$2:A224,G224,$D$2:D224),D224) +SUMIF($G$2:G224,G224,$M$2:M224))</f>
        <v/>
      </c>
      <c r="L224" s="45" t="str">
        <f t="shared" si="22"/>
        <v/>
      </c>
      <c r="M224" s="46" t="str">
        <f>IF(G224="","",IF(B224 = "BUY", 0,(E224-VLOOKUP(CONCATENATE(G224,(H224-1)),$I$2:L223,4,FALSE))*-C224))</f>
        <v/>
      </c>
    </row>
    <row r="225" spans="1:13" ht="15" thickBot="1" x14ac:dyDescent="0.35">
      <c r="A225" s="28" t="str">
        <f>IF('US Transaction'!A225= "","",'US Transaction'!A225)</f>
        <v/>
      </c>
      <c r="B225" s="28" t="str">
        <f>IF('US Transaction'!B225= "","",'US Transaction'!B225)</f>
        <v/>
      </c>
      <c r="C225" s="28" t="str">
        <f>IF('US Transaction'!C225= "","",IF(B225="BUY",'US Transaction'!C225,-'US Transaction'!C225))</f>
        <v/>
      </c>
      <c r="D225" s="28" t="str">
        <f>IF('US Transaction'!D225= "","",IF(B225="BUY",'US Transaction'!D225,-'US Transaction'!D225))</f>
        <v/>
      </c>
      <c r="E225" s="28" t="str">
        <f>IF('US Transaction'!E225= "","",'US Transaction'!E225)</f>
        <v/>
      </c>
      <c r="F225" s="23"/>
      <c r="G225" s="28" t="str">
        <f t="shared" si="20"/>
        <v/>
      </c>
      <c r="H225" s="28" t="str">
        <f>IF(A225="","",COUNTIF($G$2:G225,G225))</f>
        <v/>
      </c>
      <c r="I225" s="28" t="str">
        <f t="shared" si="21"/>
        <v/>
      </c>
      <c r="J225" s="28" t="str">
        <f>IF(G225="","",IF(COUNTIF($G$2:G225,G225)&gt;1,SUMIF($A$2:A225,G225,$C$2:C225),C225))</f>
        <v/>
      </c>
      <c r="K225" s="45" t="str">
        <f>IF(G225="","",IF(COUNTIF($G$2:G225,G225)&gt;1,SUMIF($A$2:A225,G225,$D$2:D225),D225) +SUMIF($G$2:G225,G225,$M$2:M225))</f>
        <v/>
      </c>
      <c r="L225" s="45" t="str">
        <f t="shared" si="22"/>
        <v/>
      </c>
      <c r="M225" s="46" t="str">
        <f>IF(G225="","",IF(B225 = "BUY", 0,(E225-VLOOKUP(CONCATENATE(G225,(H225-1)),$I$2:L224,4,FALSE))*-C225))</f>
        <v/>
      </c>
    </row>
    <row r="226" spans="1:13" ht="15" thickBot="1" x14ac:dyDescent="0.35">
      <c r="A226" s="28" t="str">
        <f>IF('US Transaction'!A226= "","",'US Transaction'!A226)</f>
        <v/>
      </c>
      <c r="B226" s="28" t="str">
        <f>IF('US Transaction'!B226= "","",'US Transaction'!B226)</f>
        <v/>
      </c>
      <c r="C226" s="28" t="str">
        <f>IF('US Transaction'!C226= "","",IF(B226="BUY",'US Transaction'!C226,-'US Transaction'!C226))</f>
        <v/>
      </c>
      <c r="D226" s="28" t="str">
        <f>IF('US Transaction'!D226= "","",IF(B226="BUY",'US Transaction'!D226,-'US Transaction'!D226))</f>
        <v/>
      </c>
      <c r="E226" s="28" t="str">
        <f>IF('US Transaction'!E226= "","",'US Transaction'!E226)</f>
        <v/>
      </c>
      <c r="F226" s="23"/>
      <c r="G226" s="28" t="str">
        <f t="shared" si="20"/>
        <v/>
      </c>
      <c r="H226" s="28" t="str">
        <f>IF(A226="","",COUNTIF($G$2:G226,G226))</f>
        <v/>
      </c>
      <c r="I226" s="28" t="str">
        <f t="shared" si="21"/>
        <v/>
      </c>
      <c r="J226" s="28" t="str">
        <f>IF(G226="","",IF(COUNTIF($G$2:G226,G226)&gt;1,SUMIF($A$2:A226,G226,$C$2:C226),C226))</f>
        <v/>
      </c>
      <c r="K226" s="45" t="str">
        <f>IF(G226="","",IF(COUNTIF($G$2:G226,G226)&gt;1,SUMIF($A$2:A226,G226,$D$2:D226),D226) +SUMIF($G$2:G226,G226,$M$2:M226))</f>
        <v/>
      </c>
      <c r="L226" s="45" t="str">
        <f t="shared" si="22"/>
        <v/>
      </c>
      <c r="M226" s="46" t="str">
        <f>IF(G226="","",IF(B226 = "BUY", 0,(E226-VLOOKUP(CONCATENATE(G226,(H226-1)),$I$2:L225,4,FALSE))*-C226))</f>
        <v/>
      </c>
    </row>
    <row r="227" spans="1:13" ht="15" thickBot="1" x14ac:dyDescent="0.35">
      <c r="A227" s="28" t="str">
        <f>IF('US Transaction'!A227= "","",'US Transaction'!A227)</f>
        <v/>
      </c>
      <c r="B227" s="28" t="str">
        <f>IF('US Transaction'!B227= "","",'US Transaction'!B227)</f>
        <v/>
      </c>
      <c r="C227" s="28" t="str">
        <f>IF('US Transaction'!C227= "","",IF(B227="BUY",'US Transaction'!C227,-'US Transaction'!C227))</f>
        <v/>
      </c>
      <c r="D227" s="28" t="str">
        <f>IF('US Transaction'!D227= "","",IF(B227="BUY",'US Transaction'!D227,-'US Transaction'!D227))</f>
        <v/>
      </c>
      <c r="E227" s="28" t="str">
        <f>IF('US Transaction'!E227= "","",'US Transaction'!E227)</f>
        <v/>
      </c>
      <c r="F227" s="23"/>
      <c r="G227" s="28" t="str">
        <f t="shared" si="20"/>
        <v/>
      </c>
      <c r="H227" s="28" t="str">
        <f>IF(A227="","",COUNTIF($G$2:G227,G227))</f>
        <v/>
      </c>
      <c r="I227" s="28" t="str">
        <f t="shared" si="21"/>
        <v/>
      </c>
      <c r="J227" s="28" t="str">
        <f>IF(G227="","",IF(COUNTIF($G$2:G227,G227)&gt;1,SUMIF($A$2:A227,G227,$C$2:C227),C227))</f>
        <v/>
      </c>
      <c r="K227" s="45" t="str">
        <f>IF(G227="","",IF(COUNTIF($G$2:G227,G227)&gt;1,SUMIF($A$2:A227,G227,$D$2:D227),D227) +SUMIF($G$2:G227,G227,$M$2:M227))</f>
        <v/>
      </c>
      <c r="L227" s="45" t="str">
        <f t="shared" si="22"/>
        <v/>
      </c>
      <c r="M227" s="46" t="str">
        <f>IF(G227="","",IF(B227 = "BUY", 0,(E227-VLOOKUP(CONCATENATE(G227,(H227-1)),$I$2:L226,4,FALSE))*-C227))</f>
        <v/>
      </c>
    </row>
    <row r="228" spans="1:13" ht="15" thickBot="1" x14ac:dyDescent="0.35">
      <c r="A228" s="28" t="str">
        <f>IF('US Transaction'!A228= "","",'US Transaction'!A228)</f>
        <v/>
      </c>
      <c r="B228" s="28" t="str">
        <f>IF('US Transaction'!B228= "","",'US Transaction'!B228)</f>
        <v/>
      </c>
      <c r="C228" s="28" t="str">
        <f>IF('US Transaction'!C228= "","",IF(B228="BUY",'US Transaction'!C228,-'US Transaction'!C228))</f>
        <v/>
      </c>
      <c r="D228" s="28" t="str">
        <f>IF('US Transaction'!D228= "","",IF(B228="BUY",'US Transaction'!D228,-'US Transaction'!D228))</f>
        <v/>
      </c>
      <c r="E228" s="28" t="str">
        <f>IF('US Transaction'!E228= "","",'US Transaction'!E228)</f>
        <v/>
      </c>
      <c r="F228" s="23"/>
      <c r="G228" s="28" t="str">
        <f t="shared" si="20"/>
        <v/>
      </c>
      <c r="H228" s="28" t="str">
        <f>IF(A228="","",COUNTIF($G$2:G228,G228))</f>
        <v/>
      </c>
      <c r="I228" s="28" t="str">
        <f t="shared" si="21"/>
        <v/>
      </c>
      <c r="J228" s="28" t="str">
        <f>IF(G228="","",IF(COUNTIF($G$2:G228,G228)&gt;1,SUMIF($A$2:A228,G228,$C$2:C228),C228))</f>
        <v/>
      </c>
      <c r="K228" s="45" t="str">
        <f>IF(G228="","",IF(COUNTIF($G$2:G228,G228)&gt;1,SUMIF($A$2:A228,G228,$D$2:D228),D228) +SUMIF($G$2:G228,G228,$M$2:M228))</f>
        <v/>
      </c>
      <c r="L228" s="45" t="str">
        <f t="shared" si="22"/>
        <v/>
      </c>
      <c r="M228" s="46" t="str">
        <f>IF(G228="","",IF(B228 = "BUY", 0,(E228-VLOOKUP(CONCATENATE(G228,(H228-1)),$I$2:L227,4,FALSE))*-C228))</f>
        <v/>
      </c>
    </row>
    <row r="229" spans="1:13" ht="15" thickBot="1" x14ac:dyDescent="0.35">
      <c r="A229" s="28" t="str">
        <f>IF('US Transaction'!A229= "","",'US Transaction'!A229)</f>
        <v/>
      </c>
      <c r="B229" s="28" t="str">
        <f>IF('US Transaction'!B229= "","",'US Transaction'!B229)</f>
        <v/>
      </c>
      <c r="C229" s="28" t="str">
        <f>IF('US Transaction'!C229= "","",IF(B229="BUY",'US Transaction'!C229,-'US Transaction'!C229))</f>
        <v/>
      </c>
      <c r="D229" s="28" t="str">
        <f>IF('US Transaction'!D229= "","",IF(B229="BUY",'US Transaction'!D229,-'US Transaction'!D229))</f>
        <v/>
      </c>
      <c r="E229" s="28" t="str">
        <f>IF('US Transaction'!E229= "","",'US Transaction'!E229)</f>
        <v/>
      </c>
      <c r="F229" s="23"/>
      <c r="G229" s="28" t="str">
        <f t="shared" si="20"/>
        <v/>
      </c>
      <c r="H229" s="28" t="str">
        <f>IF(A229="","",COUNTIF($G$2:G229,G229))</f>
        <v/>
      </c>
      <c r="I229" s="28" t="str">
        <f t="shared" si="21"/>
        <v/>
      </c>
      <c r="J229" s="28" t="str">
        <f>IF(G229="","",IF(COUNTIF($G$2:G229,G229)&gt;1,SUMIF($A$2:A229,G229,$C$2:C229),C229))</f>
        <v/>
      </c>
      <c r="K229" s="45" t="str">
        <f>IF(G229="","",IF(COUNTIF($G$2:G229,G229)&gt;1,SUMIF($A$2:A229,G229,$D$2:D229),D229) +SUMIF($G$2:G229,G229,$M$2:M229))</f>
        <v/>
      </c>
      <c r="L229" s="45" t="str">
        <f t="shared" si="22"/>
        <v/>
      </c>
      <c r="M229" s="46" t="str">
        <f>IF(G229="","",IF(B229 = "BUY", 0,(E229-VLOOKUP(CONCATENATE(G229,(H229-1)),$I$2:L228,4,FALSE))*-C229))</f>
        <v/>
      </c>
    </row>
    <row r="230" spans="1:13" ht="15" thickBot="1" x14ac:dyDescent="0.35">
      <c r="A230" s="28" t="str">
        <f>IF('US Transaction'!A230= "","",'US Transaction'!A230)</f>
        <v/>
      </c>
      <c r="B230" s="28" t="str">
        <f>IF('US Transaction'!B230= "","",'US Transaction'!B230)</f>
        <v/>
      </c>
      <c r="C230" s="28" t="str">
        <f>IF('US Transaction'!C230= "","",IF(B230="BUY",'US Transaction'!C230,-'US Transaction'!C230))</f>
        <v/>
      </c>
      <c r="D230" s="28" t="str">
        <f>IF('US Transaction'!D230= "","",IF(B230="BUY",'US Transaction'!D230,-'US Transaction'!D230))</f>
        <v/>
      </c>
      <c r="E230" s="28" t="str">
        <f>IF('US Transaction'!E230= "","",'US Transaction'!E230)</f>
        <v/>
      </c>
      <c r="F230" s="23"/>
      <c r="G230" s="28" t="str">
        <f t="shared" si="20"/>
        <v/>
      </c>
      <c r="H230" s="28" t="str">
        <f>IF(A230="","",COUNTIF($G$2:G230,G230))</f>
        <v/>
      </c>
      <c r="I230" s="28" t="str">
        <f t="shared" si="21"/>
        <v/>
      </c>
      <c r="J230" s="28" t="str">
        <f>IF(G230="","",IF(COUNTIF($G$2:G230,G230)&gt;1,SUMIF($A$2:A230,G230,$C$2:C230),C230))</f>
        <v/>
      </c>
      <c r="K230" s="45" t="str">
        <f>IF(G230="","",IF(COUNTIF($G$2:G230,G230)&gt;1,SUMIF($A$2:A230,G230,$D$2:D230),D230) +SUMIF($G$2:G230,G230,$M$2:M230))</f>
        <v/>
      </c>
      <c r="L230" s="45" t="str">
        <f t="shared" si="22"/>
        <v/>
      </c>
      <c r="M230" s="46" t="str">
        <f>IF(G230="","",IF(B230 = "BUY", 0,(E230-VLOOKUP(CONCATENATE(G230,(H230-1)),$I$2:L229,4,FALSE))*-C230))</f>
        <v/>
      </c>
    </row>
    <row r="231" spans="1:13" ht="15" thickBot="1" x14ac:dyDescent="0.35">
      <c r="A231" s="28" t="str">
        <f>IF('US Transaction'!A231= "","",'US Transaction'!A231)</f>
        <v/>
      </c>
      <c r="B231" s="28" t="str">
        <f>IF('US Transaction'!B231= "","",'US Transaction'!B231)</f>
        <v/>
      </c>
      <c r="C231" s="28" t="str">
        <f>IF('US Transaction'!C231= "","",IF(B231="BUY",'US Transaction'!C231,-'US Transaction'!C231))</f>
        <v/>
      </c>
      <c r="D231" s="28" t="str">
        <f>IF('US Transaction'!D231= "","",IF(B231="BUY",'US Transaction'!D231,-'US Transaction'!D231))</f>
        <v/>
      </c>
      <c r="E231" s="28" t="str">
        <f>IF('US Transaction'!E231= "","",'US Transaction'!E231)</f>
        <v/>
      </c>
      <c r="F231" s="23"/>
      <c r="G231" s="28" t="str">
        <f t="shared" si="20"/>
        <v/>
      </c>
      <c r="H231" s="28" t="str">
        <f>IF(A231="","",COUNTIF($G$2:G231,G231))</f>
        <v/>
      </c>
      <c r="I231" s="28" t="str">
        <f t="shared" si="21"/>
        <v/>
      </c>
      <c r="J231" s="28" t="str">
        <f>IF(G231="","",IF(COUNTIF($G$2:G231,G231)&gt;1,SUMIF($A$2:A231,G231,$C$2:C231),C231))</f>
        <v/>
      </c>
      <c r="K231" s="45" t="str">
        <f>IF(G231="","",IF(COUNTIF($G$2:G231,G231)&gt;1,SUMIF($A$2:A231,G231,$D$2:D231),D231) +SUMIF($G$2:G231,G231,$M$2:M231))</f>
        <v/>
      </c>
      <c r="L231" s="45" t="str">
        <f t="shared" si="22"/>
        <v/>
      </c>
      <c r="M231" s="46" t="str">
        <f>IF(G231="","",IF(B231 = "BUY", 0,(E231-VLOOKUP(CONCATENATE(G231,(H231-1)),$I$2:L230,4,FALSE))*-C231))</f>
        <v/>
      </c>
    </row>
    <row r="232" spans="1:13" ht="15" thickBot="1" x14ac:dyDescent="0.35">
      <c r="A232" s="28" t="str">
        <f>IF('US Transaction'!A232= "","",'US Transaction'!A232)</f>
        <v/>
      </c>
      <c r="B232" s="28" t="str">
        <f>IF('US Transaction'!B232= "","",'US Transaction'!B232)</f>
        <v/>
      </c>
      <c r="C232" s="28" t="str">
        <f>IF('US Transaction'!C232= "","",IF(B232="BUY",'US Transaction'!C232,-'US Transaction'!C232))</f>
        <v/>
      </c>
      <c r="D232" s="28" t="str">
        <f>IF('US Transaction'!D232= "","",IF(B232="BUY",'US Transaction'!D232,-'US Transaction'!D232))</f>
        <v/>
      </c>
      <c r="E232" s="28" t="str">
        <f>IF('US Transaction'!E232= "","",'US Transaction'!E232)</f>
        <v/>
      </c>
      <c r="F232" s="23"/>
      <c r="G232" s="28" t="str">
        <f t="shared" si="20"/>
        <v/>
      </c>
      <c r="H232" s="28" t="str">
        <f>IF(A232="","",COUNTIF($G$2:G232,G232))</f>
        <v/>
      </c>
      <c r="I232" s="28" t="str">
        <f t="shared" si="21"/>
        <v/>
      </c>
      <c r="J232" s="28" t="str">
        <f>IF(G232="","",IF(COUNTIF($G$2:G232,G232)&gt;1,SUMIF($A$2:A232,G232,$C$2:C232),C232))</f>
        <v/>
      </c>
      <c r="K232" s="45" t="str">
        <f>IF(G232="","",IF(COUNTIF($G$2:G232,G232)&gt;1,SUMIF($A$2:A232,G232,$D$2:D232),D232) +SUMIF($G$2:G232,G232,$M$2:M232))</f>
        <v/>
      </c>
      <c r="L232" s="45" t="str">
        <f t="shared" si="22"/>
        <v/>
      </c>
      <c r="M232" s="46" t="str">
        <f>IF(G232="","",IF(B232 = "BUY", 0,(E232-VLOOKUP(CONCATENATE(G232,(H232-1)),$I$2:L231,4,FALSE))*-C232))</f>
        <v/>
      </c>
    </row>
    <row r="233" spans="1:13" ht="15" thickBot="1" x14ac:dyDescent="0.35">
      <c r="A233" s="28" t="str">
        <f>IF('US Transaction'!A233= "","",'US Transaction'!A233)</f>
        <v/>
      </c>
      <c r="B233" s="28" t="str">
        <f>IF('US Transaction'!B233= "","",'US Transaction'!B233)</f>
        <v/>
      </c>
      <c r="C233" s="28" t="str">
        <f>IF('US Transaction'!C233= "","",IF(B233="BUY",'US Transaction'!C233,-'US Transaction'!C233))</f>
        <v/>
      </c>
      <c r="D233" s="28" t="str">
        <f>IF('US Transaction'!D233= "","",IF(B233="BUY",'US Transaction'!D233,-'US Transaction'!D233))</f>
        <v/>
      </c>
      <c r="E233" s="28" t="str">
        <f>IF('US Transaction'!E233= "","",'US Transaction'!E233)</f>
        <v/>
      </c>
      <c r="F233" s="23"/>
      <c r="G233" s="28" t="str">
        <f t="shared" si="20"/>
        <v/>
      </c>
      <c r="H233" s="28" t="str">
        <f>IF(A233="","",COUNTIF($G$2:G233,G233))</f>
        <v/>
      </c>
      <c r="I233" s="28" t="str">
        <f t="shared" si="21"/>
        <v/>
      </c>
      <c r="J233" s="28" t="str">
        <f>IF(G233="","",IF(COUNTIF($G$2:G233,G233)&gt;1,SUMIF($A$2:A233,G233,$C$2:C233),C233))</f>
        <v/>
      </c>
      <c r="K233" s="45" t="str">
        <f>IF(G233="","",IF(COUNTIF($G$2:G233,G233)&gt;1,SUMIF($A$2:A233,G233,$D$2:D233),D233) +SUMIF($G$2:G233,G233,$M$2:M233))</f>
        <v/>
      </c>
      <c r="L233" s="45" t="str">
        <f t="shared" si="22"/>
        <v/>
      </c>
      <c r="M233" s="46" t="str">
        <f>IF(G233="","",IF(B233 = "BUY", 0,(E233-VLOOKUP(CONCATENATE(G233,(H233-1)),$I$2:L232,4,FALSE))*-C233))</f>
        <v/>
      </c>
    </row>
    <row r="234" spans="1:13" ht="15" thickBot="1" x14ac:dyDescent="0.35">
      <c r="A234" s="28" t="str">
        <f>IF('US Transaction'!A234= "","",'US Transaction'!A234)</f>
        <v/>
      </c>
      <c r="B234" s="28" t="str">
        <f>IF('US Transaction'!B234= "","",'US Transaction'!B234)</f>
        <v/>
      </c>
      <c r="C234" s="28" t="str">
        <f>IF('US Transaction'!C234= "","",IF(B234="BUY",'US Transaction'!C234,-'US Transaction'!C234))</f>
        <v/>
      </c>
      <c r="D234" s="28" t="str">
        <f>IF('US Transaction'!D234= "","",IF(B234="BUY",'US Transaction'!D234,-'US Transaction'!D234))</f>
        <v/>
      </c>
      <c r="E234" s="28" t="str">
        <f>IF('US Transaction'!E234= "","",'US Transaction'!E234)</f>
        <v/>
      </c>
      <c r="F234" s="23"/>
      <c r="G234" s="28" t="str">
        <f t="shared" si="20"/>
        <v/>
      </c>
      <c r="H234" s="28" t="str">
        <f>IF(A234="","",COUNTIF($G$2:G234,G234))</f>
        <v/>
      </c>
      <c r="I234" s="28" t="str">
        <f t="shared" si="21"/>
        <v/>
      </c>
      <c r="J234" s="28" t="str">
        <f>IF(G234="","",IF(COUNTIF($G$2:G234,G234)&gt;1,SUMIF($A$2:A234,G234,$C$2:C234),C234))</f>
        <v/>
      </c>
      <c r="K234" s="45" t="str">
        <f>IF(G234="","",IF(COUNTIF($G$2:G234,G234)&gt;1,SUMIF($A$2:A234,G234,$D$2:D234),D234) +SUMIF($G$2:G234,G234,$M$2:M234))</f>
        <v/>
      </c>
      <c r="L234" s="45" t="str">
        <f t="shared" si="22"/>
        <v/>
      </c>
      <c r="M234" s="46" t="str">
        <f>IF(G234="","",IF(B234 = "BUY", 0,(E234-VLOOKUP(CONCATENATE(G234,(H234-1)),$I$2:L233,4,FALSE))*-C234))</f>
        <v/>
      </c>
    </row>
    <row r="235" spans="1:13" ht="15" thickBot="1" x14ac:dyDescent="0.35">
      <c r="A235" s="28" t="str">
        <f>IF('US Transaction'!A235= "","",'US Transaction'!A235)</f>
        <v/>
      </c>
      <c r="B235" s="28" t="str">
        <f>IF('US Transaction'!B235= "","",'US Transaction'!B235)</f>
        <v/>
      </c>
      <c r="C235" s="28" t="str">
        <f>IF('US Transaction'!C235= "","",IF(B235="BUY",'US Transaction'!C235,-'US Transaction'!C235))</f>
        <v/>
      </c>
      <c r="D235" s="28" t="str">
        <f>IF('US Transaction'!D235= "","",IF(B235="BUY",'US Transaction'!D235,-'US Transaction'!D235))</f>
        <v/>
      </c>
      <c r="E235" s="28" t="str">
        <f>IF('US Transaction'!E235= "","",'US Transaction'!E235)</f>
        <v/>
      </c>
      <c r="F235" s="23"/>
      <c r="G235" s="28" t="str">
        <f t="shared" si="20"/>
        <v/>
      </c>
      <c r="H235" s="28" t="str">
        <f>IF(A235="","",COUNTIF($G$2:G235,G235))</f>
        <v/>
      </c>
      <c r="I235" s="28" t="str">
        <f t="shared" si="21"/>
        <v/>
      </c>
      <c r="J235" s="28" t="str">
        <f>IF(G235="","",IF(COUNTIF($G$2:G235,G235)&gt;1,SUMIF($A$2:A235,G235,$C$2:C235),C235))</f>
        <v/>
      </c>
      <c r="K235" s="45" t="str">
        <f>IF(G235="","",IF(COUNTIF($G$2:G235,G235)&gt;1,SUMIF($A$2:A235,G235,$D$2:D235),D235) +SUMIF($G$2:G235,G235,$M$2:M235))</f>
        <v/>
      </c>
      <c r="L235" s="45" t="str">
        <f t="shared" si="22"/>
        <v/>
      </c>
      <c r="M235" s="46" t="str">
        <f>IF(G235="","",IF(B235 = "BUY", 0,(E235-VLOOKUP(CONCATENATE(G235,(H235-1)),$I$2:L234,4,FALSE))*-C235))</f>
        <v/>
      </c>
    </row>
    <row r="236" spans="1:13" ht="15" thickBot="1" x14ac:dyDescent="0.35">
      <c r="A236" s="28" t="str">
        <f>IF('US Transaction'!A236= "","",'US Transaction'!A236)</f>
        <v/>
      </c>
      <c r="B236" s="28" t="str">
        <f>IF('US Transaction'!B236= "","",'US Transaction'!B236)</f>
        <v/>
      </c>
      <c r="C236" s="28" t="str">
        <f>IF('US Transaction'!C236= "","",IF(B236="BUY",'US Transaction'!C236,-'US Transaction'!C236))</f>
        <v/>
      </c>
      <c r="D236" s="28" t="str">
        <f>IF('US Transaction'!D236= "","",IF(B236="BUY",'US Transaction'!D236,-'US Transaction'!D236))</f>
        <v/>
      </c>
      <c r="E236" s="28" t="str">
        <f>IF('US Transaction'!E236= "","",'US Transaction'!E236)</f>
        <v/>
      </c>
      <c r="F236" s="23"/>
      <c r="G236" s="28" t="str">
        <f t="shared" si="20"/>
        <v/>
      </c>
      <c r="H236" s="28" t="str">
        <f>IF(A236="","",COUNTIF($G$2:G236,G236))</f>
        <v/>
      </c>
      <c r="I236" s="28" t="str">
        <f t="shared" si="21"/>
        <v/>
      </c>
      <c r="J236" s="28" t="str">
        <f>IF(G236="","",IF(COUNTIF($G$2:G236,G236)&gt;1,SUMIF($A$2:A236,G236,$C$2:C236),C236))</f>
        <v/>
      </c>
      <c r="K236" s="45" t="str">
        <f>IF(G236="","",IF(COUNTIF($G$2:G236,G236)&gt;1,SUMIF($A$2:A236,G236,$D$2:D236),D236) +SUMIF($G$2:G236,G236,$M$2:M236))</f>
        <v/>
      </c>
      <c r="L236" s="45" t="str">
        <f t="shared" si="22"/>
        <v/>
      </c>
      <c r="M236" s="46" t="str">
        <f>IF(G236="","",IF(B236 = "BUY", 0,(E236-VLOOKUP(CONCATENATE(G236,(H236-1)),$I$2:L235,4,FALSE))*-C236))</f>
        <v/>
      </c>
    </row>
    <row r="237" spans="1:13" ht="15" thickBot="1" x14ac:dyDescent="0.35">
      <c r="A237" s="28" t="str">
        <f>IF('US Transaction'!A237= "","",'US Transaction'!A237)</f>
        <v/>
      </c>
      <c r="B237" s="28" t="str">
        <f>IF('US Transaction'!B237= "","",'US Transaction'!B237)</f>
        <v/>
      </c>
      <c r="C237" s="28" t="str">
        <f>IF('US Transaction'!C237= "","",IF(B237="BUY",'US Transaction'!C237,-'US Transaction'!C237))</f>
        <v/>
      </c>
      <c r="D237" s="28" t="str">
        <f>IF('US Transaction'!D237= "","",IF(B237="BUY",'US Transaction'!D237,-'US Transaction'!D237))</f>
        <v/>
      </c>
      <c r="E237" s="28" t="str">
        <f>IF('US Transaction'!E237= "","",'US Transaction'!E237)</f>
        <v/>
      </c>
      <c r="F237" s="23"/>
      <c r="G237" s="28" t="str">
        <f t="shared" si="20"/>
        <v/>
      </c>
      <c r="H237" s="28" t="str">
        <f>IF(A237="","",COUNTIF($G$2:G237,G237))</f>
        <v/>
      </c>
      <c r="I237" s="28" t="str">
        <f t="shared" si="21"/>
        <v/>
      </c>
      <c r="J237" s="28" t="str">
        <f>IF(G237="","",IF(COUNTIF($G$2:G237,G237)&gt;1,SUMIF($A$2:A237,G237,$C$2:C237),C237))</f>
        <v/>
      </c>
      <c r="K237" s="45" t="str">
        <f>IF(G237="","",IF(COUNTIF($G$2:G237,G237)&gt;1,SUMIF($A$2:A237,G237,$D$2:D237),D237) +SUMIF($G$2:G237,G237,$M$2:M237))</f>
        <v/>
      </c>
      <c r="L237" s="45" t="str">
        <f t="shared" si="22"/>
        <v/>
      </c>
      <c r="M237" s="46" t="str">
        <f>IF(G237="","",IF(B237 = "BUY", 0,(E237-VLOOKUP(CONCATENATE(G237,(H237-1)),$I$2:L236,4,FALSE))*-C237))</f>
        <v/>
      </c>
    </row>
    <row r="238" spans="1:13" ht="15" thickBot="1" x14ac:dyDescent="0.35">
      <c r="A238" s="28" t="str">
        <f>IF('US Transaction'!A238= "","",'US Transaction'!A238)</f>
        <v/>
      </c>
      <c r="B238" s="28" t="str">
        <f>IF('US Transaction'!B238= "","",'US Transaction'!B238)</f>
        <v/>
      </c>
      <c r="C238" s="28" t="str">
        <f>IF('US Transaction'!C238= "","",IF(B238="BUY",'US Transaction'!C238,-'US Transaction'!C238))</f>
        <v/>
      </c>
      <c r="D238" s="28" t="str">
        <f>IF('US Transaction'!D238= "","",IF(B238="BUY",'US Transaction'!D238,-'US Transaction'!D238))</f>
        <v/>
      </c>
      <c r="E238" s="28" t="str">
        <f>IF('US Transaction'!E238= "","",'US Transaction'!E238)</f>
        <v/>
      </c>
      <c r="F238" s="23"/>
      <c r="G238" s="28" t="str">
        <f t="shared" si="20"/>
        <v/>
      </c>
      <c r="H238" s="28" t="str">
        <f>IF(A238="","",COUNTIF($G$2:G238,G238))</f>
        <v/>
      </c>
      <c r="I238" s="28" t="str">
        <f t="shared" si="21"/>
        <v/>
      </c>
      <c r="J238" s="28" t="str">
        <f>IF(G238="","",IF(COUNTIF($G$2:G238,G238)&gt;1,SUMIF($A$2:A238,G238,$C$2:C238),C238))</f>
        <v/>
      </c>
      <c r="K238" s="45" t="str">
        <f>IF(G238="","",IF(COUNTIF($G$2:G238,G238)&gt;1,SUMIF($A$2:A238,G238,$D$2:D238),D238) +SUMIF($G$2:G238,G238,$M$2:M238))</f>
        <v/>
      </c>
      <c r="L238" s="45" t="str">
        <f t="shared" si="22"/>
        <v/>
      </c>
      <c r="M238" s="46" t="str">
        <f>IF(G238="","",IF(B238 = "BUY", 0,(E238-VLOOKUP(CONCATENATE(G238,(H238-1)),$I$2:L237,4,FALSE))*-C238))</f>
        <v/>
      </c>
    </row>
    <row r="239" spans="1:13" ht="15" thickBot="1" x14ac:dyDescent="0.35">
      <c r="A239" s="28" t="str">
        <f>IF('US Transaction'!A239= "","",'US Transaction'!A239)</f>
        <v/>
      </c>
      <c r="B239" s="28" t="str">
        <f>IF('US Transaction'!B239= "","",'US Transaction'!B239)</f>
        <v/>
      </c>
      <c r="C239" s="28" t="str">
        <f>IF('US Transaction'!C239= "","",IF(B239="BUY",'US Transaction'!C239,-'US Transaction'!C239))</f>
        <v/>
      </c>
      <c r="D239" s="28" t="str">
        <f>IF('US Transaction'!D239= "","",IF(B239="BUY",'US Transaction'!D239,-'US Transaction'!D239))</f>
        <v/>
      </c>
      <c r="E239" s="28" t="str">
        <f>IF('US Transaction'!E239= "","",'US Transaction'!E239)</f>
        <v/>
      </c>
      <c r="F239" s="23"/>
      <c r="G239" s="28" t="str">
        <f t="shared" si="20"/>
        <v/>
      </c>
      <c r="H239" s="28" t="str">
        <f>IF(A239="","",COUNTIF($G$2:G239,G239))</f>
        <v/>
      </c>
      <c r="I239" s="28" t="str">
        <f t="shared" si="21"/>
        <v/>
      </c>
      <c r="J239" s="28" t="str">
        <f>IF(G239="","",IF(COUNTIF($G$2:G239,G239)&gt;1,SUMIF($A$2:A239,G239,$C$2:C239),C239))</f>
        <v/>
      </c>
      <c r="K239" s="45" t="str">
        <f>IF(G239="","",IF(COUNTIF($G$2:G239,G239)&gt;1,SUMIF($A$2:A239,G239,$D$2:D239),D239) +SUMIF($G$2:G239,G239,$M$2:M239))</f>
        <v/>
      </c>
      <c r="L239" s="45" t="str">
        <f t="shared" si="22"/>
        <v/>
      </c>
      <c r="M239" s="46" t="str">
        <f>IF(G239="","",IF(B239 = "BUY", 0,(E239-VLOOKUP(CONCATENATE(G239,(H239-1)),$I$2:L238,4,FALSE))*-C239))</f>
        <v/>
      </c>
    </row>
    <row r="240" spans="1:13" ht="15" thickBot="1" x14ac:dyDescent="0.35">
      <c r="A240" s="28" t="str">
        <f>IF('US Transaction'!A240= "","",'US Transaction'!A240)</f>
        <v/>
      </c>
      <c r="B240" s="28" t="str">
        <f>IF('US Transaction'!B240= "","",'US Transaction'!B240)</f>
        <v/>
      </c>
      <c r="C240" s="28" t="str">
        <f>IF('US Transaction'!C240= "","",IF(B240="BUY",'US Transaction'!C240,-'US Transaction'!C240))</f>
        <v/>
      </c>
      <c r="D240" s="28" t="str">
        <f>IF('US Transaction'!D240= "","",IF(B240="BUY",'US Transaction'!D240,-'US Transaction'!D240))</f>
        <v/>
      </c>
      <c r="E240" s="28" t="str">
        <f>IF('US Transaction'!E240= "","",'US Transaction'!E240)</f>
        <v/>
      </c>
      <c r="F240" s="23"/>
      <c r="G240" s="28" t="str">
        <f t="shared" si="20"/>
        <v/>
      </c>
      <c r="H240" s="28" t="str">
        <f>IF(A240="","",COUNTIF($G$2:G240,G240))</f>
        <v/>
      </c>
      <c r="I240" s="28" t="str">
        <f t="shared" si="21"/>
        <v/>
      </c>
      <c r="J240" s="28" t="str">
        <f>IF(G240="","",IF(COUNTIF($G$2:G240,G240)&gt;1,SUMIF($A$2:A240,G240,$C$2:C240),C240))</f>
        <v/>
      </c>
      <c r="K240" s="45" t="str">
        <f>IF(G240="","",IF(COUNTIF($G$2:G240,G240)&gt;1,SUMIF($A$2:A240,G240,$D$2:D240),D240) +SUMIF($G$2:G240,G240,$M$2:M240))</f>
        <v/>
      </c>
      <c r="L240" s="45" t="str">
        <f t="shared" si="22"/>
        <v/>
      </c>
      <c r="M240" s="46" t="str">
        <f>IF(G240="","",IF(B240 = "BUY", 0,(E240-VLOOKUP(CONCATENATE(G240,(H240-1)),$I$2:L239,4,FALSE))*-C240))</f>
        <v/>
      </c>
    </row>
    <row r="241" spans="1:13" ht="15" thickBot="1" x14ac:dyDescent="0.35">
      <c r="A241" s="28" t="str">
        <f>IF('US Transaction'!A241= "","",'US Transaction'!A241)</f>
        <v/>
      </c>
      <c r="B241" s="28" t="str">
        <f>IF('US Transaction'!B241= "","",'US Transaction'!B241)</f>
        <v/>
      </c>
      <c r="C241" s="28" t="str">
        <f>IF('US Transaction'!C241= "","",IF(B241="BUY",'US Transaction'!C241,-'US Transaction'!C241))</f>
        <v/>
      </c>
      <c r="D241" s="28" t="str">
        <f>IF('US Transaction'!D241= "","",IF(B241="BUY",'US Transaction'!D241,-'US Transaction'!D241))</f>
        <v/>
      </c>
      <c r="E241" s="28" t="str">
        <f>IF('US Transaction'!E241= "","",'US Transaction'!E241)</f>
        <v/>
      </c>
      <c r="F241" s="23"/>
      <c r="G241" s="28" t="str">
        <f t="shared" si="20"/>
        <v/>
      </c>
      <c r="H241" s="28" t="str">
        <f>IF(A241="","",COUNTIF($G$2:G241,G241))</f>
        <v/>
      </c>
      <c r="I241" s="28" t="str">
        <f t="shared" si="21"/>
        <v/>
      </c>
      <c r="J241" s="28" t="str">
        <f>IF(G241="","",IF(COUNTIF($G$2:G241,G241)&gt;1,SUMIF($A$2:A241,G241,$C$2:C241),C241))</f>
        <v/>
      </c>
      <c r="K241" s="45" t="str">
        <f>IF(G241="","",IF(COUNTIF($G$2:G241,G241)&gt;1,SUMIF($A$2:A241,G241,$D$2:D241),D241) +SUMIF($G$2:G241,G241,$M$2:M241))</f>
        <v/>
      </c>
      <c r="L241" s="45" t="str">
        <f t="shared" si="22"/>
        <v/>
      </c>
      <c r="M241" s="46" t="str">
        <f>IF(G241="","",IF(B241 = "BUY", 0,(E241-VLOOKUP(CONCATENATE(G241,(H241-1)),$I$2:L240,4,FALSE))*-C241))</f>
        <v/>
      </c>
    </row>
    <row r="242" spans="1:13" ht="15" thickBot="1" x14ac:dyDescent="0.35">
      <c r="A242" s="28" t="str">
        <f>IF('US Transaction'!A242= "","",'US Transaction'!A242)</f>
        <v/>
      </c>
      <c r="B242" s="28" t="str">
        <f>IF('US Transaction'!B242= "","",'US Transaction'!B242)</f>
        <v/>
      </c>
      <c r="C242" s="28" t="str">
        <f>IF('US Transaction'!C242= "","",IF(B242="BUY",'US Transaction'!C242,-'US Transaction'!C242))</f>
        <v/>
      </c>
      <c r="D242" s="28" t="str">
        <f>IF('US Transaction'!D242= "","",IF(B242="BUY",'US Transaction'!D242,-'US Transaction'!D242))</f>
        <v/>
      </c>
      <c r="E242" s="28" t="str">
        <f>IF('US Transaction'!E242= "","",'US Transaction'!E242)</f>
        <v/>
      </c>
      <c r="F242" s="23"/>
      <c r="G242" s="28" t="str">
        <f t="shared" si="20"/>
        <v/>
      </c>
      <c r="H242" s="28" t="str">
        <f>IF(A242="","",COUNTIF($G$2:G242,G242))</f>
        <v/>
      </c>
      <c r="I242" s="28" t="str">
        <f t="shared" si="21"/>
        <v/>
      </c>
      <c r="J242" s="28" t="str">
        <f>IF(G242="","",IF(COUNTIF($G$2:G242,G242)&gt;1,SUMIF($A$2:A242,G242,$C$2:C242),C242))</f>
        <v/>
      </c>
      <c r="K242" s="45" t="str">
        <f>IF(G242="","",IF(COUNTIF($G$2:G242,G242)&gt;1,SUMIF($A$2:A242,G242,$D$2:D242),D242) +SUMIF($G$2:G242,G242,$M$2:M242))</f>
        <v/>
      </c>
      <c r="L242" s="45" t="str">
        <f t="shared" si="22"/>
        <v/>
      </c>
      <c r="M242" s="46" t="str">
        <f>IF(G242="","",IF(B242 = "BUY", 0,(E242-VLOOKUP(CONCATENATE(G242,(H242-1)),$I$2:L241,4,FALSE))*-C242))</f>
        <v/>
      </c>
    </row>
    <row r="243" spans="1:13" ht="15" thickBot="1" x14ac:dyDescent="0.35">
      <c r="A243" s="28" t="str">
        <f>IF('US Transaction'!A243= "","",'US Transaction'!A243)</f>
        <v/>
      </c>
      <c r="B243" s="28" t="str">
        <f>IF('US Transaction'!B243= "","",'US Transaction'!B243)</f>
        <v/>
      </c>
      <c r="C243" s="28" t="str">
        <f>IF('US Transaction'!C243= "","",IF(B243="BUY",'US Transaction'!C243,-'US Transaction'!C243))</f>
        <v/>
      </c>
      <c r="D243" s="28" t="str">
        <f>IF('US Transaction'!D243= "","",IF(B243="BUY",'US Transaction'!D243,-'US Transaction'!D243))</f>
        <v/>
      </c>
      <c r="E243" s="28" t="str">
        <f>IF('US Transaction'!E243= "","",'US Transaction'!E243)</f>
        <v/>
      </c>
      <c r="F243" s="23"/>
      <c r="G243" s="28" t="str">
        <f t="shared" si="20"/>
        <v/>
      </c>
      <c r="H243" s="28" t="str">
        <f>IF(A243="","",COUNTIF($G$2:G243,G243))</f>
        <v/>
      </c>
      <c r="I243" s="28" t="str">
        <f t="shared" si="21"/>
        <v/>
      </c>
      <c r="J243" s="28" t="str">
        <f>IF(G243="","",IF(COUNTIF($G$2:G243,G243)&gt;1,SUMIF($A$2:A243,G243,$C$2:C243),C243))</f>
        <v/>
      </c>
      <c r="K243" s="45" t="str">
        <f>IF(G243="","",IF(COUNTIF($G$2:G243,G243)&gt;1,SUMIF($A$2:A243,G243,$D$2:D243),D243) +SUMIF($G$2:G243,G243,$M$2:M243))</f>
        <v/>
      </c>
      <c r="L243" s="45" t="str">
        <f t="shared" si="22"/>
        <v/>
      </c>
      <c r="M243" s="46" t="str">
        <f>IF(G243="","",IF(B243 = "BUY", 0,(E243-VLOOKUP(CONCATENATE(G243,(H243-1)),$I$2:L242,4,FALSE))*-C243))</f>
        <v/>
      </c>
    </row>
    <row r="244" spans="1:13" ht="15" thickBot="1" x14ac:dyDescent="0.35">
      <c r="A244" s="28" t="str">
        <f>IF('US Transaction'!A244= "","",'US Transaction'!A244)</f>
        <v/>
      </c>
      <c r="B244" s="28" t="str">
        <f>IF('US Transaction'!B244= "","",'US Transaction'!B244)</f>
        <v/>
      </c>
      <c r="C244" s="28" t="str">
        <f>IF('US Transaction'!C244= "","",IF(B244="BUY",'US Transaction'!C244,-'US Transaction'!C244))</f>
        <v/>
      </c>
      <c r="D244" s="28" t="str">
        <f>IF('US Transaction'!D244= "","",IF(B244="BUY",'US Transaction'!D244,-'US Transaction'!D244))</f>
        <v/>
      </c>
      <c r="E244" s="28" t="str">
        <f>IF('US Transaction'!E244= "","",'US Transaction'!E244)</f>
        <v/>
      </c>
      <c r="F244" s="23"/>
      <c r="G244" s="28" t="str">
        <f t="shared" si="20"/>
        <v/>
      </c>
      <c r="H244" s="28" t="str">
        <f>IF(A244="","",COUNTIF($G$2:G244,G244))</f>
        <v/>
      </c>
      <c r="I244" s="28" t="str">
        <f t="shared" si="21"/>
        <v/>
      </c>
      <c r="J244" s="28" t="str">
        <f>IF(G244="","",IF(COUNTIF($G$2:G244,G244)&gt;1,SUMIF($A$2:A244,G244,$C$2:C244),C244))</f>
        <v/>
      </c>
      <c r="K244" s="45" t="str">
        <f>IF(G244="","",IF(COUNTIF($G$2:G244,G244)&gt;1,SUMIF($A$2:A244,G244,$D$2:D244),D244) +SUMIF($G$2:G244,G244,$M$2:M244))</f>
        <v/>
      </c>
      <c r="L244" s="45" t="str">
        <f t="shared" si="22"/>
        <v/>
      </c>
      <c r="M244" s="46" t="str">
        <f>IF(G244="","",IF(B244 = "BUY", 0,(E244-VLOOKUP(CONCATENATE(G244,(H244-1)),$I$2:L243,4,FALSE))*-C244))</f>
        <v/>
      </c>
    </row>
    <row r="245" spans="1:13" ht="15" thickBot="1" x14ac:dyDescent="0.35">
      <c r="A245" s="28" t="str">
        <f>IF('US Transaction'!A245= "","",'US Transaction'!A245)</f>
        <v/>
      </c>
      <c r="B245" s="28" t="str">
        <f>IF('US Transaction'!B245= "","",'US Transaction'!B245)</f>
        <v/>
      </c>
      <c r="C245" s="28" t="str">
        <f>IF('US Transaction'!C245= "","",IF(B245="BUY",'US Transaction'!C245,-'US Transaction'!C245))</f>
        <v/>
      </c>
      <c r="D245" s="28" t="str">
        <f>IF('US Transaction'!D245= "","",IF(B245="BUY",'US Transaction'!D245,-'US Transaction'!D245))</f>
        <v/>
      </c>
      <c r="E245" s="28" t="str">
        <f>IF('US Transaction'!E245= "","",'US Transaction'!E245)</f>
        <v/>
      </c>
      <c r="F245" s="23"/>
      <c r="G245" s="28" t="str">
        <f t="shared" si="20"/>
        <v/>
      </c>
      <c r="H245" s="28" t="str">
        <f>IF(A245="","",COUNTIF($G$2:G245,G245))</f>
        <v/>
      </c>
      <c r="I245" s="28" t="str">
        <f t="shared" si="21"/>
        <v/>
      </c>
      <c r="J245" s="28" t="str">
        <f>IF(G245="","",IF(COUNTIF($G$2:G245,G245)&gt;1,SUMIF($A$2:A245,G245,$C$2:C245),C245))</f>
        <v/>
      </c>
      <c r="K245" s="45" t="str">
        <f>IF(G245="","",IF(COUNTIF($G$2:G245,G245)&gt;1,SUMIF($A$2:A245,G245,$D$2:D245),D245) +SUMIF($G$2:G245,G245,$M$2:M245))</f>
        <v/>
      </c>
      <c r="L245" s="45" t="str">
        <f t="shared" si="22"/>
        <v/>
      </c>
      <c r="M245" s="46" t="str">
        <f>IF(G245="","",IF(B245 = "BUY", 0,(E245-VLOOKUP(CONCATENATE(G245,(H245-1)),$I$2:L244,4,FALSE))*-C245))</f>
        <v/>
      </c>
    </row>
    <row r="246" spans="1:13" ht="15" thickBot="1" x14ac:dyDescent="0.35">
      <c r="A246" s="28" t="str">
        <f>IF('US Transaction'!A246= "","",'US Transaction'!A246)</f>
        <v/>
      </c>
      <c r="B246" s="28" t="str">
        <f>IF('US Transaction'!B246= "","",'US Transaction'!B246)</f>
        <v/>
      </c>
      <c r="C246" s="28" t="str">
        <f>IF('US Transaction'!C246= "","",IF(B246="BUY",'US Transaction'!C246,-'US Transaction'!C246))</f>
        <v/>
      </c>
      <c r="D246" s="28" t="str">
        <f>IF('US Transaction'!D246= "","",IF(B246="BUY",'US Transaction'!D246,-'US Transaction'!D246))</f>
        <v/>
      </c>
      <c r="E246" s="28" t="str">
        <f>IF('US Transaction'!E246= "","",'US Transaction'!E246)</f>
        <v/>
      </c>
      <c r="F246" s="23"/>
      <c r="G246" s="28" t="str">
        <f t="shared" si="20"/>
        <v/>
      </c>
      <c r="H246" s="28" t="str">
        <f>IF(A246="","",COUNTIF($G$2:G246,G246))</f>
        <v/>
      </c>
      <c r="I246" s="28" t="str">
        <f t="shared" si="21"/>
        <v/>
      </c>
      <c r="J246" s="28" t="str">
        <f>IF(G246="","",IF(COUNTIF($G$2:G246,G246)&gt;1,SUMIF($A$2:A246,G246,$C$2:C246),C246))</f>
        <v/>
      </c>
      <c r="K246" s="45" t="str">
        <f>IF(G246="","",IF(COUNTIF($G$2:G246,G246)&gt;1,SUMIF($A$2:A246,G246,$D$2:D246),D246) +SUMIF($G$2:G246,G246,$M$2:M246))</f>
        <v/>
      </c>
      <c r="L246" s="45" t="str">
        <f t="shared" si="22"/>
        <v/>
      </c>
      <c r="M246" s="46" t="str">
        <f>IF(G246="","",IF(B246 = "BUY", 0,(E246-VLOOKUP(CONCATENATE(G246,(H246-1)),$I$2:L245,4,FALSE))*-C246))</f>
        <v/>
      </c>
    </row>
    <row r="247" spans="1:13" ht="15" thickBot="1" x14ac:dyDescent="0.35">
      <c r="A247" s="28" t="str">
        <f>IF('US Transaction'!A247= "","",'US Transaction'!A247)</f>
        <v/>
      </c>
      <c r="B247" s="28" t="str">
        <f>IF('US Transaction'!B247= "","",'US Transaction'!B247)</f>
        <v/>
      </c>
      <c r="C247" s="28" t="str">
        <f>IF('US Transaction'!C247= "","",IF(B247="BUY",'US Transaction'!C247,-'US Transaction'!C247))</f>
        <v/>
      </c>
      <c r="D247" s="28" t="str">
        <f>IF('US Transaction'!D247= "","",IF(B247="BUY",'US Transaction'!D247,-'US Transaction'!D247))</f>
        <v/>
      </c>
      <c r="E247" s="28" t="str">
        <f>IF('US Transaction'!E247= "","",'US Transaction'!E247)</f>
        <v/>
      </c>
      <c r="F247" s="23"/>
      <c r="G247" s="28" t="str">
        <f t="shared" si="20"/>
        <v/>
      </c>
      <c r="H247" s="28" t="str">
        <f>IF(A247="","",COUNTIF($G$2:G247,G247))</f>
        <v/>
      </c>
      <c r="I247" s="28" t="str">
        <f t="shared" si="21"/>
        <v/>
      </c>
      <c r="J247" s="28" t="str">
        <f>IF(G247="","",IF(COUNTIF($G$2:G247,G247)&gt;1,SUMIF($A$2:A247,G247,$C$2:C247),C247))</f>
        <v/>
      </c>
      <c r="K247" s="45" t="str">
        <f>IF(G247="","",IF(COUNTIF($G$2:G247,G247)&gt;1,SUMIF($A$2:A247,G247,$D$2:D247),D247) +SUMIF($G$2:G247,G247,$M$2:M247))</f>
        <v/>
      </c>
      <c r="L247" s="45" t="str">
        <f t="shared" si="22"/>
        <v/>
      </c>
      <c r="M247" s="46" t="str">
        <f>IF(G247="","",IF(B247 = "BUY", 0,(E247-VLOOKUP(CONCATENATE(G247,(H247-1)),$I$2:L246,4,FALSE))*-C247))</f>
        <v/>
      </c>
    </row>
    <row r="248" spans="1:13" ht="15" thickBot="1" x14ac:dyDescent="0.35">
      <c r="A248" s="28" t="str">
        <f>IF('US Transaction'!A248= "","",'US Transaction'!A248)</f>
        <v/>
      </c>
      <c r="B248" s="28" t="str">
        <f>IF('US Transaction'!B248= "","",'US Transaction'!B248)</f>
        <v/>
      </c>
      <c r="C248" s="28" t="str">
        <f>IF('US Transaction'!C248= "","",IF(B248="BUY",'US Transaction'!C248,-'US Transaction'!C248))</f>
        <v/>
      </c>
      <c r="D248" s="28" t="str">
        <f>IF('US Transaction'!D248= "","",IF(B248="BUY",'US Transaction'!D248,-'US Transaction'!D248))</f>
        <v/>
      </c>
      <c r="E248" s="28" t="str">
        <f>IF('US Transaction'!E248= "","",'US Transaction'!E248)</f>
        <v/>
      </c>
      <c r="F248" s="23"/>
      <c r="G248" s="28" t="str">
        <f t="shared" si="20"/>
        <v/>
      </c>
      <c r="H248" s="28" t="str">
        <f>IF(A248="","",COUNTIF($G$2:G248,G248))</f>
        <v/>
      </c>
      <c r="I248" s="28" t="str">
        <f t="shared" si="21"/>
        <v/>
      </c>
      <c r="J248" s="28" t="str">
        <f>IF(G248="","",IF(COUNTIF($G$2:G248,G248)&gt;1,SUMIF($A$2:A248,G248,$C$2:C248),C248))</f>
        <v/>
      </c>
      <c r="K248" s="45" t="str">
        <f>IF(G248="","",IF(COUNTIF($G$2:G248,G248)&gt;1,SUMIF($A$2:A248,G248,$D$2:D248),D248) +SUMIF($G$2:G248,G248,$M$2:M248))</f>
        <v/>
      </c>
      <c r="L248" s="45" t="str">
        <f t="shared" si="22"/>
        <v/>
      </c>
      <c r="M248" s="46" t="str">
        <f>IF(G248="","",IF(B248 = "BUY", 0,(E248-VLOOKUP(CONCATENATE(G248,(H248-1)),$I$2:L247,4,FALSE))*-C248))</f>
        <v/>
      </c>
    </row>
    <row r="249" spans="1:13" ht="15" thickBot="1" x14ac:dyDescent="0.35">
      <c r="A249" s="28" t="str">
        <f>IF('US Transaction'!A249= "","",'US Transaction'!A249)</f>
        <v/>
      </c>
      <c r="B249" s="28" t="str">
        <f>IF('US Transaction'!B249= "","",'US Transaction'!B249)</f>
        <v/>
      </c>
      <c r="C249" s="28" t="str">
        <f>IF('US Transaction'!C249= "","",IF(B249="BUY",'US Transaction'!C249,-'US Transaction'!C249))</f>
        <v/>
      </c>
      <c r="D249" s="28" t="str">
        <f>IF('US Transaction'!D249= "","",IF(B249="BUY",'US Transaction'!D249,-'US Transaction'!D249))</f>
        <v/>
      </c>
      <c r="E249" s="28" t="str">
        <f>IF('US Transaction'!E249= "","",'US Transaction'!E249)</f>
        <v/>
      </c>
      <c r="F249" s="23"/>
      <c r="G249" s="28" t="str">
        <f t="shared" si="20"/>
        <v/>
      </c>
      <c r="H249" s="28" t="str">
        <f>IF(A249="","",COUNTIF($G$2:G249,G249))</f>
        <v/>
      </c>
      <c r="I249" s="28" t="str">
        <f t="shared" si="21"/>
        <v/>
      </c>
      <c r="J249" s="28" t="str">
        <f>IF(G249="","",IF(COUNTIF($G$2:G249,G249)&gt;1,SUMIF($A$2:A249,G249,$C$2:C249),C249))</f>
        <v/>
      </c>
      <c r="K249" s="45" t="str">
        <f>IF(G249="","",IF(COUNTIF($G$2:G249,G249)&gt;1,SUMIF($A$2:A249,G249,$D$2:D249),D249) +SUMIF($G$2:G249,G249,$M$2:M249))</f>
        <v/>
      </c>
      <c r="L249" s="45" t="str">
        <f t="shared" si="22"/>
        <v/>
      </c>
      <c r="M249" s="46" t="str">
        <f>IF(G249="","",IF(B249 = "BUY", 0,(E249-VLOOKUP(CONCATENATE(G249,(H249-1)),$I$2:L248,4,FALSE))*-C249))</f>
        <v/>
      </c>
    </row>
    <row r="250" spans="1:13" ht="15" thickBot="1" x14ac:dyDescent="0.35">
      <c r="A250" s="28" t="str">
        <f>IF('US Transaction'!A250= "","",'US Transaction'!A250)</f>
        <v/>
      </c>
      <c r="B250" s="28" t="str">
        <f>IF('US Transaction'!B250= "","",'US Transaction'!B250)</f>
        <v/>
      </c>
      <c r="C250" s="28" t="str">
        <f>IF('US Transaction'!C250= "","",IF(B250="BUY",'US Transaction'!C250,-'US Transaction'!C250))</f>
        <v/>
      </c>
      <c r="D250" s="28" t="str">
        <f>IF('US Transaction'!D250= "","",IF(B250="BUY",'US Transaction'!D250,-'US Transaction'!D250))</f>
        <v/>
      </c>
      <c r="E250" s="28" t="str">
        <f>IF('US Transaction'!E250= "","",'US Transaction'!E250)</f>
        <v/>
      </c>
      <c r="F250" s="23"/>
      <c r="G250" s="28" t="str">
        <f t="shared" si="20"/>
        <v/>
      </c>
      <c r="H250" s="28" t="str">
        <f>IF(A250="","",COUNTIF($G$2:G250,G250))</f>
        <v/>
      </c>
      <c r="I250" s="28" t="str">
        <f t="shared" si="21"/>
        <v/>
      </c>
      <c r="J250" s="28" t="str">
        <f>IF(G250="","",IF(COUNTIF($G$2:G250,G250)&gt;1,SUMIF($A$2:A250,G250,$C$2:C250),C250))</f>
        <v/>
      </c>
      <c r="K250" s="45" t="str">
        <f>IF(G250="","",IF(COUNTIF($G$2:G250,G250)&gt;1,SUMIF($A$2:A250,G250,$D$2:D250),D250) +SUMIF($G$2:G250,G250,$M$2:M250))</f>
        <v/>
      </c>
      <c r="L250" s="45" t="str">
        <f t="shared" si="22"/>
        <v/>
      </c>
      <c r="M250" s="46" t="str">
        <f>IF(G250="","",IF(B250 = "BUY", 0,(E250-VLOOKUP(CONCATENATE(G250,(H250-1)),$I$2:L249,4,FALSE))*-C250))</f>
        <v/>
      </c>
    </row>
    <row r="251" spans="1:13" ht="15" thickBot="1" x14ac:dyDescent="0.35">
      <c r="A251" s="28" t="str">
        <f>IF('US Transaction'!A251= "","",'US Transaction'!A251)</f>
        <v/>
      </c>
      <c r="B251" s="28" t="str">
        <f>IF('US Transaction'!B251= "","",'US Transaction'!B251)</f>
        <v/>
      </c>
      <c r="C251" s="28" t="str">
        <f>IF('US Transaction'!C251= "","",IF(B251="BUY",'US Transaction'!C251,-'US Transaction'!C251))</f>
        <v/>
      </c>
      <c r="D251" s="28" t="str">
        <f>IF('US Transaction'!D251= "","",IF(B251="BUY",'US Transaction'!D251,-'US Transaction'!D251))</f>
        <v/>
      </c>
      <c r="E251" s="28" t="str">
        <f>IF('US Transaction'!E251= "","",'US Transaction'!E251)</f>
        <v/>
      </c>
      <c r="F251" s="23"/>
      <c r="G251" s="28" t="str">
        <f t="shared" si="20"/>
        <v/>
      </c>
      <c r="H251" s="28" t="str">
        <f>IF(A251="","",COUNTIF($G$2:G251,G251))</f>
        <v/>
      </c>
      <c r="I251" s="28" t="str">
        <f t="shared" si="21"/>
        <v/>
      </c>
      <c r="J251" s="28" t="str">
        <f>IF(G251="","",IF(COUNTIF($G$2:G251,G251)&gt;1,SUMIF($A$2:A251,G251,$C$2:C251),C251))</f>
        <v/>
      </c>
      <c r="K251" s="45" t="str">
        <f>IF(G251="","",IF(COUNTIF($G$2:G251,G251)&gt;1,SUMIF($A$2:A251,G251,$D$2:D251),D251) +SUMIF($G$2:G251,G251,$M$2:M251))</f>
        <v/>
      </c>
      <c r="L251" s="45" t="str">
        <f t="shared" si="22"/>
        <v/>
      </c>
      <c r="M251" s="46" t="str">
        <f>IF(G251="","",IF(B251 = "BUY", 0,(E251-VLOOKUP(CONCATENATE(G251,(H251-1)),$I$2:L250,4,FALSE))*-C251))</f>
        <v/>
      </c>
    </row>
    <row r="252" spans="1:13" ht="15" thickBot="1" x14ac:dyDescent="0.35">
      <c r="A252" s="28" t="str">
        <f>IF('US Transaction'!A252= "","",'US Transaction'!A252)</f>
        <v/>
      </c>
      <c r="B252" s="28" t="str">
        <f>IF('US Transaction'!B252= "","",'US Transaction'!B252)</f>
        <v/>
      </c>
      <c r="C252" s="28" t="str">
        <f>IF('US Transaction'!C252= "","",IF(B252="BUY",'US Transaction'!C252,-'US Transaction'!C252))</f>
        <v/>
      </c>
      <c r="D252" s="28" t="str">
        <f>IF('US Transaction'!D252= "","",IF(B252="BUY",'US Transaction'!D252,-'US Transaction'!D252))</f>
        <v/>
      </c>
      <c r="E252" s="28" t="str">
        <f>IF('US Transaction'!E252= "","",'US Transaction'!E252)</f>
        <v/>
      </c>
      <c r="F252" s="23"/>
      <c r="G252" s="28" t="str">
        <f t="shared" si="20"/>
        <v/>
      </c>
      <c r="H252" s="28" t="str">
        <f>IF(A252="","",COUNTIF($G$2:G252,G252))</f>
        <v/>
      </c>
      <c r="I252" s="28" t="str">
        <f t="shared" si="21"/>
        <v/>
      </c>
      <c r="J252" s="28" t="str">
        <f>IF(G252="","",IF(COUNTIF($G$2:G252,G252)&gt;1,SUMIF($A$2:A252,G252,$C$2:C252),C252))</f>
        <v/>
      </c>
      <c r="K252" s="45" t="str">
        <f>IF(G252="","",IF(COUNTIF($G$2:G252,G252)&gt;1,SUMIF($A$2:A252,G252,$D$2:D252),D252) +SUMIF($G$2:G252,G252,$M$2:M252))</f>
        <v/>
      </c>
      <c r="L252" s="45" t="str">
        <f t="shared" si="22"/>
        <v/>
      </c>
      <c r="M252" s="46" t="str">
        <f>IF(G252="","",IF(B252 = "BUY", 0,(E252-VLOOKUP(CONCATENATE(G252,(H252-1)),$I$2:L251,4,FALSE))*-C252))</f>
        <v/>
      </c>
    </row>
    <row r="253" spans="1:13" ht="15" thickBot="1" x14ac:dyDescent="0.35">
      <c r="A253" s="28" t="str">
        <f>IF('US Transaction'!A253= "","",'US Transaction'!A253)</f>
        <v/>
      </c>
      <c r="B253" s="28" t="str">
        <f>IF('US Transaction'!B253= "","",'US Transaction'!B253)</f>
        <v/>
      </c>
      <c r="C253" s="28" t="str">
        <f>IF('US Transaction'!C253= "","",IF(B253="BUY",'US Transaction'!C253,-'US Transaction'!C253))</f>
        <v/>
      </c>
      <c r="D253" s="28" t="str">
        <f>IF('US Transaction'!D253= "","",IF(B253="BUY",'US Transaction'!D253,-'US Transaction'!D253))</f>
        <v/>
      </c>
      <c r="E253" s="28" t="str">
        <f>IF('US Transaction'!E253= "","",'US Transaction'!E253)</f>
        <v/>
      </c>
      <c r="F253" s="23"/>
      <c r="G253" s="28" t="str">
        <f t="shared" si="20"/>
        <v/>
      </c>
      <c r="H253" s="28" t="str">
        <f>IF(A253="","",COUNTIF($G$2:G253,G253))</f>
        <v/>
      </c>
      <c r="I253" s="28" t="str">
        <f t="shared" si="21"/>
        <v/>
      </c>
      <c r="J253" s="28" t="str">
        <f>IF(G253="","",IF(COUNTIF($G$2:G253,G253)&gt;1,SUMIF($A$2:A253,G253,$C$2:C253),C253))</f>
        <v/>
      </c>
      <c r="K253" s="45" t="str">
        <f>IF(G253="","",IF(COUNTIF($G$2:G253,G253)&gt;1,SUMIF($A$2:A253,G253,$D$2:D253),D253) +SUMIF($G$2:G253,G253,$M$2:M253))</f>
        <v/>
      </c>
      <c r="L253" s="45" t="str">
        <f t="shared" si="22"/>
        <v/>
      </c>
      <c r="M253" s="46" t="str">
        <f>IF(G253="","",IF(B253 = "BUY", 0,(E253-VLOOKUP(CONCATENATE(G253,(H253-1)),$I$2:L252,4,FALSE))*-C253))</f>
        <v/>
      </c>
    </row>
    <row r="254" spans="1:13" ht="15" thickBot="1" x14ac:dyDescent="0.35">
      <c r="A254" s="28" t="str">
        <f>IF('US Transaction'!A254= "","",'US Transaction'!A254)</f>
        <v/>
      </c>
      <c r="B254" s="28" t="str">
        <f>IF('US Transaction'!B254= "","",'US Transaction'!B254)</f>
        <v/>
      </c>
      <c r="C254" s="28" t="str">
        <f>IF('US Transaction'!C254= "","",IF(B254="BUY",'US Transaction'!C254,-'US Transaction'!C254))</f>
        <v/>
      </c>
      <c r="D254" s="28" t="str">
        <f>IF('US Transaction'!D254= "","",IF(B254="BUY",'US Transaction'!D254,-'US Transaction'!D254))</f>
        <v/>
      </c>
      <c r="E254" s="28" t="str">
        <f>IF('US Transaction'!E254= "","",'US Transaction'!E254)</f>
        <v/>
      </c>
      <c r="F254" s="23"/>
      <c r="G254" s="28" t="str">
        <f t="shared" si="20"/>
        <v/>
      </c>
      <c r="H254" s="28" t="str">
        <f>IF(A254="","",COUNTIF($G$2:G254,G254))</f>
        <v/>
      </c>
      <c r="I254" s="28" t="str">
        <f t="shared" si="21"/>
        <v/>
      </c>
      <c r="J254" s="28" t="str">
        <f>IF(G254="","",IF(COUNTIF($G$2:G254,G254)&gt;1,SUMIF($A$2:A254,G254,$C$2:C254),C254))</f>
        <v/>
      </c>
      <c r="K254" s="45" t="str">
        <f>IF(G254="","",IF(COUNTIF($G$2:G254,G254)&gt;1,SUMIF($A$2:A254,G254,$D$2:D254),D254) +SUMIF($G$2:G254,G254,$M$2:M254))</f>
        <v/>
      </c>
      <c r="L254" s="45" t="str">
        <f t="shared" si="22"/>
        <v/>
      </c>
      <c r="M254" s="46" t="str">
        <f>IF(G254="","",IF(B254 = "BUY", 0,(E254-VLOOKUP(CONCATENATE(G254,(H254-1)),$I$2:L253,4,FALSE))*-C254))</f>
        <v/>
      </c>
    </row>
    <row r="255" spans="1:13" ht="15" thickBot="1" x14ac:dyDescent="0.35">
      <c r="A255" s="28" t="str">
        <f>IF('US Transaction'!A255= "","",'US Transaction'!A255)</f>
        <v/>
      </c>
      <c r="B255" s="28" t="str">
        <f>IF('US Transaction'!B255= "","",'US Transaction'!B255)</f>
        <v/>
      </c>
      <c r="C255" s="28" t="str">
        <f>IF('US Transaction'!C255= "","",IF(B255="BUY",'US Transaction'!C255,-'US Transaction'!C255))</f>
        <v/>
      </c>
      <c r="D255" s="28" t="str">
        <f>IF('US Transaction'!D255= "","",IF(B255="BUY",'US Transaction'!D255,-'US Transaction'!D255))</f>
        <v/>
      </c>
      <c r="E255" s="28" t="str">
        <f>IF('US Transaction'!E255= "","",'US Transaction'!E255)</f>
        <v/>
      </c>
      <c r="F255" s="23"/>
      <c r="G255" s="28" t="str">
        <f t="shared" si="20"/>
        <v/>
      </c>
      <c r="H255" s="28" t="str">
        <f>IF(A255="","",COUNTIF($G$2:G255,G255))</f>
        <v/>
      </c>
      <c r="I255" s="28" t="str">
        <f t="shared" si="21"/>
        <v/>
      </c>
      <c r="J255" s="28" t="str">
        <f>IF(G255="","",IF(COUNTIF($G$2:G255,G255)&gt;1,SUMIF($A$2:A255,G255,$C$2:C255),C255))</f>
        <v/>
      </c>
      <c r="K255" s="45" t="str">
        <f>IF(G255="","",IF(COUNTIF($G$2:G255,G255)&gt;1,SUMIF($A$2:A255,G255,$D$2:D255),D255) +SUMIF($G$2:G255,G255,$M$2:M255))</f>
        <v/>
      </c>
      <c r="L255" s="45" t="str">
        <f t="shared" si="22"/>
        <v/>
      </c>
      <c r="M255" s="46" t="str">
        <f>IF(G255="","",IF(B255 = "BUY", 0,(E255-VLOOKUP(CONCATENATE(G255,(H255-1)),$I$2:L254,4,FALSE))*-C255))</f>
        <v/>
      </c>
    </row>
    <row r="256" spans="1:13" ht="15" thickBot="1" x14ac:dyDescent="0.35">
      <c r="A256" s="28" t="str">
        <f>IF('US Transaction'!A256= "","",'US Transaction'!A256)</f>
        <v/>
      </c>
      <c r="B256" s="28" t="str">
        <f>IF('US Transaction'!B256= "","",'US Transaction'!B256)</f>
        <v/>
      </c>
      <c r="C256" s="28" t="str">
        <f>IF('US Transaction'!C256= "","",IF(B256="BUY",'US Transaction'!C256,-'US Transaction'!C256))</f>
        <v/>
      </c>
      <c r="D256" s="28" t="str">
        <f>IF('US Transaction'!D256= "","",IF(B256="BUY",'US Transaction'!D256,-'US Transaction'!D256))</f>
        <v/>
      </c>
      <c r="E256" s="28" t="str">
        <f>IF('US Transaction'!E256= "","",'US Transaction'!E256)</f>
        <v/>
      </c>
      <c r="F256" s="23"/>
      <c r="G256" s="28" t="str">
        <f t="shared" si="20"/>
        <v/>
      </c>
      <c r="H256" s="28" t="str">
        <f>IF(A256="","",COUNTIF($G$2:G256,G256))</f>
        <v/>
      </c>
      <c r="I256" s="28" t="str">
        <f t="shared" si="21"/>
        <v/>
      </c>
      <c r="J256" s="28" t="str">
        <f>IF(G256="","",IF(COUNTIF($G$2:G256,G256)&gt;1,SUMIF($A$2:A256,G256,$C$2:C256),C256))</f>
        <v/>
      </c>
      <c r="K256" s="45" t="str">
        <f>IF(G256="","",IF(COUNTIF($G$2:G256,G256)&gt;1,SUMIF($A$2:A256,G256,$D$2:D256),D256) +SUMIF($G$2:G256,G256,$M$2:M256))</f>
        <v/>
      </c>
      <c r="L256" s="45" t="str">
        <f t="shared" si="22"/>
        <v/>
      </c>
      <c r="M256" s="46" t="str">
        <f>IF(G256="","",IF(B256 = "BUY", 0,(E256-VLOOKUP(CONCATENATE(G256,(H256-1)),$I$2:L255,4,FALSE))*-C256))</f>
        <v/>
      </c>
    </row>
    <row r="257" spans="1:13" ht="15" thickBot="1" x14ac:dyDescent="0.35">
      <c r="A257" s="28" t="str">
        <f>IF('US Transaction'!A257= "","",'US Transaction'!A257)</f>
        <v/>
      </c>
      <c r="B257" s="28" t="str">
        <f>IF('US Transaction'!B257= "","",'US Transaction'!B257)</f>
        <v/>
      </c>
      <c r="C257" s="28" t="str">
        <f>IF('US Transaction'!C257= "","",IF(B257="BUY",'US Transaction'!C257,-'US Transaction'!C257))</f>
        <v/>
      </c>
      <c r="D257" s="28" t="str">
        <f>IF('US Transaction'!D257= "","",IF(B257="BUY",'US Transaction'!D257,-'US Transaction'!D257))</f>
        <v/>
      </c>
      <c r="E257" s="28" t="str">
        <f>IF('US Transaction'!E257= "","",'US Transaction'!E257)</f>
        <v/>
      </c>
      <c r="F257" s="23"/>
      <c r="G257" s="28" t="str">
        <f t="shared" si="20"/>
        <v/>
      </c>
      <c r="H257" s="28" t="str">
        <f>IF(A257="","",COUNTIF($G$2:G257,G257))</f>
        <v/>
      </c>
      <c r="I257" s="28" t="str">
        <f t="shared" si="21"/>
        <v/>
      </c>
      <c r="J257" s="28" t="str">
        <f>IF(G257="","",IF(COUNTIF($G$2:G257,G257)&gt;1,SUMIF($A$2:A257,G257,$C$2:C257),C257))</f>
        <v/>
      </c>
      <c r="K257" s="45" t="str">
        <f>IF(G257="","",IF(COUNTIF($G$2:G257,G257)&gt;1,SUMIF($A$2:A257,G257,$D$2:D257),D257) +SUMIF($G$2:G257,G257,$M$2:M257))</f>
        <v/>
      </c>
      <c r="L257" s="45" t="str">
        <f t="shared" si="22"/>
        <v/>
      </c>
      <c r="M257" s="46" t="str">
        <f>IF(G257="","",IF(B257 = "BUY", 0,(E257-VLOOKUP(CONCATENATE(G257,(H257-1)),$I$2:L256,4,FALSE))*-C257))</f>
        <v/>
      </c>
    </row>
    <row r="258" spans="1:13" ht="15" thickBot="1" x14ac:dyDescent="0.35">
      <c r="A258" s="28" t="str">
        <f>IF('US Transaction'!A258= "","",'US Transaction'!A258)</f>
        <v/>
      </c>
      <c r="B258" s="28" t="str">
        <f>IF('US Transaction'!B258= "","",'US Transaction'!B258)</f>
        <v/>
      </c>
      <c r="C258" s="28" t="str">
        <f>IF('US Transaction'!C258= "","",IF(B258="BUY",'US Transaction'!C258,-'US Transaction'!C258))</f>
        <v/>
      </c>
      <c r="D258" s="28" t="str">
        <f>IF('US Transaction'!D258= "","",IF(B258="BUY",'US Transaction'!D258,-'US Transaction'!D258))</f>
        <v/>
      </c>
      <c r="E258" s="28" t="str">
        <f>IF('US Transaction'!E258= "","",'US Transaction'!E258)</f>
        <v/>
      </c>
      <c r="F258" s="23"/>
      <c r="G258" s="28" t="str">
        <f t="shared" si="20"/>
        <v/>
      </c>
      <c r="H258" s="28" t="str">
        <f>IF(A258="","",COUNTIF($G$2:G258,G258))</f>
        <v/>
      </c>
      <c r="I258" s="28" t="str">
        <f t="shared" si="21"/>
        <v/>
      </c>
      <c r="J258" s="28" t="str">
        <f>IF(G258="","",IF(COUNTIF($G$2:G258,G258)&gt;1,SUMIF($A$2:A258,G258,$C$2:C258),C258))</f>
        <v/>
      </c>
      <c r="K258" s="45" t="str">
        <f>IF(G258="","",IF(COUNTIF($G$2:G258,G258)&gt;1,SUMIF($A$2:A258,G258,$D$2:D258),D258) +SUMIF($G$2:G258,G258,$M$2:M258))</f>
        <v/>
      </c>
      <c r="L258" s="45" t="str">
        <f t="shared" si="22"/>
        <v/>
      </c>
      <c r="M258" s="46" t="str">
        <f>IF(G258="","",IF(B258 = "BUY", 0,(E258-VLOOKUP(CONCATENATE(G258,(H258-1)),$I$2:L257,4,FALSE))*-C258))</f>
        <v/>
      </c>
    </row>
    <row r="259" spans="1:13" ht="15" thickBot="1" x14ac:dyDescent="0.35">
      <c r="A259" s="28" t="str">
        <f>IF('US Transaction'!A259= "","",'US Transaction'!A259)</f>
        <v/>
      </c>
      <c r="B259" s="28" t="str">
        <f>IF('US Transaction'!B259= "","",'US Transaction'!B259)</f>
        <v/>
      </c>
      <c r="C259" s="28" t="str">
        <f>IF('US Transaction'!C259= "","",IF(B259="BUY",'US Transaction'!C259,-'US Transaction'!C259))</f>
        <v/>
      </c>
      <c r="D259" s="28" t="str">
        <f>IF('US Transaction'!D259= "","",IF(B259="BUY",'US Transaction'!D259,-'US Transaction'!D259))</f>
        <v/>
      </c>
      <c r="E259" s="28" t="str">
        <f>IF('US Transaction'!E259= "","",'US Transaction'!E259)</f>
        <v/>
      </c>
      <c r="F259" s="23"/>
      <c r="G259" s="28" t="str">
        <f t="shared" ref="G259:G300" si="23">A259</f>
        <v/>
      </c>
      <c r="H259" s="28" t="str">
        <f>IF(A259="","",COUNTIF($G$2:G259,G259))</f>
        <v/>
      </c>
      <c r="I259" s="28" t="str">
        <f t="shared" ref="I259:I300" si="24">_xlfn.CONCAT(G259,H259)</f>
        <v/>
      </c>
      <c r="J259" s="28" t="str">
        <f>IF(G259="","",IF(COUNTIF($G$2:G259,G259)&gt;1,SUMIF($A$2:A259,G259,$C$2:C259),C259))</f>
        <v/>
      </c>
      <c r="K259" s="45" t="str">
        <f>IF(G259="","",IF(COUNTIF($G$2:G259,G259)&gt;1,SUMIF($A$2:A259,G259,$D$2:D259),D259) +SUMIF($G$2:G259,G259,$M$2:M259))</f>
        <v/>
      </c>
      <c r="L259" s="45" t="str">
        <f t="shared" ref="L259:L300" si="25">IF(G259="","",IFERROR(K259/J259,0))</f>
        <v/>
      </c>
      <c r="M259" s="46" t="str">
        <f>IF(G259="","",IF(B259 = "BUY", 0,(E259-VLOOKUP(CONCATENATE(G259,(H259-1)),$I$2:L258,4,FALSE))*-C259))</f>
        <v/>
      </c>
    </row>
    <row r="260" spans="1:13" ht="15" thickBot="1" x14ac:dyDescent="0.35">
      <c r="A260" s="28" t="str">
        <f>IF('US Transaction'!A260= "","",'US Transaction'!A260)</f>
        <v/>
      </c>
      <c r="B260" s="28" t="str">
        <f>IF('US Transaction'!B260= "","",'US Transaction'!B260)</f>
        <v/>
      </c>
      <c r="C260" s="28" t="str">
        <f>IF('US Transaction'!C260= "","",IF(B260="BUY",'US Transaction'!C260,-'US Transaction'!C260))</f>
        <v/>
      </c>
      <c r="D260" s="28" t="str">
        <f>IF('US Transaction'!D260= "","",IF(B260="BUY",'US Transaction'!D260,-'US Transaction'!D260))</f>
        <v/>
      </c>
      <c r="E260" s="28" t="str">
        <f>IF('US Transaction'!E260= "","",'US Transaction'!E260)</f>
        <v/>
      </c>
      <c r="F260" s="23"/>
      <c r="G260" s="28" t="str">
        <f t="shared" si="23"/>
        <v/>
      </c>
      <c r="H260" s="28" t="str">
        <f>IF(A260="","",COUNTIF($G$2:G260,G260))</f>
        <v/>
      </c>
      <c r="I260" s="28" t="str">
        <f t="shared" si="24"/>
        <v/>
      </c>
      <c r="J260" s="28" t="str">
        <f>IF(G260="","",IF(COUNTIF($G$2:G260,G260)&gt;1,SUMIF($A$2:A260,G260,$C$2:C260),C260))</f>
        <v/>
      </c>
      <c r="K260" s="45" t="str">
        <f>IF(G260="","",IF(COUNTIF($G$2:G260,G260)&gt;1,SUMIF($A$2:A260,G260,$D$2:D260),D260) +SUMIF($G$2:G260,G260,$M$2:M260))</f>
        <v/>
      </c>
      <c r="L260" s="45" t="str">
        <f t="shared" si="25"/>
        <v/>
      </c>
      <c r="M260" s="46" t="str">
        <f>IF(G260="","",IF(B260 = "BUY", 0,(E260-VLOOKUP(CONCATENATE(G260,(H260-1)),$I$2:L259,4,FALSE))*-C260))</f>
        <v/>
      </c>
    </row>
    <row r="261" spans="1:13" ht="15" thickBot="1" x14ac:dyDescent="0.35">
      <c r="A261" s="28" t="str">
        <f>IF('US Transaction'!A261= "","",'US Transaction'!A261)</f>
        <v/>
      </c>
      <c r="B261" s="28" t="str">
        <f>IF('US Transaction'!B261= "","",'US Transaction'!B261)</f>
        <v/>
      </c>
      <c r="C261" s="28" t="str">
        <f>IF('US Transaction'!C261= "","",IF(B261="BUY",'US Transaction'!C261,-'US Transaction'!C261))</f>
        <v/>
      </c>
      <c r="D261" s="28" t="str">
        <f>IF('US Transaction'!D261= "","",IF(B261="BUY",'US Transaction'!D261,-'US Transaction'!D261))</f>
        <v/>
      </c>
      <c r="E261" s="28" t="str">
        <f>IF('US Transaction'!E261= "","",'US Transaction'!E261)</f>
        <v/>
      </c>
      <c r="F261" s="23"/>
      <c r="G261" s="28" t="str">
        <f t="shared" si="23"/>
        <v/>
      </c>
      <c r="H261" s="28" t="str">
        <f>IF(A261="","",COUNTIF($G$2:G261,G261))</f>
        <v/>
      </c>
      <c r="I261" s="28" t="str">
        <f t="shared" si="24"/>
        <v/>
      </c>
      <c r="J261" s="28" t="str">
        <f>IF(G261="","",IF(COUNTIF($G$2:G261,G261)&gt;1,SUMIF($A$2:A261,G261,$C$2:C261),C261))</f>
        <v/>
      </c>
      <c r="K261" s="45" t="str">
        <f>IF(G261="","",IF(COUNTIF($G$2:G261,G261)&gt;1,SUMIF($A$2:A261,G261,$D$2:D261),D261) +SUMIF($G$2:G261,G261,$M$2:M261))</f>
        <v/>
      </c>
      <c r="L261" s="45" t="str">
        <f t="shared" si="25"/>
        <v/>
      </c>
      <c r="M261" s="46" t="str">
        <f>IF(G261="","",IF(B261 = "BUY", 0,(E261-VLOOKUP(CONCATENATE(G261,(H261-1)),$I$2:L260,4,FALSE))*-C261))</f>
        <v/>
      </c>
    </row>
    <row r="262" spans="1:13" ht="15" thickBot="1" x14ac:dyDescent="0.35">
      <c r="A262" s="28" t="str">
        <f>IF('US Transaction'!A262= "","",'US Transaction'!A262)</f>
        <v/>
      </c>
      <c r="B262" s="28" t="str">
        <f>IF('US Transaction'!B262= "","",'US Transaction'!B262)</f>
        <v/>
      </c>
      <c r="C262" s="28" t="str">
        <f>IF('US Transaction'!C262= "","",IF(B262="BUY",'US Transaction'!C262,-'US Transaction'!C262))</f>
        <v/>
      </c>
      <c r="D262" s="28" t="str">
        <f>IF('US Transaction'!D262= "","",IF(B262="BUY",'US Transaction'!D262,-'US Transaction'!D262))</f>
        <v/>
      </c>
      <c r="E262" s="28" t="str">
        <f>IF('US Transaction'!E262= "","",'US Transaction'!E262)</f>
        <v/>
      </c>
      <c r="F262" s="23"/>
      <c r="G262" s="28" t="str">
        <f t="shared" si="23"/>
        <v/>
      </c>
      <c r="H262" s="28" t="str">
        <f>IF(A262="","",COUNTIF($G$2:G262,G262))</f>
        <v/>
      </c>
      <c r="I262" s="28" t="str">
        <f t="shared" si="24"/>
        <v/>
      </c>
      <c r="J262" s="28" t="str">
        <f>IF(G262="","",IF(COUNTIF($G$2:G262,G262)&gt;1,SUMIF($A$2:A262,G262,$C$2:C262),C262))</f>
        <v/>
      </c>
      <c r="K262" s="45" t="str">
        <f>IF(G262="","",IF(COUNTIF($G$2:G262,G262)&gt;1,SUMIF($A$2:A262,G262,$D$2:D262),D262) +SUMIF($G$2:G262,G262,$M$2:M262))</f>
        <v/>
      </c>
      <c r="L262" s="45" t="str">
        <f t="shared" si="25"/>
        <v/>
      </c>
      <c r="M262" s="46" t="str">
        <f>IF(G262="","",IF(B262 = "BUY", 0,(E262-VLOOKUP(CONCATENATE(G262,(H262-1)),$I$2:L261,4,FALSE))*-C262))</f>
        <v/>
      </c>
    </row>
    <row r="263" spans="1:13" ht="15" thickBot="1" x14ac:dyDescent="0.35">
      <c r="A263" s="28" t="str">
        <f>IF('US Transaction'!A263= "","",'US Transaction'!A263)</f>
        <v/>
      </c>
      <c r="B263" s="28" t="str">
        <f>IF('US Transaction'!B263= "","",'US Transaction'!B263)</f>
        <v/>
      </c>
      <c r="C263" s="28" t="str">
        <f>IF('US Transaction'!C263= "","",IF(B263="BUY",'US Transaction'!C263,-'US Transaction'!C263))</f>
        <v/>
      </c>
      <c r="D263" s="28" t="str">
        <f>IF('US Transaction'!D263= "","",IF(B263="BUY",'US Transaction'!D263,-'US Transaction'!D263))</f>
        <v/>
      </c>
      <c r="E263" s="28" t="str">
        <f>IF('US Transaction'!E263= "","",'US Transaction'!E263)</f>
        <v/>
      </c>
      <c r="F263" s="23"/>
      <c r="G263" s="28" t="str">
        <f t="shared" si="23"/>
        <v/>
      </c>
      <c r="H263" s="28" t="str">
        <f>IF(A263="","",COUNTIF($G$2:G263,G263))</f>
        <v/>
      </c>
      <c r="I263" s="28" t="str">
        <f t="shared" si="24"/>
        <v/>
      </c>
      <c r="J263" s="28" t="str">
        <f>IF(G263="","",IF(COUNTIF($G$2:G263,G263)&gt;1,SUMIF($A$2:A263,G263,$C$2:C263),C263))</f>
        <v/>
      </c>
      <c r="K263" s="45" t="str">
        <f>IF(G263="","",IF(COUNTIF($G$2:G263,G263)&gt;1,SUMIF($A$2:A263,G263,$D$2:D263),D263) +SUMIF($G$2:G263,G263,$M$2:M263))</f>
        <v/>
      </c>
      <c r="L263" s="45" t="str">
        <f t="shared" si="25"/>
        <v/>
      </c>
      <c r="M263" s="46" t="str">
        <f>IF(G263="","",IF(B263 = "BUY", 0,(E263-VLOOKUP(CONCATENATE(G263,(H263-1)),$I$2:L262,4,FALSE))*-C263))</f>
        <v/>
      </c>
    </row>
    <row r="264" spans="1:13" ht="15" thickBot="1" x14ac:dyDescent="0.35">
      <c r="A264" s="28" t="str">
        <f>IF('US Transaction'!A264= "","",'US Transaction'!A264)</f>
        <v/>
      </c>
      <c r="B264" s="28" t="str">
        <f>IF('US Transaction'!B264= "","",'US Transaction'!B264)</f>
        <v/>
      </c>
      <c r="C264" s="28" t="str">
        <f>IF('US Transaction'!C264= "","",IF(B264="BUY",'US Transaction'!C264,-'US Transaction'!C264))</f>
        <v/>
      </c>
      <c r="D264" s="28" t="str">
        <f>IF('US Transaction'!D264= "","",IF(B264="BUY",'US Transaction'!D264,-'US Transaction'!D264))</f>
        <v/>
      </c>
      <c r="E264" s="28" t="str">
        <f>IF('US Transaction'!E264= "","",'US Transaction'!E264)</f>
        <v/>
      </c>
      <c r="F264" s="23"/>
      <c r="G264" s="28" t="str">
        <f t="shared" si="23"/>
        <v/>
      </c>
      <c r="H264" s="28" t="str">
        <f>IF(A264="","",COUNTIF($G$2:G264,G264))</f>
        <v/>
      </c>
      <c r="I264" s="28" t="str">
        <f t="shared" si="24"/>
        <v/>
      </c>
      <c r="J264" s="28" t="str">
        <f>IF(G264="","",IF(COUNTIF($G$2:G264,G264)&gt;1,SUMIF($A$2:A264,G264,$C$2:C264),C264))</f>
        <v/>
      </c>
      <c r="K264" s="45" t="str">
        <f>IF(G264="","",IF(COUNTIF($G$2:G264,G264)&gt;1,SUMIF($A$2:A264,G264,$D$2:D264),D264) +SUMIF($G$2:G264,G264,$M$2:M264))</f>
        <v/>
      </c>
      <c r="L264" s="45" t="str">
        <f t="shared" si="25"/>
        <v/>
      </c>
      <c r="M264" s="46" t="str">
        <f>IF(G264="","",IF(B264 = "BUY", 0,(E264-VLOOKUP(CONCATENATE(G264,(H264-1)),$I$2:L263,4,FALSE))*-C264))</f>
        <v/>
      </c>
    </row>
    <row r="265" spans="1:13" ht="15" thickBot="1" x14ac:dyDescent="0.35">
      <c r="A265" s="28" t="str">
        <f>IF('US Transaction'!A265= "","",'US Transaction'!A265)</f>
        <v/>
      </c>
      <c r="B265" s="28" t="str">
        <f>IF('US Transaction'!B265= "","",'US Transaction'!B265)</f>
        <v/>
      </c>
      <c r="C265" s="28" t="str">
        <f>IF('US Transaction'!C265= "","",IF(B265="BUY",'US Transaction'!C265,-'US Transaction'!C265))</f>
        <v/>
      </c>
      <c r="D265" s="28" t="str">
        <f>IF('US Transaction'!D265= "","",IF(B265="BUY",'US Transaction'!D265,-'US Transaction'!D265))</f>
        <v/>
      </c>
      <c r="E265" s="28" t="str">
        <f>IF('US Transaction'!E265= "","",'US Transaction'!E265)</f>
        <v/>
      </c>
      <c r="F265" s="23"/>
      <c r="G265" s="28" t="str">
        <f t="shared" si="23"/>
        <v/>
      </c>
      <c r="H265" s="28" t="str">
        <f>IF(A265="","",COUNTIF($G$2:G265,G265))</f>
        <v/>
      </c>
      <c r="I265" s="28" t="str">
        <f t="shared" si="24"/>
        <v/>
      </c>
      <c r="J265" s="28" t="str">
        <f>IF(G265="","",IF(COUNTIF($G$2:G265,G265)&gt;1,SUMIF($A$2:A265,G265,$C$2:C265),C265))</f>
        <v/>
      </c>
      <c r="K265" s="45" t="str">
        <f>IF(G265="","",IF(COUNTIF($G$2:G265,G265)&gt;1,SUMIF($A$2:A265,G265,$D$2:D265),D265) +SUMIF($G$2:G265,G265,$M$2:M265))</f>
        <v/>
      </c>
      <c r="L265" s="45" t="str">
        <f t="shared" si="25"/>
        <v/>
      </c>
      <c r="M265" s="46" t="str">
        <f>IF(G265="","",IF(B265 = "BUY", 0,(E265-VLOOKUP(CONCATENATE(G265,(H265-1)),$I$2:L264,4,FALSE))*-C265))</f>
        <v/>
      </c>
    </row>
    <row r="266" spans="1:13" ht="15" thickBot="1" x14ac:dyDescent="0.35">
      <c r="A266" s="28" t="str">
        <f>IF('US Transaction'!A266= "","",'US Transaction'!A266)</f>
        <v/>
      </c>
      <c r="B266" s="28" t="str">
        <f>IF('US Transaction'!B266= "","",'US Transaction'!B266)</f>
        <v/>
      </c>
      <c r="C266" s="28" t="str">
        <f>IF('US Transaction'!C266= "","",IF(B266="BUY",'US Transaction'!C266,-'US Transaction'!C266))</f>
        <v/>
      </c>
      <c r="D266" s="28" t="str">
        <f>IF('US Transaction'!D266= "","",IF(B266="BUY",'US Transaction'!D266,-'US Transaction'!D266))</f>
        <v/>
      </c>
      <c r="E266" s="28" t="str">
        <f>IF('US Transaction'!E266= "","",'US Transaction'!E266)</f>
        <v/>
      </c>
      <c r="F266" s="23"/>
      <c r="G266" s="28" t="str">
        <f t="shared" si="23"/>
        <v/>
      </c>
      <c r="H266" s="28" t="str">
        <f>IF(A266="","",COUNTIF($G$2:G266,G266))</f>
        <v/>
      </c>
      <c r="I266" s="28" t="str">
        <f t="shared" si="24"/>
        <v/>
      </c>
      <c r="J266" s="28" t="str">
        <f>IF(G266="","",IF(COUNTIF($G$2:G266,G266)&gt;1,SUMIF($A$2:A266,G266,$C$2:C266),C266))</f>
        <v/>
      </c>
      <c r="K266" s="45" t="str">
        <f>IF(G266="","",IF(COUNTIF($G$2:G266,G266)&gt;1,SUMIF($A$2:A266,G266,$D$2:D266),D266) +SUMIF($G$2:G266,G266,$M$2:M266))</f>
        <v/>
      </c>
      <c r="L266" s="45" t="str">
        <f t="shared" si="25"/>
        <v/>
      </c>
      <c r="M266" s="46" t="str">
        <f>IF(G266="","",IF(B266 = "BUY", 0,(E266-VLOOKUP(CONCATENATE(G266,(H266-1)),$I$2:L265,4,FALSE))*-C266))</f>
        <v/>
      </c>
    </row>
    <row r="267" spans="1:13" ht="15" thickBot="1" x14ac:dyDescent="0.35">
      <c r="A267" s="28" t="str">
        <f>IF('US Transaction'!A267= "","",'US Transaction'!A267)</f>
        <v/>
      </c>
      <c r="B267" s="28" t="str">
        <f>IF('US Transaction'!B267= "","",'US Transaction'!B267)</f>
        <v/>
      </c>
      <c r="C267" s="28" t="str">
        <f>IF('US Transaction'!C267= "","",IF(B267="BUY",'US Transaction'!C267,-'US Transaction'!C267))</f>
        <v/>
      </c>
      <c r="D267" s="28" t="str">
        <f>IF('US Transaction'!D267= "","",IF(B267="BUY",'US Transaction'!D267,-'US Transaction'!D267))</f>
        <v/>
      </c>
      <c r="E267" s="28" t="str">
        <f>IF('US Transaction'!E267= "","",'US Transaction'!E267)</f>
        <v/>
      </c>
      <c r="F267" s="23"/>
      <c r="G267" s="28" t="str">
        <f t="shared" si="23"/>
        <v/>
      </c>
      <c r="H267" s="28" t="str">
        <f>IF(A267="","",COUNTIF($G$2:G267,G267))</f>
        <v/>
      </c>
      <c r="I267" s="28" t="str">
        <f t="shared" si="24"/>
        <v/>
      </c>
      <c r="J267" s="28" t="str">
        <f>IF(G267="","",IF(COUNTIF($G$2:G267,G267)&gt;1,SUMIF($A$2:A267,G267,$C$2:C267),C267))</f>
        <v/>
      </c>
      <c r="K267" s="45" t="str">
        <f>IF(G267="","",IF(COUNTIF($G$2:G267,G267)&gt;1,SUMIF($A$2:A267,G267,$D$2:D267),D267) +SUMIF($G$2:G267,G267,$M$2:M267))</f>
        <v/>
      </c>
      <c r="L267" s="45" t="str">
        <f t="shared" si="25"/>
        <v/>
      </c>
      <c r="M267" s="46" t="str">
        <f>IF(G267="","",IF(B267 = "BUY", 0,(E267-VLOOKUP(CONCATENATE(G267,(H267-1)),$I$2:L266,4,FALSE))*-C267))</f>
        <v/>
      </c>
    </row>
    <row r="268" spans="1:13" ht="15" thickBot="1" x14ac:dyDescent="0.35">
      <c r="A268" s="28" t="str">
        <f>IF('US Transaction'!A268= "","",'US Transaction'!A268)</f>
        <v/>
      </c>
      <c r="B268" s="28" t="str">
        <f>IF('US Transaction'!B268= "","",'US Transaction'!B268)</f>
        <v/>
      </c>
      <c r="C268" s="28" t="str">
        <f>IF('US Transaction'!C268= "","",IF(B268="BUY",'US Transaction'!C268,-'US Transaction'!C268))</f>
        <v/>
      </c>
      <c r="D268" s="28" t="str">
        <f>IF('US Transaction'!D268= "","",IF(B268="BUY",'US Transaction'!D268,-'US Transaction'!D268))</f>
        <v/>
      </c>
      <c r="E268" s="28" t="str">
        <f>IF('US Transaction'!E268= "","",'US Transaction'!E268)</f>
        <v/>
      </c>
      <c r="F268" s="23"/>
      <c r="G268" s="28" t="str">
        <f t="shared" si="23"/>
        <v/>
      </c>
      <c r="H268" s="28" t="str">
        <f>IF(A268="","",COUNTIF($G$2:G268,G268))</f>
        <v/>
      </c>
      <c r="I268" s="28" t="str">
        <f t="shared" si="24"/>
        <v/>
      </c>
      <c r="J268" s="28" t="str">
        <f>IF(G268="","",IF(COUNTIF($G$2:G268,G268)&gt;1,SUMIF($A$2:A268,G268,$C$2:C268),C268))</f>
        <v/>
      </c>
      <c r="K268" s="45" t="str">
        <f>IF(G268="","",IF(COUNTIF($G$2:G268,G268)&gt;1,SUMIF($A$2:A268,G268,$D$2:D268),D268) +SUMIF($G$2:G268,G268,$M$2:M268))</f>
        <v/>
      </c>
      <c r="L268" s="45" t="str">
        <f t="shared" si="25"/>
        <v/>
      </c>
      <c r="M268" s="46" t="str">
        <f>IF(G268="","",IF(B268 = "BUY", 0,(E268-VLOOKUP(CONCATENATE(G268,(H268-1)),$I$2:L267,4,FALSE))*-C268))</f>
        <v/>
      </c>
    </row>
    <row r="269" spans="1:13" ht="15" thickBot="1" x14ac:dyDescent="0.35">
      <c r="A269" s="28" t="str">
        <f>IF('US Transaction'!A269= "","",'US Transaction'!A269)</f>
        <v/>
      </c>
      <c r="B269" s="28" t="str">
        <f>IF('US Transaction'!B269= "","",'US Transaction'!B269)</f>
        <v/>
      </c>
      <c r="C269" s="28" t="str">
        <f>IF('US Transaction'!C269= "","",IF(B269="BUY",'US Transaction'!C269,-'US Transaction'!C269))</f>
        <v/>
      </c>
      <c r="D269" s="28" t="str">
        <f>IF('US Transaction'!D269= "","",IF(B269="BUY",'US Transaction'!D269,-'US Transaction'!D269))</f>
        <v/>
      </c>
      <c r="E269" s="28" t="str">
        <f>IF('US Transaction'!E269= "","",'US Transaction'!E269)</f>
        <v/>
      </c>
      <c r="F269" s="23"/>
      <c r="G269" s="28" t="str">
        <f t="shared" si="23"/>
        <v/>
      </c>
      <c r="H269" s="28" t="str">
        <f>IF(A269="","",COUNTIF($G$2:G269,G269))</f>
        <v/>
      </c>
      <c r="I269" s="28" t="str">
        <f t="shared" si="24"/>
        <v/>
      </c>
      <c r="J269" s="28" t="str">
        <f>IF(G269="","",IF(COUNTIF($G$2:G269,G269)&gt;1,SUMIF($A$2:A269,G269,$C$2:C269),C269))</f>
        <v/>
      </c>
      <c r="K269" s="45" t="str">
        <f>IF(G269="","",IF(COUNTIF($G$2:G269,G269)&gt;1,SUMIF($A$2:A269,G269,$D$2:D269),D269) +SUMIF($G$2:G269,G269,$M$2:M269))</f>
        <v/>
      </c>
      <c r="L269" s="45" t="str">
        <f t="shared" si="25"/>
        <v/>
      </c>
      <c r="M269" s="46" t="str">
        <f>IF(G269="","",IF(B269 = "BUY", 0,(E269-VLOOKUP(CONCATENATE(G269,(H269-1)),$I$2:L268,4,FALSE))*-C269))</f>
        <v/>
      </c>
    </row>
    <row r="270" spans="1:13" ht="15" thickBot="1" x14ac:dyDescent="0.35">
      <c r="A270" s="28" t="str">
        <f>IF('US Transaction'!A270= "","",'US Transaction'!A270)</f>
        <v/>
      </c>
      <c r="B270" s="28" t="str">
        <f>IF('US Transaction'!B270= "","",'US Transaction'!B270)</f>
        <v/>
      </c>
      <c r="C270" s="28" t="str">
        <f>IF('US Transaction'!C270= "","",IF(B270="BUY",'US Transaction'!C270,-'US Transaction'!C270))</f>
        <v/>
      </c>
      <c r="D270" s="28" t="str">
        <f>IF('US Transaction'!D270= "","",IF(B270="BUY",'US Transaction'!D270,-'US Transaction'!D270))</f>
        <v/>
      </c>
      <c r="E270" s="28" t="str">
        <f>IF('US Transaction'!E270= "","",'US Transaction'!E270)</f>
        <v/>
      </c>
      <c r="F270" s="23"/>
      <c r="G270" s="28" t="str">
        <f t="shared" si="23"/>
        <v/>
      </c>
      <c r="H270" s="28" t="str">
        <f>IF(A270="","",COUNTIF($G$2:G270,G270))</f>
        <v/>
      </c>
      <c r="I270" s="28" t="str">
        <f t="shared" si="24"/>
        <v/>
      </c>
      <c r="J270" s="28" t="str">
        <f>IF(G270="","",IF(COUNTIF($G$2:G270,G270)&gt;1,SUMIF($A$2:A270,G270,$C$2:C270),C270))</f>
        <v/>
      </c>
      <c r="K270" s="45" t="str">
        <f>IF(G270="","",IF(COUNTIF($G$2:G270,G270)&gt;1,SUMIF($A$2:A270,G270,$D$2:D270),D270) +SUMIF($G$2:G270,G270,$M$2:M270))</f>
        <v/>
      </c>
      <c r="L270" s="45" t="str">
        <f t="shared" si="25"/>
        <v/>
      </c>
      <c r="M270" s="46" t="str">
        <f>IF(G270="","",IF(B270 = "BUY", 0,(E270-VLOOKUP(CONCATENATE(G270,(H270-1)),$I$2:L269,4,FALSE))*-C270))</f>
        <v/>
      </c>
    </row>
    <row r="271" spans="1:13" ht="15" thickBot="1" x14ac:dyDescent="0.35">
      <c r="A271" s="28" t="str">
        <f>IF('US Transaction'!A271= "","",'US Transaction'!A271)</f>
        <v/>
      </c>
      <c r="B271" s="28" t="str">
        <f>IF('US Transaction'!B271= "","",'US Transaction'!B271)</f>
        <v/>
      </c>
      <c r="C271" s="28" t="str">
        <f>IF('US Transaction'!C271= "","",IF(B271="BUY",'US Transaction'!C271,-'US Transaction'!C271))</f>
        <v/>
      </c>
      <c r="D271" s="28" t="str">
        <f>IF('US Transaction'!D271= "","",IF(B271="BUY",'US Transaction'!D271,-'US Transaction'!D271))</f>
        <v/>
      </c>
      <c r="E271" s="28" t="str">
        <f>IF('US Transaction'!E271= "","",'US Transaction'!E271)</f>
        <v/>
      </c>
      <c r="F271" s="23"/>
      <c r="G271" s="28" t="str">
        <f t="shared" si="23"/>
        <v/>
      </c>
      <c r="H271" s="28" t="str">
        <f>IF(A271="","",COUNTIF($G$2:G271,G271))</f>
        <v/>
      </c>
      <c r="I271" s="28" t="str">
        <f t="shared" si="24"/>
        <v/>
      </c>
      <c r="J271" s="28" t="str">
        <f>IF(G271="","",IF(COUNTIF($G$2:G271,G271)&gt;1,SUMIF($A$2:A271,G271,$C$2:C271),C271))</f>
        <v/>
      </c>
      <c r="K271" s="45" t="str">
        <f>IF(G271="","",IF(COUNTIF($G$2:G271,G271)&gt;1,SUMIF($A$2:A271,G271,$D$2:D271),D271) +SUMIF($G$2:G271,G271,$M$2:M271))</f>
        <v/>
      </c>
      <c r="L271" s="45" t="str">
        <f t="shared" si="25"/>
        <v/>
      </c>
      <c r="M271" s="46" t="str">
        <f>IF(G271="","",IF(B271 = "BUY", 0,(E271-VLOOKUP(CONCATENATE(G271,(H271-1)),$I$2:L270,4,FALSE))*-C271))</f>
        <v/>
      </c>
    </row>
    <row r="272" spans="1:13" ht="15" thickBot="1" x14ac:dyDescent="0.35">
      <c r="A272" s="28" t="str">
        <f>IF('US Transaction'!A272= "","",'US Transaction'!A272)</f>
        <v/>
      </c>
      <c r="B272" s="28" t="str">
        <f>IF('US Transaction'!B272= "","",'US Transaction'!B272)</f>
        <v/>
      </c>
      <c r="C272" s="28" t="str">
        <f>IF('US Transaction'!C272= "","",IF(B272="BUY",'US Transaction'!C272,-'US Transaction'!C272))</f>
        <v/>
      </c>
      <c r="D272" s="28" t="str">
        <f>IF('US Transaction'!D272= "","",IF(B272="BUY",'US Transaction'!D272,-'US Transaction'!D272))</f>
        <v/>
      </c>
      <c r="E272" s="28" t="str">
        <f>IF('US Transaction'!E272= "","",'US Transaction'!E272)</f>
        <v/>
      </c>
      <c r="F272" s="23"/>
      <c r="G272" s="28" t="str">
        <f t="shared" si="23"/>
        <v/>
      </c>
      <c r="H272" s="28" t="str">
        <f>IF(A272="","",COUNTIF($G$2:G272,G272))</f>
        <v/>
      </c>
      <c r="I272" s="28" t="str">
        <f t="shared" si="24"/>
        <v/>
      </c>
      <c r="J272" s="28" t="str">
        <f>IF(G272="","",IF(COUNTIF($G$2:G272,G272)&gt;1,SUMIF($A$2:A272,G272,$C$2:C272),C272))</f>
        <v/>
      </c>
      <c r="K272" s="45" t="str">
        <f>IF(G272="","",IF(COUNTIF($G$2:G272,G272)&gt;1,SUMIF($A$2:A272,G272,$D$2:D272),D272) +SUMIF($G$2:G272,G272,$M$2:M272))</f>
        <v/>
      </c>
      <c r="L272" s="45" t="str">
        <f t="shared" si="25"/>
        <v/>
      </c>
      <c r="M272" s="46" t="str">
        <f>IF(G272="","",IF(B272 = "BUY", 0,(E272-VLOOKUP(CONCATENATE(G272,(H272-1)),$I$2:L271,4,FALSE))*-C272))</f>
        <v/>
      </c>
    </row>
    <row r="273" spans="1:13" ht="15" thickBot="1" x14ac:dyDescent="0.35">
      <c r="A273" s="28" t="str">
        <f>IF('US Transaction'!A273= "","",'US Transaction'!A273)</f>
        <v/>
      </c>
      <c r="B273" s="28" t="str">
        <f>IF('US Transaction'!B273= "","",'US Transaction'!B273)</f>
        <v/>
      </c>
      <c r="C273" s="28" t="str">
        <f>IF('US Transaction'!C273= "","",IF(B273="BUY",'US Transaction'!C273,-'US Transaction'!C273))</f>
        <v/>
      </c>
      <c r="D273" s="28" t="str">
        <f>IF('US Transaction'!D273= "","",IF(B273="BUY",'US Transaction'!D273,-'US Transaction'!D273))</f>
        <v/>
      </c>
      <c r="E273" s="28" t="str">
        <f>IF('US Transaction'!E273= "","",'US Transaction'!E273)</f>
        <v/>
      </c>
      <c r="F273" s="23"/>
      <c r="G273" s="28" t="str">
        <f t="shared" si="23"/>
        <v/>
      </c>
      <c r="H273" s="28" t="str">
        <f>IF(A273="","",COUNTIF($G$2:G273,G273))</f>
        <v/>
      </c>
      <c r="I273" s="28" t="str">
        <f t="shared" si="24"/>
        <v/>
      </c>
      <c r="J273" s="28" t="str">
        <f>IF(G273="","",IF(COUNTIF($G$2:G273,G273)&gt;1,SUMIF($A$2:A273,G273,$C$2:C273),C273))</f>
        <v/>
      </c>
      <c r="K273" s="45" t="str">
        <f>IF(G273="","",IF(COUNTIF($G$2:G273,G273)&gt;1,SUMIF($A$2:A273,G273,$D$2:D273),D273) +SUMIF($G$2:G273,G273,$M$2:M273))</f>
        <v/>
      </c>
      <c r="L273" s="45" t="str">
        <f t="shared" si="25"/>
        <v/>
      </c>
      <c r="M273" s="46" t="str">
        <f>IF(G273="","",IF(B273 = "BUY", 0,(E273-VLOOKUP(CONCATENATE(G273,(H273-1)),$I$2:L272,4,FALSE))*-C273))</f>
        <v/>
      </c>
    </row>
    <row r="274" spans="1:13" ht="15" thickBot="1" x14ac:dyDescent="0.35">
      <c r="A274" s="28" t="str">
        <f>IF('US Transaction'!A274= "","",'US Transaction'!A274)</f>
        <v/>
      </c>
      <c r="B274" s="28" t="str">
        <f>IF('US Transaction'!B274= "","",'US Transaction'!B274)</f>
        <v/>
      </c>
      <c r="C274" s="28" t="str">
        <f>IF('US Transaction'!C274= "","",IF(B274="BUY",'US Transaction'!C274,-'US Transaction'!C274))</f>
        <v/>
      </c>
      <c r="D274" s="28" t="str">
        <f>IF('US Transaction'!D274= "","",IF(B274="BUY",'US Transaction'!D274,-'US Transaction'!D274))</f>
        <v/>
      </c>
      <c r="E274" s="28" t="str">
        <f>IF('US Transaction'!E274= "","",'US Transaction'!E274)</f>
        <v/>
      </c>
      <c r="F274" s="23"/>
      <c r="G274" s="28" t="str">
        <f t="shared" si="23"/>
        <v/>
      </c>
      <c r="H274" s="28" t="str">
        <f>IF(A274="","",COUNTIF($G$2:G274,G274))</f>
        <v/>
      </c>
      <c r="I274" s="28" t="str">
        <f t="shared" si="24"/>
        <v/>
      </c>
      <c r="J274" s="28" t="str">
        <f>IF(G274="","",IF(COUNTIF($G$2:G274,G274)&gt;1,SUMIF($A$2:A274,G274,$C$2:C274),C274))</f>
        <v/>
      </c>
      <c r="K274" s="45" t="str">
        <f>IF(G274="","",IF(COUNTIF($G$2:G274,G274)&gt;1,SUMIF($A$2:A274,G274,$D$2:D274),D274) +SUMIF($G$2:G274,G274,$M$2:M274))</f>
        <v/>
      </c>
      <c r="L274" s="45" t="str">
        <f t="shared" si="25"/>
        <v/>
      </c>
      <c r="M274" s="46" t="str">
        <f>IF(G274="","",IF(B274 = "BUY", 0,(E274-VLOOKUP(CONCATENATE(G274,(H274-1)),$I$2:L273,4,FALSE))*-C274))</f>
        <v/>
      </c>
    </row>
    <row r="275" spans="1:13" ht="15" thickBot="1" x14ac:dyDescent="0.35">
      <c r="A275" s="28" t="str">
        <f>IF('US Transaction'!A275= "","",'US Transaction'!A275)</f>
        <v/>
      </c>
      <c r="B275" s="28" t="str">
        <f>IF('US Transaction'!B275= "","",'US Transaction'!B275)</f>
        <v/>
      </c>
      <c r="C275" s="28" t="str">
        <f>IF('US Transaction'!C275= "","",IF(B275="BUY",'US Transaction'!C275,-'US Transaction'!C275))</f>
        <v/>
      </c>
      <c r="D275" s="28" t="str">
        <f>IF('US Transaction'!D275= "","",IF(B275="BUY",'US Transaction'!D275,-'US Transaction'!D275))</f>
        <v/>
      </c>
      <c r="E275" s="28" t="str">
        <f>IF('US Transaction'!E275= "","",'US Transaction'!E275)</f>
        <v/>
      </c>
      <c r="F275" s="23"/>
      <c r="G275" s="28" t="str">
        <f t="shared" si="23"/>
        <v/>
      </c>
      <c r="H275" s="28" t="str">
        <f>IF(A275="","",COUNTIF($G$2:G275,G275))</f>
        <v/>
      </c>
      <c r="I275" s="28" t="str">
        <f t="shared" si="24"/>
        <v/>
      </c>
      <c r="J275" s="28" t="str">
        <f>IF(G275="","",IF(COUNTIF($G$2:G275,G275)&gt;1,SUMIF($A$2:A275,G275,$C$2:C275),C275))</f>
        <v/>
      </c>
      <c r="K275" s="45" t="str">
        <f>IF(G275="","",IF(COUNTIF($G$2:G275,G275)&gt;1,SUMIF($A$2:A275,G275,$D$2:D275),D275) +SUMIF($G$2:G275,G275,$M$2:M275))</f>
        <v/>
      </c>
      <c r="L275" s="45" t="str">
        <f t="shared" si="25"/>
        <v/>
      </c>
      <c r="M275" s="46" t="str">
        <f>IF(G275="","",IF(B275 = "BUY", 0,(E275-VLOOKUP(CONCATENATE(G275,(H275-1)),$I$2:L274,4,FALSE))*-C275))</f>
        <v/>
      </c>
    </row>
    <row r="276" spans="1:13" ht="15" thickBot="1" x14ac:dyDescent="0.35">
      <c r="A276" s="28" t="str">
        <f>IF('US Transaction'!A276= "","",'US Transaction'!A276)</f>
        <v/>
      </c>
      <c r="B276" s="28" t="str">
        <f>IF('US Transaction'!B276= "","",'US Transaction'!B276)</f>
        <v/>
      </c>
      <c r="C276" s="28" t="str">
        <f>IF('US Transaction'!C276= "","",IF(B276="BUY",'US Transaction'!C276,-'US Transaction'!C276))</f>
        <v/>
      </c>
      <c r="D276" s="28" t="str">
        <f>IF('US Transaction'!D276= "","",IF(B276="BUY",'US Transaction'!D276,-'US Transaction'!D276))</f>
        <v/>
      </c>
      <c r="E276" s="28" t="str">
        <f>IF('US Transaction'!E276= "","",'US Transaction'!E276)</f>
        <v/>
      </c>
      <c r="F276" s="23"/>
      <c r="G276" s="28" t="str">
        <f t="shared" si="23"/>
        <v/>
      </c>
      <c r="H276" s="28" t="str">
        <f>IF(A276="","",COUNTIF($G$2:G276,G276))</f>
        <v/>
      </c>
      <c r="I276" s="28" t="str">
        <f t="shared" si="24"/>
        <v/>
      </c>
      <c r="J276" s="28" t="str">
        <f>IF(G276="","",IF(COUNTIF($G$2:G276,G276)&gt;1,SUMIF($A$2:A276,G276,$C$2:C276),C276))</f>
        <v/>
      </c>
      <c r="K276" s="45" t="str">
        <f>IF(G276="","",IF(COUNTIF($G$2:G276,G276)&gt;1,SUMIF($A$2:A276,G276,$D$2:D276),D276) +SUMIF($G$2:G276,G276,$M$2:M276))</f>
        <v/>
      </c>
      <c r="L276" s="45" t="str">
        <f t="shared" si="25"/>
        <v/>
      </c>
      <c r="M276" s="46" t="str">
        <f>IF(G276="","",IF(B276 = "BUY", 0,(E276-VLOOKUP(CONCATENATE(G276,(H276-1)),$I$2:L275,4,FALSE))*-C276))</f>
        <v/>
      </c>
    </row>
    <row r="277" spans="1:13" ht="15" thickBot="1" x14ac:dyDescent="0.35">
      <c r="A277" s="28" t="str">
        <f>IF('US Transaction'!A277= "","",'US Transaction'!A277)</f>
        <v/>
      </c>
      <c r="B277" s="28" t="str">
        <f>IF('US Transaction'!B277= "","",'US Transaction'!B277)</f>
        <v/>
      </c>
      <c r="C277" s="28" t="str">
        <f>IF('US Transaction'!C277= "","",IF(B277="BUY",'US Transaction'!C277,-'US Transaction'!C277))</f>
        <v/>
      </c>
      <c r="D277" s="28" t="str">
        <f>IF('US Transaction'!D277= "","",IF(B277="BUY",'US Transaction'!D277,-'US Transaction'!D277))</f>
        <v/>
      </c>
      <c r="E277" s="28" t="str">
        <f>IF('US Transaction'!E277= "","",'US Transaction'!E277)</f>
        <v/>
      </c>
      <c r="F277" s="23"/>
      <c r="G277" s="28" t="str">
        <f t="shared" si="23"/>
        <v/>
      </c>
      <c r="H277" s="28" t="str">
        <f>IF(A277="","",COUNTIF($G$2:G277,G277))</f>
        <v/>
      </c>
      <c r="I277" s="28" t="str">
        <f t="shared" si="24"/>
        <v/>
      </c>
      <c r="J277" s="28" t="str">
        <f>IF(G277="","",IF(COUNTIF($G$2:G277,G277)&gt;1,SUMIF($A$2:A277,G277,$C$2:C277),C277))</f>
        <v/>
      </c>
      <c r="K277" s="45" t="str">
        <f>IF(G277="","",IF(COUNTIF($G$2:G277,G277)&gt;1,SUMIF($A$2:A277,G277,$D$2:D277),D277) +SUMIF($G$2:G277,G277,$M$2:M277))</f>
        <v/>
      </c>
      <c r="L277" s="45" t="str">
        <f t="shared" si="25"/>
        <v/>
      </c>
      <c r="M277" s="46" t="str">
        <f>IF(G277="","",IF(B277 = "BUY", 0,(E277-VLOOKUP(CONCATENATE(G277,(H277-1)),$I$2:L276,4,FALSE))*-C277))</f>
        <v/>
      </c>
    </row>
    <row r="278" spans="1:13" ht="15" thickBot="1" x14ac:dyDescent="0.35">
      <c r="A278" s="28" t="str">
        <f>IF('US Transaction'!A278= "","",'US Transaction'!A278)</f>
        <v/>
      </c>
      <c r="B278" s="28" t="str">
        <f>IF('US Transaction'!B278= "","",'US Transaction'!B278)</f>
        <v/>
      </c>
      <c r="C278" s="28" t="str">
        <f>IF('US Transaction'!C278= "","",IF(B278="BUY",'US Transaction'!C278,-'US Transaction'!C278))</f>
        <v/>
      </c>
      <c r="D278" s="28" t="str">
        <f>IF('US Transaction'!D278= "","",IF(B278="BUY",'US Transaction'!D278,-'US Transaction'!D278))</f>
        <v/>
      </c>
      <c r="E278" s="28" t="str">
        <f>IF('US Transaction'!E278= "","",'US Transaction'!E278)</f>
        <v/>
      </c>
      <c r="F278" s="23"/>
      <c r="G278" s="28" t="str">
        <f t="shared" si="23"/>
        <v/>
      </c>
      <c r="H278" s="28" t="str">
        <f>IF(A278="","",COUNTIF($G$2:G278,G278))</f>
        <v/>
      </c>
      <c r="I278" s="28" t="str">
        <f t="shared" si="24"/>
        <v/>
      </c>
      <c r="J278" s="28" t="str">
        <f>IF(G278="","",IF(COUNTIF($G$2:G278,G278)&gt;1,SUMIF($A$2:A278,G278,$C$2:C278),C278))</f>
        <v/>
      </c>
      <c r="K278" s="45" t="str">
        <f>IF(G278="","",IF(COUNTIF($G$2:G278,G278)&gt;1,SUMIF($A$2:A278,G278,$D$2:D278),D278) +SUMIF($G$2:G278,G278,$M$2:M278))</f>
        <v/>
      </c>
      <c r="L278" s="45" t="str">
        <f t="shared" si="25"/>
        <v/>
      </c>
      <c r="M278" s="46" t="str">
        <f>IF(G278="","",IF(B278 = "BUY", 0,(E278-VLOOKUP(CONCATENATE(G278,(H278-1)),$I$2:L277,4,FALSE))*-C278))</f>
        <v/>
      </c>
    </row>
    <row r="279" spans="1:13" ht="15" thickBot="1" x14ac:dyDescent="0.35">
      <c r="A279" s="28" t="str">
        <f>IF('US Transaction'!A279= "","",'US Transaction'!A279)</f>
        <v/>
      </c>
      <c r="B279" s="28" t="str">
        <f>IF('US Transaction'!B279= "","",'US Transaction'!B279)</f>
        <v/>
      </c>
      <c r="C279" s="28" t="str">
        <f>IF('US Transaction'!C279= "","",IF(B279="BUY",'US Transaction'!C279,-'US Transaction'!C279))</f>
        <v/>
      </c>
      <c r="D279" s="28" t="str">
        <f>IF('US Transaction'!D279= "","",IF(B279="BUY",'US Transaction'!D279,-'US Transaction'!D279))</f>
        <v/>
      </c>
      <c r="E279" s="28" t="str">
        <f>IF('US Transaction'!E279= "","",'US Transaction'!E279)</f>
        <v/>
      </c>
      <c r="F279" s="23"/>
      <c r="G279" s="28" t="str">
        <f t="shared" si="23"/>
        <v/>
      </c>
      <c r="H279" s="28" t="str">
        <f>IF(A279="","",COUNTIF($G$2:G279,G279))</f>
        <v/>
      </c>
      <c r="I279" s="28" t="str">
        <f t="shared" si="24"/>
        <v/>
      </c>
      <c r="J279" s="28" t="str">
        <f>IF(G279="","",IF(COUNTIF($G$2:G279,G279)&gt;1,SUMIF($A$2:A279,G279,$C$2:C279),C279))</f>
        <v/>
      </c>
      <c r="K279" s="45" t="str">
        <f>IF(G279="","",IF(COUNTIF($G$2:G279,G279)&gt;1,SUMIF($A$2:A279,G279,$D$2:D279),D279) +SUMIF($G$2:G279,G279,$M$2:M279))</f>
        <v/>
      </c>
      <c r="L279" s="45" t="str">
        <f t="shared" si="25"/>
        <v/>
      </c>
      <c r="M279" s="46" t="str">
        <f>IF(G279="","",IF(B279 = "BUY", 0,(E279-VLOOKUP(CONCATENATE(G279,(H279-1)),$I$2:L278,4,FALSE))*-C279))</f>
        <v/>
      </c>
    </row>
    <row r="280" spans="1:13" ht="15" thickBot="1" x14ac:dyDescent="0.35">
      <c r="A280" s="28" t="str">
        <f>IF('US Transaction'!A280= "","",'US Transaction'!A280)</f>
        <v/>
      </c>
      <c r="B280" s="28" t="str">
        <f>IF('US Transaction'!B280= "","",'US Transaction'!B280)</f>
        <v/>
      </c>
      <c r="C280" s="28" t="str">
        <f>IF('US Transaction'!C280= "","",IF(B280="BUY",'US Transaction'!C280,-'US Transaction'!C280))</f>
        <v/>
      </c>
      <c r="D280" s="28" t="str">
        <f>IF('US Transaction'!D280= "","",IF(B280="BUY",'US Transaction'!D280,-'US Transaction'!D280))</f>
        <v/>
      </c>
      <c r="E280" s="28" t="str">
        <f>IF('US Transaction'!E280= "","",'US Transaction'!E280)</f>
        <v/>
      </c>
      <c r="F280" s="23"/>
      <c r="G280" s="28" t="str">
        <f t="shared" si="23"/>
        <v/>
      </c>
      <c r="H280" s="28" t="str">
        <f>IF(A280="","",COUNTIF($G$2:G280,G280))</f>
        <v/>
      </c>
      <c r="I280" s="28" t="str">
        <f t="shared" si="24"/>
        <v/>
      </c>
      <c r="J280" s="28" t="str">
        <f>IF(G280="","",IF(COUNTIF($G$2:G280,G280)&gt;1,SUMIF($A$2:A280,G280,$C$2:C280),C280))</f>
        <v/>
      </c>
      <c r="K280" s="45" t="str">
        <f>IF(G280="","",IF(COUNTIF($G$2:G280,G280)&gt;1,SUMIF($A$2:A280,G280,$D$2:D280),D280) +SUMIF($G$2:G280,G280,$M$2:M280))</f>
        <v/>
      </c>
      <c r="L280" s="45" t="str">
        <f t="shared" si="25"/>
        <v/>
      </c>
      <c r="M280" s="46" t="str">
        <f>IF(G280="","",IF(B280 = "BUY", 0,(E280-VLOOKUP(CONCATENATE(G280,(H280-1)),$I$2:L279,4,FALSE))*-C280))</f>
        <v/>
      </c>
    </row>
    <row r="281" spans="1:13" ht="15" thickBot="1" x14ac:dyDescent="0.35">
      <c r="A281" s="28" t="str">
        <f>IF('US Transaction'!A281= "","",'US Transaction'!A281)</f>
        <v/>
      </c>
      <c r="B281" s="28" t="str">
        <f>IF('US Transaction'!B281= "","",'US Transaction'!B281)</f>
        <v/>
      </c>
      <c r="C281" s="28" t="str">
        <f>IF('US Transaction'!C281= "","",IF(B281="BUY",'US Transaction'!C281,-'US Transaction'!C281))</f>
        <v/>
      </c>
      <c r="D281" s="28" t="str">
        <f>IF('US Transaction'!D281= "","",IF(B281="BUY",'US Transaction'!D281,-'US Transaction'!D281))</f>
        <v/>
      </c>
      <c r="E281" s="28" t="str">
        <f>IF('US Transaction'!E281= "","",'US Transaction'!E281)</f>
        <v/>
      </c>
      <c r="F281" s="23"/>
      <c r="G281" s="28" t="str">
        <f t="shared" si="23"/>
        <v/>
      </c>
      <c r="H281" s="28" t="str">
        <f>IF(A281="","",COUNTIF($G$2:G281,G281))</f>
        <v/>
      </c>
      <c r="I281" s="28" t="str">
        <f t="shared" si="24"/>
        <v/>
      </c>
      <c r="J281" s="28" t="str">
        <f>IF(G281="","",IF(COUNTIF($G$2:G281,G281)&gt;1,SUMIF($A$2:A281,G281,$C$2:C281),C281))</f>
        <v/>
      </c>
      <c r="K281" s="45" t="str">
        <f>IF(G281="","",IF(COUNTIF($G$2:G281,G281)&gt;1,SUMIF($A$2:A281,G281,$D$2:D281),D281) +SUMIF($G$2:G281,G281,$M$2:M281))</f>
        <v/>
      </c>
      <c r="L281" s="45" t="str">
        <f t="shared" si="25"/>
        <v/>
      </c>
      <c r="M281" s="46" t="str">
        <f>IF(G281="","",IF(B281 = "BUY", 0,(E281-VLOOKUP(CONCATENATE(G281,(H281-1)),$I$2:L280,4,FALSE))*-C281))</f>
        <v/>
      </c>
    </row>
    <row r="282" spans="1:13" ht="15" thickBot="1" x14ac:dyDescent="0.35">
      <c r="A282" s="28" t="str">
        <f>IF('US Transaction'!A282= "","",'US Transaction'!A282)</f>
        <v/>
      </c>
      <c r="B282" s="28" t="str">
        <f>IF('US Transaction'!B282= "","",'US Transaction'!B282)</f>
        <v/>
      </c>
      <c r="C282" s="28" t="str">
        <f>IF('US Transaction'!C282= "","",IF(B282="BUY",'US Transaction'!C282,-'US Transaction'!C282))</f>
        <v/>
      </c>
      <c r="D282" s="28" t="str">
        <f>IF('US Transaction'!D282= "","",IF(B282="BUY",'US Transaction'!D282,-'US Transaction'!D282))</f>
        <v/>
      </c>
      <c r="E282" s="28" t="str">
        <f>IF('US Transaction'!E282= "","",'US Transaction'!E282)</f>
        <v/>
      </c>
      <c r="F282" s="23"/>
      <c r="G282" s="28" t="str">
        <f t="shared" si="23"/>
        <v/>
      </c>
      <c r="H282" s="28" t="str">
        <f>IF(A282="","",COUNTIF($G$2:G282,G282))</f>
        <v/>
      </c>
      <c r="I282" s="28" t="str">
        <f t="shared" si="24"/>
        <v/>
      </c>
      <c r="J282" s="28" t="str">
        <f>IF(G282="","",IF(COUNTIF($G$2:G282,G282)&gt;1,SUMIF($A$2:A282,G282,$C$2:C282),C282))</f>
        <v/>
      </c>
      <c r="K282" s="45" t="str">
        <f>IF(G282="","",IF(COUNTIF($G$2:G282,G282)&gt;1,SUMIF($A$2:A282,G282,$D$2:D282),D282) +SUMIF($G$2:G282,G282,$M$2:M282))</f>
        <v/>
      </c>
      <c r="L282" s="45" t="str">
        <f t="shared" si="25"/>
        <v/>
      </c>
      <c r="M282" s="46" t="str">
        <f>IF(G282="","",IF(B282 = "BUY", 0,(E282-VLOOKUP(CONCATENATE(G282,(H282-1)),$I$2:L281,4,FALSE))*-C282))</f>
        <v/>
      </c>
    </row>
    <row r="283" spans="1:13" ht="15" thickBot="1" x14ac:dyDescent="0.35">
      <c r="A283" s="28" t="str">
        <f>IF('US Transaction'!A283= "","",'US Transaction'!A283)</f>
        <v/>
      </c>
      <c r="B283" s="28" t="str">
        <f>IF('US Transaction'!B283= "","",'US Transaction'!B283)</f>
        <v/>
      </c>
      <c r="C283" s="28" t="str">
        <f>IF('US Transaction'!C283= "","",IF(B283="BUY",'US Transaction'!C283,-'US Transaction'!C283))</f>
        <v/>
      </c>
      <c r="D283" s="28" t="str">
        <f>IF('US Transaction'!D283= "","",IF(B283="BUY",'US Transaction'!D283,-'US Transaction'!D283))</f>
        <v/>
      </c>
      <c r="E283" s="28" t="str">
        <f>IF('US Transaction'!E283= "","",'US Transaction'!E283)</f>
        <v/>
      </c>
      <c r="F283" s="23"/>
      <c r="G283" s="28" t="str">
        <f t="shared" si="23"/>
        <v/>
      </c>
      <c r="H283" s="28" t="str">
        <f>IF(A283="","",COUNTIF($G$2:G283,G283))</f>
        <v/>
      </c>
      <c r="I283" s="28" t="str">
        <f t="shared" si="24"/>
        <v/>
      </c>
      <c r="J283" s="28" t="str">
        <f>IF(G283="","",IF(COUNTIF($G$2:G283,G283)&gt;1,SUMIF($A$2:A283,G283,$C$2:C283),C283))</f>
        <v/>
      </c>
      <c r="K283" s="45" t="str">
        <f>IF(G283="","",IF(COUNTIF($G$2:G283,G283)&gt;1,SUMIF($A$2:A283,G283,$D$2:D283),D283) +SUMIF($G$2:G283,G283,$M$2:M283))</f>
        <v/>
      </c>
      <c r="L283" s="45" t="str">
        <f t="shared" si="25"/>
        <v/>
      </c>
      <c r="M283" s="46" t="str">
        <f>IF(G283="","",IF(B283 = "BUY", 0,(E283-VLOOKUP(CONCATENATE(G283,(H283-1)),$I$2:L282,4,FALSE))*-C283))</f>
        <v/>
      </c>
    </row>
    <row r="284" spans="1:13" ht="15" thickBot="1" x14ac:dyDescent="0.35">
      <c r="A284" s="28" t="str">
        <f>IF('US Transaction'!A284= "","",'US Transaction'!A284)</f>
        <v/>
      </c>
      <c r="B284" s="28" t="str">
        <f>IF('US Transaction'!B284= "","",'US Transaction'!B284)</f>
        <v/>
      </c>
      <c r="C284" s="28" t="str">
        <f>IF('US Transaction'!C284= "","",IF(B284="BUY",'US Transaction'!C284,-'US Transaction'!C284))</f>
        <v/>
      </c>
      <c r="D284" s="28" t="str">
        <f>IF('US Transaction'!D284= "","",IF(B284="BUY",'US Transaction'!D284,-'US Transaction'!D284))</f>
        <v/>
      </c>
      <c r="E284" s="28" t="str">
        <f>IF('US Transaction'!E284= "","",'US Transaction'!E284)</f>
        <v/>
      </c>
      <c r="F284" s="23"/>
      <c r="G284" s="28" t="str">
        <f t="shared" si="23"/>
        <v/>
      </c>
      <c r="H284" s="28" t="str">
        <f>IF(A284="","",COUNTIF($G$2:G284,G284))</f>
        <v/>
      </c>
      <c r="I284" s="28" t="str">
        <f t="shared" si="24"/>
        <v/>
      </c>
      <c r="J284" s="28" t="str">
        <f>IF(G284="","",IF(COUNTIF($G$2:G284,G284)&gt;1,SUMIF($A$2:A284,G284,$C$2:C284),C284))</f>
        <v/>
      </c>
      <c r="K284" s="45" t="str">
        <f>IF(G284="","",IF(COUNTIF($G$2:G284,G284)&gt;1,SUMIF($A$2:A284,G284,$D$2:D284),D284) +SUMIF($G$2:G284,G284,$M$2:M284))</f>
        <v/>
      </c>
      <c r="L284" s="45" t="str">
        <f t="shared" si="25"/>
        <v/>
      </c>
      <c r="M284" s="46" t="str">
        <f>IF(G284="","",IF(B284 = "BUY", 0,(E284-VLOOKUP(CONCATENATE(G284,(H284-1)),$I$2:L283,4,FALSE))*-C284))</f>
        <v/>
      </c>
    </row>
    <row r="285" spans="1:13" ht="15" thickBot="1" x14ac:dyDescent="0.35">
      <c r="A285" s="28" t="str">
        <f>IF('US Transaction'!A285= "","",'US Transaction'!A285)</f>
        <v/>
      </c>
      <c r="B285" s="28" t="str">
        <f>IF('US Transaction'!B285= "","",'US Transaction'!B285)</f>
        <v/>
      </c>
      <c r="C285" s="28" t="str">
        <f>IF('US Transaction'!C285= "","",IF(B285="BUY",'US Transaction'!C285,-'US Transaction'!C285))</f>
        <v/>
      </c>
      <c r="D285" s="28" t="str">
        <f>IF('US Transaction'!D285= "","",IF(B285="BUY",'US Transaction'!D285,-'US Transaction'!D285))</f>
        <v/>
      </c>
      <c r="E285" s="28" t="str">
        <f>IF('US Transaction'!E285= "","",'US Transaction'!E285)</f>
        <v/>
      </c>
      <c r="F285" s="23"/>
      <c r="G285" s="28" t="str">
        <f t="shared" si="23"/>
        <v/>
      </c>
      <c r="H285" s="28" t="str">
        <f>IF(A285="","",COUNTIF($G$2:G285,G285))</f>
        <v/>
      </c>
      <c r="I285" s="28" t="str">
        <f t="shared" si="24"/>
        <v/>
      </c>
      <c r="J285" s="28" t="str">
        <f>IF(G285="","",IF(COUNTIF($G$2:G285,G285)&gt;1,SUMIF($A$2:A285,G285,$C$2:C285),C285))</f>
        <v/>
      </c>
      <c r="K285" s="45" t="str">
        <f>IF(G285="","",IF(COUNTIF($G$2:G285,G285)&gt;1,SUMIF($A$2:A285,G285,$D$2:D285),D285) +SUMIF($G$2:G285,G285,$M$2:M285))</f>
        <v/>
      </c>
      <c r="L285" s="45" t="str">
        <f t="shared" si="25"/>
        <v/>
      </c>
      <c r="M285" s="46" t="str">
        <f>IF(G285="","",IF(B285 = "BUY", 0,(E285-VLOOKUP(CONCATENATE(G285,(H285-1)),$I$2:L284,4,FALSE))*-C285))</f>
        <v/>
      </c>
    </row>
    <row r="286" spans="1:13" ht="15" thickBot="1" x14ac:dyDescent="0.35">
      <c r="A286" s="28" t="str">
        <f>IF('US Transaction'!A286= "","",'US Transaction'!A286)</f>
        <v/>
      </c>
      <c r="B286" s="28" t="str">
        <f>IF('US Transaction'!B286= "","",'US Transaction'!B286)</f>
        <v/>
      </c>
      <c r="C286" s="28" t="str">
        <f>IF('US Transaction'!C286= "","",IF(B286="BUY",'US Transaction'!C286,-'US Transaction'!C286))</f>
        <v/>
      </c>
      <c r="D286" s="28" t="str">
        <f>IF('US Transaction'!D286= "","",IF(B286="BUY",'US Transaction'!D286,-'US Transaction'!D286))</f>
        <v/>
      </c>
      <c r="E286" s="28" t="str">
        <f>IF('US Transaction'!E286= "","",'US Transaction'!E286)</f>
        <v/>
      </c>
      <c r="F286" s="23"/>
      <c r="G286" s="28" t="str">
        <f t="shared" si="23"/>
        <v/>
      </c>
      <c r="H286" s="28" t="str">
        <f>IF(A286="","",COUNTIF($G$2:G286,G286))</f>
        <v/>
      </c>
      <c r="I286" s="28" t="str">
        <f t="shared" si="24"/>
        <v/>
      </c>
      <c r="J286" s="28" t="str">
        <f>IF(G286="","",IF(COUNTIF($G$2:G286,G286)&gt;1,SUMIF($A$2:A286,G286,$C$2:C286),C286))</f>
        <v/>
      </c>
      <c r="K286" s="45" t="str">
        <f>IF(G286="","",IF(COUNTIF($G$2:G286,G286)&gt;1,SUMIF($A$2:A286,G286,$D$2:D286),D286) +SUMIF($G$2:G286,G286,$M$2:M286))</f>
        <v/>
      </c>
      <c r="L286" s="45" t="str">
        <f t="shared" si="25"/>
        <v/>
      </c>
      <c r="M286" s="46" t="str">
        <f>IF(G286="","",IF(B286 = "BUY", 0,(E286-VLOOKUP(CONCATENATE(G286,(H286-1)),$I$2:L285,4,FALSE))*-C286))</f>
        <v/>
      </c>
    </row>
    <row r="287" spans="1:13" ht="15" thickBot="1" x14ac:dyDescent="0.35">
      <c r="A287" s="28" t="str">
        <f>IF('US Transaction'!A287= "","",'US Transaction'!A287)</f>
        <v/>
      </c>
      <c r="B287" s="28" t="str">
        <f>IF('US Transaction'!B287= "","",'US Transaction'!B287)</f>
        <v/>
      </c>
      <c r="C287" s="28" t="str">
        <f>IF('US Transaction'!C287= "","",IF(B287="BUY",'US Transaction'!C287,-'US Transaction'!C287))</f>
        <v/>
      </c>
      <c r="D287" s="28" t="str">
        <f>IF('US Transaction'!D287= "","",IF(B287="BUY",'US Transaction'!D287,-'US Transaction'!D287))</f>
        <v/>
      </c>
      <c r="E287" s="28" t="str">
        <f>IF('US Transaction'!E287= "","",'US Transaction'!E287)</f>
        <v/>
      </c>
      <c r="F287" s="23"/>
      <c r="G287" s="28" t="str">
        <f t="shared" si="23"/>
        <v/>
      </c>
      <c r="H287" s="28" t="str">
        <f>IF(A287="","",COUNTIF($G$2:G287,G287))</f>
        <v/>
      </c>
      <c r="I287" s="28" t="str">
        <f t="shared" si="24"/>
        <v/>
      </c>
      <c r="J287" s="28" t="str">
        <f>IF(G287="","",IF(COUNTIF($G$2:G287,G287)&gt;1,SUMIF($A$2:A287,G287,$C$2:C287),C287))</f>
        <v/>
      </c>
      <c r="K287" s="45" t="str">
        <f>IF(G287="","",IF(COUNTIF($G$2:G287,G287)&gt;1,SUMIF($A$2:A287,G287,$D$2:D287),D287) +SUMIF($G$2:G287,G287,$M$2:M287))</f>
        <v/>
      </c>
      <c r="L287" s="45" t="str">
        <f t="shared" si="25"/>
        <v/>
      </c>
      <c r="M287" s="46" t="str">
        <f>IF(G287="","",IF(B287 = "BUY", 0,(E287-VLOOKUP(CONCATENATE(G287,(H287-1)),$I$2:L286,4,FALSE))*-C287))</f>
        <v/>
      </c>
    </row>
    <row r="288" spans="1:13" ht="15" thickBot="1" x14ac:dyDescent="0.35">
      <c r="A288" s="28" t="str">
        <f>IF('US Transaction'!A288= "","",'US Transaction'!A288)</f>
        <v/>
      </c>
      <c r="B288" s="28" t="str">
        <f>IF('US Transaction'!B288= "","",'US Transaction'!B288)</f>
        <v/>
      </c>
      <c r="C288" s="28" t="str">
        <f>IF('US Transaction'!C288= "","",IF(B288="BUY",'US Transaction'!C288,-'US Transaction'!C288))</f>
        <v/>
      </c>
      <c r="D288" s="28" t="str">
        <f>IF('US Transaction'!D288= "","",IF(B288="BUY",'US Transaction'!D288,-'US Transaction'!D288))</f>
        <v/>
      </c>
      <c r="E288" s="28" t="str">
        <f>IF('US Transaction'!E288= "","",'US Transaction'!E288)</f>
        <v/>
      </c>
      <c r="F288" s="23"/>
      <c r="G288" s="28" t="str">
        <f t="shared" si="23"/>
        <v/>
      </c>
      <c r="H288" s="28" t="str">
        <f>IF(A288="","",COUNTIF($G$2:G288,G288))</f>
        <v/>
      </c>
      <c r="I288" s="28" t="str">
        <f t="shared" si="24"/>
        <v/>
      </c>
      <c r="J288" s="28" t="str">
        <f>IF(G288="","",IF(COUNTIF($G$2:G288,G288)&gt;1,SUMIF($A$2:A288,G288,$C$2:C288),C288))</f>
        <v/>
      </c>
      <c r="K288" s="45" t="str">
        <f>IF(G288="","",IF(COUNTIF($G$2:G288,G288)&gt;1,SUMIF($A$2:A288,G288,$D$2:D288),D288) +SUMIF($G$2:G288,G288,$M$2:M288))</f>
        <v/>
      </c>
      <c r="L288" s="45" t="str">
        <f t="shared" si="25"/>
        <v/>
      </c>
      <c r="M288" s="46" t="str">
        <f>IF(G288="","",IF(B288 = "BUY", 0,(E288-VLOOKUP(CONCATENATE(G288,(H288-1)),$I$2:L287,4,FALSE))*-C288))</f>
        <v/>
      </c>
    </row>
    <row r="289" spans="1:13" ht="15" thickBot="1" x14ac:dyDescent="0.35">
      <c r="A289" s="28" t="str">
        <f>IF('US Transaction'!A289= "","",'US Transaction'!A289)</f>
        <v/>
      </c>
      <c r="B289" s="28" t="str">
        <f>IF('US Transaction'!B289= "","",'US Transaction'!B289)</f>
        <v/>
      </c>
      <c r="C289" s="28" t="str">
        <f>IF('US Transaction'!C289= "","",IF(B289="BUY",'US Transaction'!C289,-'US Transaction'!C289))</f>
        <v/>
      </c>
      <c r="D289" s="28" t="str">
        <f>IF('US Transaction'!D289= "","",IF(B289="BUY",'US Transaction'!D289,-'US Transaction'!D289))</f>
        <v/>
      </c>
      <c r="E289" s="28" t="str">
        <f>IF('US Transaction'!E289= "","",'US Transaction'!E289)</f>
        <v/>
      </c>
      <c r="F289" s="23"/>
      <c r="G289" s="28" t="str">
        <f t="shared" si="23"/>
        <v/>
      </c>
      <c r="H289" s="28" t="str">
        <f>IF(A289="","",COUNTIF($G$2:G289,G289))</f>
        <v/>
      </c>
      <c r="I289" s="28" t="str">
        <f t="shared" si="24"/>
        <v/>
      </c>
      <c r="J289" s="28" t="str">
        <f>IF(G289="","",IF(COUNTIF($G$2:G289,G289)&gt;1,SUMIF($A$2:A289,G289,$C$2:C289),C289))</f>
        <v/>
      </c>
      <c r="K289" s="45" t="str">
        <f>IF(G289="","",IF(COUNTIF($G$2:G289,G289)&gt;1,SUMIF($A$2:A289,G289,$D$2:D289),D289) +SUMIF($G$2:G289,G289,$M$2:M289))</f>
        <v/>
      </c>
      <c r="L289" s="45" t="str">
        <f t="shared" si="25"/>
        <v/>
      </c>
      <c r="M289" s="46" t="str">
        <f>IF(G289="","",IF(B289 = "BUY", 0,(E289-VLOOKUP(CONCATENATE(G289,(H289-1)),$I$2:L288,4,FALSE))*-C289))</f>
        <v/>
      </c>
    </row>
    <row r="290" spans="1:13" ht="15" thickBot="1" x14ac:dyDescent="0.35">
      <c r="A290" s="28" t="str">
        <f>IF('US Transaction'!A290= "","",'US Transaction'!A290)</f>
        <v/>
      </c>
      <c r="B290" s="28" t="str">
        <f>IF('US Transaction'!B290= "","",'US Transaction'!B290)</f>
        <v/>
      </c>
      <c r="C290" s="28" t="str">
        <f>IF('US Transaction'!C290= "","",IF(B290="BUY",'US Transaction'!C290,-'US Transaction'!C290))</f>
        <v/>
      </c>
      <c r="D290" s="28" t="str">
        <f>IF('US Transaction'!D290= "","",IF(B290="BUY",'US Transaction'!D290,-'US Transaction'!D290))</f>
        <v/>
      </c>
      <c r="E290" s="28" t="str">
        <f>IF('US Transaction'!E290= "","",'US Transaction'!E290)</f>
        <v/>
      </c>
      <c r="F290" s="23"/>
      <c r="G290" s="28" t="str">
        <f t="shared" si="23"/>
        <v/>
      </c>
      <c r="H290" s="28" t="str">
        <f>IF(A290="","",COUNTIF($G$2:G290,G290))</f>
        <v/>
      </c>
      <c r="I290" s="28" t="str">
        <f t="shared" si="24"/>
        <v/>
      </c>
      <c r="J290" s="28" t="str">
        <f>IF(G290="","",IF(COUNTIF($G$2:G290,G290)&gt;1,SUMIF($A$2:A290,G290,$C$2:C290),C290))</f>
        <v/>
      </c>
      <c r="K290" s="45" t="str">
        <f>IF(G290="","",IF(COUNTIF($G$2:G290,G290)&gt;1,SUMIF($A$2:A290,G290,$D$2:D290),D290) +SUMIF($G$2:G290,G290,$M$2:M290))</f>
        <v/>
      </c>
      <c r="L290" s="45" t="str">
        <f t="shared" si="25"/>
        <v/>
      </c>
      <c r="M290" s="46" t="str">
        <f>IF(G290="","",IF(B290 = "BUY", 0,(E290-VLOOKUP(CONCATENATE(G290,(H290-1)),$I$2:L289,4,FALSE))*-C290))</f>
        <v/>
      </c>
    </row>
    <row r="291" spans="1:13" ht="15" thickBot="1" x14ac:dyDescent="0.35">
      <c r="A291" s="28" t="str">
        <f>IF('US Transaction'!A291= "","",'US Transaction'!A291)</f>
        <v/>
      </c>
      <c r="B291" s="28" t="str">
        <f>IF('US Transaction'!B291= "","",'US Transaction'!B291)</f>
        <v/>
      </c>
      <c r="C291" s="28" t="str">
        <f>IF('US Transaction'!C291= "","",IF(B291="BUY",'US Transaction'!C291,-'US Transaction'!C291))</f>
        <v/>
      </c>
      <c r="D291" s="28" t="str">
        <f>IF('US Transaction'!D291= "","",IF(B291="BUY",'US Transaction'!D291,-'US Transaction'!D291))</f>
        <v/>
      </c>
      <c r="E291" s="28" t="str">
        <f>IF('US Transaction'!E291= "","",'US Transaction'!E291)</f>
        <v/>
      </c>
      <c r="F291" s="23"/>
      <c r="G291" s="28" t="str">
        <f t="shared" si="23"/>
        <v/>
      </c>
      <c r="H291" s="28" t="str">
        <f>IF(A291="","",COUNTIF($G$2:G291,G291))</f>
        <v/>
      </c>
      <c r="I291" s="28" t="str">
        <f t="shared" si="24"/>
        <v/>
      </c>
      <c r="J291" s="28" t="str">
        <f>IF(G291="","",IF(COUNTIF($G$2:G291,G291)&gt;1,SUMIF($A$2:A291,G291,$C$2:C291),C291))</f>
        <v/>
      </c>
      <c r="K291" s="45" t="str">
        <f>IF(G291="","",IF(COUNTIF($G$2:G291,G291)&gt;1,SUMIF($A$2:A291,G291,$D$2:D291),D291) +SUMIF($G$2:G291,G291,$M$2:M291))</f>
        <v/>
      </c>
      <c r="L291" s="45" t="str">
        <f t="shared" si="25"/>
        <v/>
      </c>
      <c r="M291" s="46" t="str">
        <f>IF(G291="","",IF(B291 = "BUY", 0,(E291-VLOOKUP(CONCATENATE(G291,(H291-1)),$I$2:L290,4,FALSE))*-C291))</f>
        <v/>
      </c>
    </row>
    <row r="292" spans="1:13" ht="15" thickBot="1" x14ac:dyDescent="0.35">
      <c r="A292" s="28" t="str">
        <f>IF('US Transaction'!A292= "","",'US Transaction'!A292)</f>
        <v/>
      </c>
      <c r="B292" s="28" t="str">
        <f>IF('US Transaction'!B292= "","",'US Transaction'!B292)</f>
        <v/>
      </c>
      <c r="C292" s="28" t="str">
        <f>IF('US Transaction'!C292= "","",IF(B292="BUY",'US Transaction'!C292,-'US Transaction'!C292))</f>
        <v/>
      </c>
      <c r="D292" s="28" t="str">
        <f>IF('US Transaction'!D292= "","",IF(B292="BUY",'US Transaction'!D292,-'US Transaction'!D292))</f>
        <v/>
      </c>
      <c r="E292" s="28" t="str">
        <f>IF('US Transaction'!E292= "","",'US Transaction'!E292)</f>
        <v/>
      </c>
      <c r="F292" s="23"/>
      <c r="G292" s="28" t="str">
        <f t="shared" si="23"/>
        <v/>
      </c>
      <c r="H292" s="28" t="str">
        <f>IF(A292="","",COUNTIF($G$2:G292,G292))</f>
        <v/>
      </c>
      <c r="I292" s="28" t="str">
        <f t="shared" si="24"/>
        <v/>
      </c>
      <c r="J292" s="28" t="str">
        <f>IF(G292="","",IF(COUNTIF($G$2:G292,G292)&gt;1,SUMIF($A$2:A292,G292,$C$2:C292),C292))</f>
        <v/>
      </c>
      <c r="K292" s="45" t="str">
        <f>IF(G292="","",IF(COUNTIF($G$2:G292,G292)&gt;1,SUMIF($A$2:A292,G292,$D$2:D292),D292) +SUMIF($G$2:G292,G292,$M$2:M292))</f>
        <v/>
      </c>
      <c r="L292" s="45" t="str">
        <f t="shared" si="25"/>
        <v/>
      </c>
      <c r="M292" s="46" t="str">
        <f>IF(G292="","",IF(B292 = "BUY", 0,(E292-VLOOKUP(CONCATENATE(G292,(H292-1)),$I$2:L291,4,FALSE))*-C292))</f>
        <v/>
      </c>
    </row>
    <row r="293" spans="1:13" ht="15" thickBot="1" x14ac:dyDescent="0.35">
      <c r="A293" s="28" t="str">
        <f>IF('US Transaction'!A293= "","",'US Transaction'!A293)</f>
        <v/>
      </c>
      <c r="B293" s="28" t="str">
        <f>IF('US Transaction'!B293= "","",'US Transaction'!B293)</f>
        <v/>
      </c>
      <c r="C293" s="28" t="str">
        <f>IF('US Transaction'!C293= "","",IF(B293="BUY",'US Transaction'!C293,-'US Transaction'!C293))</f>
        <v/>
      </c>
      <c r="D293" s="28" t="str">
        <f>IF('US Transaction'!D293= "","",IF(B293="BUY",'US Transaction'!D293,-'US Transaction'!D293))</f>
        <v/>
      </c>
      <c r="E293" s="28" t="str">
        <f>IF('US Transaction'!E293= "","",'US Transaction'!E293)</f>
        <v/>
      </c>
      <c r="F293" s="23"/>
      <c r="G293" s="28" t="str">
        <f t="shared" si="23"/>
        <v/>
      </c>
      <c r="H293" s="28" t="str">
        <f>IF(A293="","",COUNTIF($G$2:G293,G293))</f>
        <v/>
      </c>
      <c r="I293" s="28" t="str">
        <f t="shared" si="24"/>
        <v/>
      </c>
      <c r="J293" s="28" t="str">
        <f>IF(G293="","",IF(COUNTIF($G$2:G293,G293)&gt;1,SUMIF($A$2:A293,G293,$C$2:C293),C293))</f>
        <v/>
      </c>
      <c r="K293" s="45" t="str">
        <f>IF(G293="","",IF(COUNTIF($G$2:G293,G293)&gt;1,SUMIF($A$2:A293,G293,$D$2:D293),D293) +SUMIF($G$2:G293,G293,$M$2:M293))</f>
        <v/>
      </c>
      <c r="L293" s="45" t="str">
        <f t="shared" si="25"/>
        <v/>
      </c>
      <c r="M293" s="46" t="str">
        <f>IF(G293="","",IF(B293 = "BUY", 0,(E293-VLOOKUP(CONCATENATE(G293,(H293-1)),$I$2:L292,4,FALSE))*-C293))</f>
        <v/>
      </c>
    </row>
    <row r="294" spans="1:13" ht="15" thickBot="1" x14ac:dyDescent="0.35">
      <c r="A294" s="28" t="str">
        <f>IF('US Transaction'!A294= "","",'US Transaction'!A294)</f>
        <v/>
      </c>
      <c r="B294" s="28" t="str">
        <f>IF('US Transaction'!B294= "","",'US Transaction'!B294)</f>
        <v/>
      </c>
      <c r="C294" s="28" t="str">
        <f>IF('US Transaction'!C294= "","",IF(B294="BUY",'US Transaction'!C294,-'US Transaction'!C294))</f>
        <v/>
      </c>
      <c r="D294" s="28" t="str">
        <f>IF('US Transaction'!D294= "","",IF(B294="BUY",'US Transaction'!D294,-'US Transaction'!D294))</f>
        <v/>
      </c>
      <c r="E294" s="28" t="str">
        <f>IF('US Transaction'!E294= "","",'US Transaction'!E294)</f>
        <v/>
      </c>
      <c r="F294" s="23"/>
      <c r="G294" s="28" t="str">
        <f t="shared" si="23"/>
        <v/>
      </c>
      <c r="H294" s="28" t="str">
        <f>IF(A294="","",COUNTIF($G$2:G294,G294))</f>
        <v/>
      </c>
      <c r="I294" s="28" t="str">
        <f t="shared" si="24"/>
        <v/>
      </c>
      <c r="J294" s="28" t="str">
        <f>IF(G294="","",IF(COUNTIF($G$2:G294,G294)&gt;1,SUMIF($A$2:A294,G294,$C$2:C294),C294))</f>
        <v/>
      </c>
      <c r="K294" s="45" t="str">
        <f>IF(G294="","",IF(COUNTIF($G$2:G294,G294)&gt;1,SUMIF($A$2:A294,G294,$D$2:D294),D294) +SUMIF($G$2:G294,G294,$M$2:M294))</f>
        <v/>
      </c>
      <c r="L294" s="45" t="str">
        <f t="shared" si="25"/>
        <v/>
      </c>
      <c r="M294" s="46" t="str">
        <f>IF(G294="","",IF(B294 = "BUY", 0,(E294-VLOOKUP(CONCATENATE(G294,(H294-1)),$I$2:L293,4,FALSE))*-C294))</f>
        <v/>
      </c>
    </row>
    <row r="295" spans="1:13" ht="15" thickBot="1" x14ac:dyDescent="0.35">
      <c r="A295" s="28" t="str">
        <f>IF('US Transaction'!A295= "","",'US Transaction'!A295)</f>
        <v/>
      </c>
      <c r="B295" s="28" t="str">
        <f>IF('US Transaction'!B295= "","",'US Transaction'!B295)</f>
        <v/>
      </c>
      <c r="C295" s="28" t="str">
        <f>IF('US Transaction'!C295= "","",IF(B295="BUY",'US Transaction'!C295,-'US Transaction'!C295))</f>
        <v/>
      </c>
      <c r="D295" s="28" t="str">
        <f>IF('US Transaction'!D295= "","",IF(B295="BUY",'US Transaction'!D295,-'US Transaction'!D295))</f>
        <v/>
      </c>
      <c r="E295" s="28" t="str">
        <f>IF('US Transaction'!E295= "","",'US Transaction'!E295)</f>
        <v/>
      </c>
      <c r="F295" s="23"/>
      <c r="G295" s="28" t="str">
        <f t="shared" si="23"/>
        <v/>
      </c>
      <c r="H295" s="28" t="str">
        <f>IF(A295="","",COUNTIF($G$2:G295,G295))</f>
        <v/>
      </c>
      <c r="I295" s="28" t="str">
        <f t="shared" si="24"/>
        <v/>
      </c>
      <c r="J295" s="28" t="str">
        <f>IF(G295="","",IF(COUNTIF($G$2:G295,G295)&gt;1,SUMIF($A$2:A295,G295,$C$2:C295),C295))</f>
        <v/>
      </c>
      <c r="K295" s="45" t="str">
        <f>IF(G295="","",IF(COUNTIF($G$2:G295,G295)&gt;1,SUMIF($A$2:A295,G295,$D$2:D295),D295) +SUMIF($G$2:G295,G295,$M$2:M295))</f>
        <v/>
      </c>
      <c r="L295" s="45" t="str">
        <f t="shared" si="25"/>
        <v/>
      </c>
      <c r="M295" s="46" t="str">
        <f>IF(G295="","",IF(B295 = "BUY", 0,(E295-VLOOKUP(CONCATENATE(G295,(H295-1)),$I$2:L294,4,FALSE))*-C295))</f>
        <v/>
      </c>
    </row>
    <row r="296" spans="1:13" ht="15" thickBot="1" x14ac:dyDescent="0.35">
      <c r="A296" s="28" t="str">
        <f>IF('US Transaction'!A296= "","",'US Transaction'!A296)</f>
        <v/>
      </c>
      <c r="B296" s="28" t="str">
        <f>IF('US Transaction'!B296= "","",'US Transaction'!B296)</f>
        <v/>
      </c>
      <c r="C296" s="28" t="str">
        <f>IF('US Transaction'!C296= "","",IF(B296="BUY",'US Transaction'!C296,-'US Transaction'!C296))</f>
        <v/>
      </c>
      <c r="D296" s="28" t="str">
        <f>IF('US Transaction'!D296= "","",IF(B296="BUY",'US Transaction'!D296,-'US Transaction'!D296))</f>
        <v/>
      </c>
      <c r="E296" s="28" t="str">
        <f>IF('US Transaction'!E296= "","",'US Transaction'!E296)</f>
        <v/>
      </c>
      <c r="F296" s="23"/>
      <c r="G296" s="28" t="str">
        <f t="shared" si="23"/>
        <v/>
      </c>
      <c r="H296" s="28" t="str">
        <f>IF(A296="","",COUNTIF($G$2:G296,G296))</f>
        <v/>
      </c>
      <c r="I296" s="28" t="str">
        <f t="shared" si="24"/>
        <v/>
      </c>
      <c r="J296" s="28" t="str">
        <f>IF(G296="","",IF(COUNTIF($G$2:G296,G296)&gt;1,SUMIF($A$2:A296,G296,$C$2:C296),C296))</f>
        <v/>
      </c>
      <c r="K296" s="45" t="str">
        <f>IF(G296="","",IF(COUNTIF($G$2:G296,G296)&gt;1,SUMIF($A$2:A296,G296,$D$2:D296),D296) +SUMIF($G$2:G296,G296,$M$2:M296))</f>
        <v/>
      </c>
      <c r="L296" s="45" t="str">
        <f t="shared" si="25"/>
        <v/>
      </c>
      <c r="M296" s="46" t="str">
        <f>IF(G296="","",IF(B296 = "BUY", 0,(E296-VLOOKUP(CONCATENATE(G296,(H296-1)),$I$2:L295,4,FALSE))*-C296))</f>
        <v/>
      </c>
    </row>
    <row r="297" spans="1:13" ht="15" thickBot="1" x14ac:dyDescent="0.35">
      <c r="A297" s="28" t="str">
        <f>IF('US Transaction'!A297= "","",'US Transaction'!A297)</f>
        <v/>
      </c>
      <c r="B297" s="28" t="str">
        <f>IF('US Transaction'!B297= "","",'US Transaction'!B297)</f>
        <v/>
      </c>
      <c r="C297" s="28" t="str">
        <f>IF('US Transaction'!C297= "","",IF(B297="BUY",'US Transaction'!C297,-'US Transaction'!C297))</f>
        <v/>
      </c>
      <c r="D297" s="28" t="str">
        <f>IF('US Transaction'!D297= "","",IF(B297="BUY",'US Transaction'!D297,-'US Transaction'!D297))</f>
        <v/>
      </c>
      <c r="E297" s="28" t="str">
        <f>IF('US Transaction'!E297= "","",'US Transaction'!E297)</f>
        <v/>
      </c>
      <c r="F297" s="23"/>
      <c r="G297" s="28" t="str">
        <f t="shared" si="23"/>
        <v/>
      </c>
      <c r="H297" s="28" t="str">
        <f>IF(A297="","",COUNTIF($G$2:G297,G297))</f>
        <v/>
      </c>
      <c r="I297" s="28" t="str">
        <f t="shared" si="24"/>
        <v/>
      </c>
      <c r="J297" s="28" t="str">
        <f>IF(G297="","",IF(COUNTIF($G$2:G297,G297)&gt;1,SUMIF($A$2:A297,G297,$C$2:C297),C297))</f>
        <v/>
      </c>
      <c r="K297" s="45" t="str">
        <f>IF(G297="","",IF(COUNTIF($G$2:G297,G297)&gt;1,SUMIF($A$2:A297,G297,$D$2:D297),D297) +SUMIF($G$2:G297,G297,$M$2:M297))</f>
        <v/>
      </c>
      <c r="L297" s="45" t="str">
        <f t="shared" si="25"/>
        <v/>
      </c>
      <c r="M297" s="46" t="str">
        <f>IF(G297="","",IF(B297 = "BUY", 0,(E297-VLOOKUP(CONCATENATE(G297,(H297-1)),$I$2:L296,4,FALSE))*-C297))</f>
        <v/>
      </c>
    </row>
    <row r="298" spans="1:13" ht="15" thickBot="1" x14ac:dyDescent="0.35">
      <c r="A298" s="28" t="str">
        <f>IF('US Transaction'!A298= "","",'US Transaction'!A298)</f>
        <v/>
      </c>
      <c r="B298" s="28" t="str">
        <f>IF('US Transaction'!B298= "","",'US Transaction'!B298)</f>
        <v/>
      </c>
      <c r="C298" s="28" t="str">
        <f>IF('US Transaction'!C298= "","",IF(B298="BUY",'US Transaction'!C298,-'US Transaction'!C298))</f>
        <v/>
      </c>
      <c r="D298" s="28" t="str">
        <f>IF('US Transaction'!D298= "","",IF(B298="BUY",'US Transaction'!D298,-'US Transaction'!D298))</f>
        <v/>
      </c>
      <c r="E298" s="28" t="str">
        <f>IF('US Transaction'!E298= "","",'US Transaction'!E298)</f>
        <v/>
      </c>
      <c r="F298" s="23"/>
      <c r="G298" s="28" t="str">
        <f t="shared" si="23"/>
        <v/>
      </c>
      <c r="H298" s="28" t="str">
        <f>IF(A298="","",COUNTIF($G$2:G298,G298))</f>
        <v/>
      </c>
      <c r="I298" s="28" t="str">
        <f t="shared" si="24"/>
        <v/>
      </c>
      <c r="J298" s="28" t="str">
        <f>IF(G298="","",IF(COUNTIF($G$2:G298,G298)&gt;1,SUMIF($A$2:A298,G298,$C$2:C298),C298))</f>
        <v/>
      </c>
      <c r="K298" s="45" t="str">
        <f>IF(G298="","",IF(COUNTIF($G$2:G298,G298)&gt;1,SUMIF($A$2:A298,G298,$D$2:D298),D298) +SUMIF($G$2:G298,G298,$M$2:M298))</f>
        <v/>
      </c>
      <c r="L298" s="45" t="str">
        <f t="shared" si="25"/>
        <v/>
      </c>
      <c r="M298" s="46" t="str">
        <f>IF(G298="","",IF(B298 = "BUY", 0,(E298-VLOOKUP(CONCATENATE(G298,(H298-1)),$I$2:L297,4,FALSE))*-C298))</f>
        <v/>
      </c>
    </row>
    <row r="299" spans="1:13" ht="15" thickBot="1" x14ac:dyDescent="0.35">
      <c r="A299" s="28" t="str">
        <f>IF('US Transaction'!A299= "","",'US Transaction'!A299)</f>
        <v/>
      </c>
      <c r="B299" s="28" t="str">
        <f>IF('US Transaction'!B299= "","",'US Transaction'!B299)</f>
        <v/>
      </c>
      <c r="C299" s="28" t="str">
        <f>IF('US Transaction'!C299= "","",IF(B299="BUY",'US Transaction'!C299,-'US Transaction'!C299))</f>
        <v/>
      </c>
      <c r="D299" s="28" t="str">
        <f>IF('US Transaction'!D299= "","",IF(B299="BUY",'US Transaction'!D299,-'US Transaction'!D299))</f>
        <v/>
      </c>
      <c r="E299" s="28" t="str">
        <f>IF('US Transaction'!E299= "","",'US Transaction'!E299)</f>
        <v/>
      </c>
      <c r="F299" s="23"/>
      <c r="G299" s="28" t="str">
        <f t="shared" si="23"/>
        <v/>
      </c>
      <c r="H299" s="28" t="str">
        <f>IF(A299="","",COUNTIF($G$2:G299,G299))</f>
        <v/>
      </c>
      <c r="I299" s="28" t="str">
        <f t="shared" si="24"/>
        <v/>
      </c>
      <c r="J299" s="28" t="str">
        <f>IF(G299="","",IF(COUNTIF($G$2:G299,G299)&gt;1,SUMIF($A$2:A299,G299,$C$2:C299),C299))</f>
        <v/>
      </c>
      <c r="K299" s="45" t="str">
        <f>IF(G299="","",IF(COUNTIF($G$2:G299,G299)&gt;1,SUMIF($A$2:A299,G299,$D$2:D299),D299) +SUMIF($G$2:G299,G299,$M$2:M299))</f>
        <v/>
      </c>
      <c r="L299" s="45" t="str">
        <f t="shared" si="25"/>
        <v/>
      </c>
      <c r="M299" s="46" t="str">
        <f>IF(G299="","",IF(B299 = "BUY", 0,(E299-VLOOKUP(CONCATENATE(G299,(H299-1)),$I$2:L298,4,FALSE))*-C299))</f>
        <v/>
      </c>
    </row>
    <row r="300" spans="1:13" ht="15" thickBot="1" x14ac:dyDescent="0.35">
      <c r="A300" s="28" t="str">
        <f>IF('US Transaction'!A300= "","",'US Transaction'!A300)</f>
        <v/>
      </c>
      <c r="B300" s="28" t="str">
        <f>IF('US Transaction'!B300= "","",'US Transaction'!B300)</f>
        <v/>
      </c>
      <c r="C300" s="28" t="str">
        <f>IF('US Transaction'!C300= "","",IF(B300="BUY",'US Transaction'!C300,-'US Transaction'!C300))</f>
        <v/>
      </c>
      <c r="D300" s="28" t="str">
        <f>IF('US Transaction'!D300= "","",IF(B300="BUY",'US Transaction'!D300,-'US Transaction'!D300))</f>
        <v/>
      </c>
      <c r="E300" s="28" t="str">
        <f>IF('US Transaction'!E300= "","",'US Transaction'!E300)</f>
        <v/>
      </c>
      <c r="F300" s="23"/>
      <c r="G300" s="31" t="str">
        <f t="shared" si="23"/>
        <v/>
      </c>
      <c r="H300" s="31"/>
      <c r="I300" s="31" t="str">
        <f t="shared" si="24"/>
        <v/>
      </c>
      <c r="J300" s="31" t="str">
        <f>IF(G300="","",IF(COUNTIF($G$2:G300,G300)&gt;1,SUMIF($A$2:A300,G300,$C$2:C300),C300))</f>
        <v/>
      </c>
      <c r="K300" s="50" t="str">
        <f>IF(G300="","",IF(COUNTIF($G$2:G300,G300)&gt;1,SUMIF($A$2:A300,G300,$D$2:D300),D300) +SUMIF($G$2:G300,G300,$M$2:M300))</f>
        <v/>
      </c>
      <c r="L300" s="50" t="str">
        <f t="shared" si="25"/>
        <v/>
      </c>
      <c r="M300" s="48" t="str">
        <f>IF(G300="","",IF(B300 = "BUY", 0,(E300-VLOOKUP(CONCATENATE(G300,(H300-1)),$I$2:L299,4,FALSE))*-C300))</f>
        <v/>
      </c>
    </row>
    <row r="301" spans="1:13" x14ac:dyDescent="0.3">
      <c r="M301" s="45" t="str">
        <f>IF(G301="","",IF(B301 = "BUY", 0,(E301-VLOOKUP(CONCATENATE(G301,(H301-1)),$I$2:L300,4,FALSE))*-C301))</f>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2B1E7-1C1A-4637-8469-584E47C83085}">
  <sheetPr codeName="Sheet7"/>
  <dimension ref="A1:L28"/>
  <sheetViews>
    <sheetView workbookViewId="0">
      <selection activeCell="F29" sqref="F29"/>
    </sheetView>
  </sheetViews>
  <sheetFormatPr defaultColWidth="8.88671875" defaultRowHeight="14.4" x14ac:dyDescent="0.3"/>
  <cols>
    <col min="1" max="1" width="8.5546875" style="1" customWidth="1"/>
    <col min="2" max="2" width="46" style="1" customWidth="1"/>
    <col min="3" max="3" width="8.109375" style="1" bestFit="1" customWidth="1"/>
    <col min="4" max="4" width="13.109375" style="1" bestFit="1" customWidth="1"/>
    <col min="5" max="5" width="11.5546875" style="1" bestFit="1" customWidth="1"/>
    <col min="6" max="7" width="14.5546875" style="1" bestFit="1" customWidth="1"/>
    <col min="8" max="8" width="11.44140625" style="1" customWidth="1"/>
    <col min="9" max="10" width="13" style="1" bestFit="1" customWidth="1"/>
    <col min="11" max="11" width="10.88671875" style="1" bestFit="1" customWidth="1"/>
    <col min="12" max="16384" width="8.88671875" style="1"/>
  </cols>
  <sheetData>
    <row r="1" spans="1:12" ht="15" thickBot="1" x14ac:dyDescent="0.35">
      <c r="A1" s="37" t="s">
        <v>45</v>
      </c>
      <c r="B1" s="38" t="s">
        <v>67</v>
      </c>
      <c r="C1" s="38" t="s">
        <v>47</v>
      </c>
      <c r="D1" s="38" t="s">
        <v>68</v>
      </c>
      <c r="E1" s="38" t="s">
        <v>69</v>
      </c>
      <c r="F1" s="38" t="s">
        <v>70</v>
      </c>
      <c r="G1" s="38" t="s">
        <v>71</v>
      </c>
      <c r="H1" s="38" t="s">
        <v>72</v>
      </c>
      <c r="I1" s="38" t="s">
        <v>73</v>
      </c>
      <c r="J1" s="38" t="s">
        <v>74</v>
      </c>
      <c r="K1" s="38" t="s">
        <v>65</v>
      </c>
      <c r="L1" s="39" t="s">
        <v>75</v>
      </c>
    </row>
    <row r="2" spans="1:12" x14ac:dyDescent="0.3">
      <c r="A2" s="40" t="str" cm="1">
        <f t="array" ref="A2:A10">_xlfn.UNIQUE('US Calculation'!U2:U21,FALSE,TRUE)</f>
        <v>AAPL</v>
      </c>
      <c r="B2" s="41" t="e" vm="1">
        <v>#VALUE!</v>
      </c>
      <c r="C2" s="42">
        <f>IF(A2="","",SUMIF('US Calculation'!$U$2:$U$21,'US Portfolio'!A2,'US Calculation'!$W$2:$W$21))</f>
        <v>10</v>
      </c>
      <c r="D2" s="51">
        <f>IF(A2="","",SUMIF('US Calculation'!$U$2:$U$21,'US Portfolio'!A2,'US Calculation'!$Y$2:$Y$21))</f>
        <v>48.716389999999997</v>
      </c>
      <c r="E2" s="52" cm="1">
        <f t="array" ref="E2">IF(A2="","",_FV(B2,"Price"))</f>
        <v>149.1</v>
      </c>
      <c r="F2" s="53" cm="1">
        <f t="array" ref="F2">IF(A2="","",_FV(B2,"Change"))</f>
        <v>0.21</v>
      </c>
      <c r="G2" s="53">
        <f>IFERROR(F2*C2,"")</f>
        <v>2.1</v>
      </c>
      <c r="H2" s="42">
        <f>IF(A2="","",SUMIF('US Calculation'!$U$2:$U$21,'US Portfolio'!A2,'US Calculation'!$X$2:$X$21))</f>
        <v>487.16389999999996</v>
      </c>
      <c r="I2" s="52">
        <f>IFERROR(E2*C2,"")</f>
        <v>1491</v>
      </c>
      <c r="J2" s="52">
        <f>IFERROR(I2-H2,"")</f>
        <v>1003.8361</v>
      </c>
      <c r="K2" s="53">
        <f>IF(A2="","",SUMIF('US Calculation'!$U$2:$U$21,'US Portfolio'!A2,'US Calculation'!$V$2:$V$21))</f>
        <v>0</v>
      </c>
      <c r="L2" s="54"/>
    </row>
    <row r="3" spans="1:12" x14ac:dyDescent="0.3">
      <c r="A3" s="27" t="str">
        <v>AMZN</v>
      </c>
      <c r="B3" s="28" t="e" vm="2">
        <v>#VALUE!</v>
      </c>
      <c r="C3" s="45">
        <f>IF(A3="","",SUMIF('US Calculation'!$U$2:$U$21,'US Portfolio'!A3,'US Calculation'!$W$2:$W$21))</f>
        <v>1</v>
      </c>
      <c r="D3" s="55">
        <f>IF(A3="","",SUMIF('US Calculation'!$U$2:$U$21,'US Portfolio'!A3,'US Calculation'!$Y$2:$Y$21))</f>
        <v>459.12419999999997</v>
      </c>
      <c r="E3" s="56" cm="1">
        <f t="array" ref="E3">IF(A3="","",_FV(B3,"Price"))</f>
        <v>3293.97</v>
      </c>
      <c r="F3" s="14" cm="1">
        <f t="array" ref="F3">IF(A3="","",_FV(B3,"Change"))</f>
        <v>-9.5299999999999994</v>
      </c>
      <c r="G3" s="14">
        <f t="shared" ref="G3:G21" si="0">IFERROR(F3*C3,"")</f>
        <v>-9.5299999999999994</v>
      </c>
      <c r="H3" s="45">
        <f>IF(A3="","",SUMIF('US Calculation'!$U$2:$U$21,'US Portfolio'!A3,'US Calculation'!$X$2:$X$21))</f>
        <v>459.12419999999997</v>
      </c>
      <c r="I3" s="56">
        <f t="shared" ref="I3:I20" si="1">IFERROR(E3*C3,"")</f>
        <v>3293.97</v>
      </c>
      <c r="J3" s="56">
        <f t="shared" ref="J3:J21" si="2">IFERROR(I3-H3,"")</f>
        <v>2834.8458000000001</v>
      </c>
      <c r="K3" s="14">
        <f>IF(A3="","",SUMIF('US Calculation'!$U$2:$U$21,'US Portfolio'!A3,'US Calculation'!$V$2:$V$21))</f>
        <v>0</v>
      </c>
      <c r="L3" s="57"/>
    </row>
    <row r="4" spans="1:12" x14ac:dyDescent="0.3">
      <c r="A4" s="28" t="str">
        <v>ARKG</v>
      </c>
      <c r="B4" s="28" t="e" vm="3">
        <v>#VALUE!</v>
      </c>
      <c r="C4" s="45">
        <f>IF(A4="","",SUMIF('US Calculation'!$U$2:$U$21,'US Portfolio'!A4,'US Calculation'!$W$2:$W$21))</f>
        <v>3</v>
      </c>
      <c r="D4" s="55">
        <f>IF(A4="","",SUMIF('US Calculation'!$U$2:$U$21,'US Portfolio'!A4,'US Calculation'!$Y$2:$Y$21))</f>
        <v>46.761200000000002</v>
      </c>
      <c r="E4" s="56" cm="1">
        <f t="array" ref="E4">IF(A4="","",_FV(B4,"Price"))</f>
        <v>82.14</v>
      </c>
      <c r="F4" s="14" cm="1">
        <f t="array" ref="F4">IF(A4="","",_FV(B4,"Change"))</f>
        <v>-1.49</v>
      </c>
      <c r="G4" s="14">
        <f t="shared" si="0"/>
        <v>-4.47</v>
      </c>
      <c r="H4" s="45">
        <f>IF(A4="","",SUMIF('US Calculation'!$U$2:$U$21,'US Portfolio'!A4,'US Calculation'!$X$2:$X$21))</f>
        <v>140.28360000000001</v>
      </c>
      <c r="I4" s="56">
        <f t="shared" si="1"/>
        <v>246.42000000000002</v>
      </c>
      <c r="J4" s="56">
        <f t="shared" si="2"/>
        <v>106.13640000000001</v>
      </c>
      <c r="K4" s="14">
        <f>IF(A4="","",SUMIF('US Calculation'!$U$2:$U$21,'US Portfolio'!A4,'US Calculation'!$V$2:$V$21))</f>
        <v>0</v>
      </c>
      <c r="L4" s="57"/>
    </row>
    <row r="5" spans="1:12" x14ac:dyDescent="0.3">
      <c r="A5" s="28" t="str">
        <v>ARKK</v>
      </c>
      <c r="B5" s="28" t="e" vm="4">
        <v>#VALUE!</v>
      </c>
      <c r="C5" s="45">
        <f>IF(A5="","",SUMIF('US Calculation'!$U$2:$U$21,'US Portfolio'!A5,'US Calculation'!$W$2:$W$21))</f>
        <v>2</v>
      </c>
      <c r="D5" s="55">
        <f>IF(A5="","",SUMIF('US Calculation'!$U$2:$U$21,'US Portfolio'!A5,'US Calculation'!$Y$2:$Y$21))</f>
        <v>74.001900000000006</v>
      </c>
      <c r="E5" s="56" cm="1">
        <f t="array" ref="E5">IF(A5="","",_FV(B5,"Price"))</f>
        <v>120.1</v>
      </c>
      <c r="F5" s="14" cm="1">
        <f t="array" ref="F5">IF(A5="","",_FV(B5,"Change"))</f>
        <v>-1.75</v>
      </c>
      <c r="G5" s="14">
        <f t="shared" si="0"/>
        <v>-3.5</v>
      </c>
      <c r="H5" s="45">
        <f>IF(A5="","",SUMIF('US Calculation'!$U$2:$U$21,'US Portfolio'!A5,'US Calculation'!$X$2:$X$21))</f>
        <v>148.00380000000001</v>
      </c>
      <c r="I5" s="56">
        <f t="shared" si="1"/>
        <v>240.2</v>
      </c>
      <c r="J5" s="56">
        <f t="shared" si="2"/>
        <v>92.196199999999976</v>
      </c>
      <c r="K5" s="14">
        <f>IF(A5="","",SUMIF('US Calculation'!$U$2:$U$21,'US Portfolio'!A5,'US Calculation'!$V$2:$V$21))</f>
        <v>0</v>
      </c>
      <c r="L5" s="57"/>
    </row>
    <row r="6" spans="1:12" x14ac:dyDescent="0.3">
      <c r="A6" s="28" t="str">
        <v>GOOGL</v>
      </c>
      <c r="B6" s="28" t="e" vm="5">
        <v>#VALUE!</v>
      </c>
      <c r="C6" s="45">
        <f>IF(A6="","",SUMIF('US Calculation'!$U$2:$U$21,'US Portfolio'!A6,'US Calculation'!$W$2:$W$21))</f>
        <v>1</v>
      </c>
      <c r="D6" s="55">
        <f>IF(A6="","",SUMIF('US Calculation'!$U$2:$U$21,'US Portfolio'!A6,'US Calculation'!$Y$2:$Y$21))</f>
        <v>434.30689999999993</v>
      </c>
      <c r="E6" s="56" cm="1">
        <f t="array" ref="E6">IF(A6="","",_FV(B6,"Price"))</f>
        <v>2754.55</v>
      </c>
      <c r="F6" s="14" cm="1">
        <f t="array" ref="F6">IF(A6="","",_FV(B6,"Change"))</f>
        <v>10.67</v>
      </c>
      <c r="G6" s="14">
        <f t="shared" si="0"/>
        <v>10.67</v>
      </c>
      <c r="H6" s="45">
        <f>IF(A6="","",SUMIF('US Calculation'!$U$2:$U$21,'US Portfolio'!A6,'US Calculation'!$X$2:$X$21))</f>
        <v>434.30689999999993</v>
      </c>
      <c r="I6" s="56">
        <f t="shared" si="1"/>
        <v>2754.55</v>
      </c>
      <c r="J6" s="56">
        <f t="shared" si="2"/>
        <v>2320.2431000000001</v>
      </c>
      <c r="K6" s="14">
        <f>IF(A6="","",SUMIF('US Calculation'!$U$2:$U$21,'US Portfolio'!A6,'US Calculation'!$V$2:$V$21))</f>
        <v>0</v>
      </c>
      <c r="L6" s="57"/>
    </row>
    <row r="7" spans="1:12" x14ac:dyDescent="0.3">
      <c r="A7" s="28" t="str">
        <v>ICLN</v>
      </c>
      <c r="B7" s="28" t="e" vm="6">
        <v>#VALUE!</v>
      </c>
      <c r="C7" s="45">
        <f>IF(A7="","",SUMIF('US Calculation'!$U$2:$U$21,'US Portfolio'!A7,'US Calculation'!$W$2:$W$21))</f>
        <v>10</v>
      </c>
      <c r="D7" s="55">
        <f>IF(A7="","",SUMIF('US Calculation'!$U$2:$U$21,'US Portfolio'!A7,'US Calculation'!$Y$2:$Y$21))</f>
        <v>16.957750000000001</v>
      </c>
      <c r="E7" s="56" cm="1">
        <f t="array" ref="E7">IF(A7="","",_FV(B7,"Price"))</f>
        <v>22.6</v>
      </c>
      <c r="F7" s="14" cm="1">
        <f t="array" ref="F7">IF(A7="","",_FV(B7,"Change"))</f>
        <v>-0.22</v>
      </c>
      <c r="G7" s="14">
        <f t="shared" si="0"/>
        <v>-2.2000000000000002</v>
      </c>
      <c r="H7" s="45">
        <f>IF(A7="","",SUMIF('US Calculation'!$U$2:$U$21,'US Portfolio'!A7,'US Calculation'!$X$2:$X$21))</f>
        <v>169.57750000000001</v>
      </c>
      <c r="I7" s="56">
        <f t="shared" si="1"/>
        <v>226</v>
      </c>
      <c r="J7" s="56">
        <f t="shared" si="2"/>
        <v>56.422499999999985</v>
      </c>
      <c r="K7" s="14">
        <f>IF(A7="","",SUMIF('US Calculation'!$U$2:$U$21,'US Portfolio'!A7,'US Calculation'!$V$2:$V$21))</f>
        <v>0</v>
      </c>
      <c r="L7" s="57"/>
    </row>
    <row r="8" spans="1:12" x14ac:dyDescent="0.3">
      <c r="A8" s="28" t="str">
        <v>MSFT</v>
      </c>
      <c r="B8" s="28" t="e" vm="7">
        <v>#VALUE!</v>
      </c>
      <c r="C8" s="45">
        <f>IF(A8="","",SUMIF('US Calculation'!$U$2:$U$21,'US Portfolio'!A8,'US Calculation'!$W$2:$W$21))</f>
        <v>3</v>
      </c>
      <c r="D8" s="55">
        <f>IF(A8="","",SUMIF('US Calculation'!$U$2:$U$21,'US Portfolio'!A8,'US Calculation'!$Y$2:$Y$21))</f>
        <v>135.01739999999998</v>
      </c>
      <c r="E8" s="56" cm="1">
        <f t="array" ref="E8">IF(A8="","",_FV(B8,"Price"))</f>
        <v>292.85000000000002</v>
      </c>
      <c r="F8" s="14" cm="1">
        <f t="array" ref="F8">IF(A8="","",_FV(B8,"Change"))</f>
        <v>3.04</v>
      </c>
      <c r="G8" s="14">
        <f t="shared" si="0"/>
        <v>9.120000000000001</v>
      </c>
      <c r="H8" s="45">
        <f>IF(A8="","",SUMIF('US Calculation'!$U$2:$U$21,'US Portfolio'!A8,'US Calculation'!$X$2:$X$21))</f>
        <v>405.05219999999997</v>
      </c>
      <c r="I8" s="56">
        <f t="shared" si="1"/>
        <v>878.55000000000007</v>
      </c>
      <c r="J8" s="56">
        <f t="shared" si="2"/>
        <v>473.4978000000001</v>
      </c>
      <c r="K8" s="14">
        <f>IF(A8="","",SUMIF('US Calculation'!$U$2:$U$21,'US Portfolio'!A8,'US Calculation'!$V$2:$V$21))</f>
        <v>0</v>
      </c>
      <c r="L8" s="57"/>
    </row>
    <row r="9" spans="1:12" x14ac:dyDescent="0.3">
      <c r="A9" s="28" t="str">
        <v>SQ</v>
      </c>
      <c r="B9" s="28" t="e" vm="8">
        <v>#VALUE!</v>
      </c>
      <c r="C9" s="45">
        <f>IF(A9="","",SUMIF('US Calculation'!$U$2:$U$21,'US Portfolio'!A9,'US Calculation'!$W$2:$W$21))</f>
        <v>3</v>
      </c>
      <c r="D9" s="55">
        <f>IF(A9="","",SUMIF('US Calculation'!$U$2:$U$21,'US Portfolio'!A9,'US Calculation'!$Y$2:$Y$21))</f>
        <v>100.20876666666668</v>
      </c>
      <c r="E9" s="56" cm="1">
        <f t="array" ref="E9">IF(A9="","",_FV(B9,"Price"))</f>
        <v>267.88</v>
      </c>
      <c r="F9" s="14" cm="1">
        <f t="array" ref="F9">IF(A9="","",_FV(B9,"Change"))</f>
        <v>-0.71</v>
      </c>
      <c r="G9" s="14">
        <f t="shared" si="0"/>
        <v>-2.13</v>
      </c>
      <c r="H9" s="45">
        <f>IF(A9="","",SUMIF('US Calculation'!$U$2:$U$21,'US Portfolio'!A9,'US Calculation'!$X$2:$X$21))</f>
        <v>300.62630000000001</v>
      </c>
      <c r="I9" s="56">
        <f t="shared" si="1"/>
        <v>803.64</v>
      </c>
      <c r="J9" s="56">
        <f t="shared" si="2"/>
        <v>503.01369999999997</v>
      </c>
      <c r="K9" s="14">
        <f>IF(A9="","",SUMIF('US Calculation'!$U$2:$U$21,'US Portfolio'!A9,'US Calculation'!$V$2:$V$21))</f>
        <v>0</v>
      </c>
      <c r="L9" s="57"/>
    </row>
    <row r="10" spans="1:12" x14ac:dyDescent="0.3">
      <c r="A10" s="27" t="str">
        <v>XLF</v>
      </c>
      <c r="B10" s="28" t="e" vm="9">
        <v>#VALUE!</v>
      </c>
      <c r="C10" s="45">
        <f>IF(A10="","",SUMIF('US Calculation'!$U$2:$U$21,'US Portfolio'!A10,'US Calculation'!$W$2:$W$21))</f>
        <v>10</v>
      </c>
      <c r="D10" s="55">
        <f>IF(A10="","",SUMIF('US Calculation'!$U$2:$U$21,'US Portfolio'!A10,'US Calculation'!$Y$2:$Y$21))</f>
        <v>29.017000000000003</v>
      </c>
      <c r="E10" s="56" cm="1">
        <f t="array" ref="E10">IF(A10="","",_FV(B10,"Price"))</f>
        <v>38.58</v>
      </c>
      <c r="F10" s="14" cm="1">
        <f t="array" ref="F10">IF(A10="","",_FV(B10,"Change"))</f>
        <v>-0.28999999999999998</v>
      </c>
      <c r="G10" s="14">
        <f t="shared" si="0"/>
        <v>-2.9</v>
      </c>
      <c r="H10" s="45">
        <f>IF(A10="","",SUMIF('US Calculation'!$U$2:$U$21,'US Portfolio'!A10,'US Calculation'!$X$2:$X$21))</f>
        <v>290.17</v>
      </c>
      <c r="I10" s="56">
        <f t="shared" si="1"/>
        <v>385.79999999999995</v>
      </c>
      <c r="J10" s="56">
        <f t="shared" si="2"/>
        <v>95.629999999999939</v>
      </c>
      <c r="K10" s="14">
        <f>IF(A10="","",SUMIF('US Calculation'!$U$2:$U$21,'US Portfolio'!A10,'US Calculation'!$V$2:$V$21))</f>
        <v>0</v>
      </c>
      <c r="L10" s="57"/>
    </row>
    <row r="11" spans="1:12" x14ac:dyDescent="0.3">
      <c r="A11" s="27"/>
      <c r="B11" s="28"/>
      <c r="C11" s="45" t="str">
        <f>IF(A11="","",SUMIF('US Calculation'!$U$2:$U$21,'US Portfolio'!A11,'US Calculation'!$W$2:$W$21))</f>
        <v/>
      </c>
      <c r="D11" s="55" t="str">
        <f>IF(A11="","",SUMIF('US Calculation'!$U$2:$U$21,'US Portfolio'!A11,'US Calculation'!$Y$2:$Y$21))</f>
        <v/>
      </c>
      <c r="E11" s="56" t="str" cm="1">
        <f t="array" ref="E11">IF(A11="","",_FV(B11,"Price"))</f>
        <v/>
      </c>
      <c r="F11" s="14" t="str" cm="1">
        <f t="array" ref="F11">IF(A11="","",_FV(B11,"Change"))</f>
        <v/>
      </c>
      <c r="G11" s="14" t="str">
        <f t="shared" si="0"/>
        <v/>
      </c>
      <c r="H11" s="45" t="str">
        <f>IF(A11="","",SUMIF('US Calculation'!$U$2:$U$21,'US Portfolio'!A11,'US Calculation'!$X$2:$X$21))</f>
        <v/>
      </c>
      <c r="I11" s="56" t="str">
        <f t="shared" si="1"/>
        <v/>
      </c>
      <c r="J11" s="56" t="str">
        <f t="shared" si="2"/>
        <v/>
      </c>
      <c r="K11" s="14" t="str">
        <f>IF(A11="","",SUMIF('US Calculation'!$U$2:$U$21,'US Portfolio'!A11,'US Calculation'!$V$2:$V$21))</f>
        <v/>
      </c>
      <c r="L11" s="57"/>
    </row>
    <row r="12" spans="1:12" x14ac:dyDescent="0.3">
      <c r="A12" s="27"/>
      <c r="B12" s="28"/>
      <c r="C12" s="45" t="str">
        <f>IF(A12="","",SUMIF('US Calculation'!$U$2:$U$21,'US Portfolio'!A12,'US Calculation'!$W$2:$W$21))</f>
        <v/>
      </c>
      <c r="D12" s="55" t="str">
        <f>IF(A12="","",SUMIF('US Calculation'!$U$2:$U$21,'US Portfolio'!A12,'US Calculation'!$Y$2:$Y$21))</f>
        <v/>
      </c>
      <c r="E12" s="56" t="str" cm="1">
        <f t="array" ref="E12">IF(A12="","",_FV(B12,"Price"))</f>
        <v/>
      </c>
      <c r="F12" s="14" t="str" cm="1">
        <f t="array" ref="F12">IF(A12="","",_FV(B12,"Change"))</f>
        <v/>
      </c>
      <c r="G12" s="14" t="str">
        <f t="shared" si="0"/>
        <v/>
      </c>
      <c r="H12" s="45" t="str">
        <f>IF(A12="","",SUMIF('US Calculation'!$U$2:$U$21,'US Portfolio'!A12,'US Calculation'!$X$2:$X$21))</f>
        <v/>
      </c>
      <c r="I12" s="56" t="str">
        <f t="shared" si="1"/>
        <v/>
      </c>
      <c r="J12" s="56" t="str">
        <f t="shared" si="2"/>
        <v/>
      </c>
      <c r="K12" s="14" t="str">
        <f>IF(A12="","",SUMIF('US Calculation'!$U$2:$U$21,'US Portfolio'!A12,'US Calculation'!$V$2:$V$21))</f>
        <v/>
      </c>
      <c r="L12" s="57"/>
    </row>
    <row r="13" spans="1:12" x14ac:dyDescent="0.3">
      <c r="A13" s="27"/>
      <c r="B13" s="28"/>
      <c r="C13" s="45" t="str">
        <f>IF(A13="","",SUMIF('US Calculation'!$U$2:$U$21,'US Portfolio'!A13,'US Calculation'!$W$2:$W$21))</f>
        <v/>
      </c>
      <c r="D13" s="55" t="str">
        <f>IF(A13="","",SUMIF('US Calculation'!$U$2:$U$21,'US Portfolio'!A13,'US Calculation'!$Y$2:$Y$21))</f>
        <v/>
      </c>
      <c r="E13" s="56" t="str" cm="1">
        <f t="array" ref="E13">IF(A13="","",_FV(B13,"Price"))</f>
        <v/>
      </c>
      <c r="F13" s="14" t="str" cm="1">
        <f t="array" ref="F13">IF(A13="","",_FV(B13,"Change"))</f>
        <v/>
      </c>
      <c r="G13" s="14" t="str">
        <f t="shared" si="0"/>
        <v/>
      </c>
      <c r="H13" s="45" t="str">
        <f>IF(A13="","",SUMIF('US Calculation'!$U$2:$U$21,'US Portfolio'!A13,'US Calculation'!$X$2:$X$21))</f>
        <v/>
      </c>
      <c r="I13" s="56" t="str">
        <f t="shared" si="1"/>
        <v/>
      </c>
      <c r="J13" s="56" t="str">
        <f t="shared" si="2"/>
        <v/>
      </c>
      <c r="K13" s="14" t="str">
        <f>IF(A13="","",SUMIF('US Calculation'!$U$2:$U$21,'US Portfolio'!A13,'US Calculation'!$V$2:$V$21))</f>
        <v/>
      </c>
      <c r="L13" s="57"/>
    </row>
    <row r="14" spans="1:12" x14ac:dyDescent="0.3">
      <c r="A14" s="27"/>
      <c r="B14" s="28"/>
      <c r="C14" s="45" t="str">
        <f>IF(A14="","",SUMIF('US Calculation'!$U$2:$U$21,'US Portfolio'!A14,'US Calculation'!$W$2:$W$21))</f>
        <v/>
      </c>
      <c r="D14" s="55" t="str">
        <f>IF(A14="","",SUMIF('US Calculation'!$U$2:$U$21,'US Portfolio'!A14,'US Calculation'!$Y$2:$Y$21))</f>
        <v/>
      </c>
      <c r="E14" s="56" t="str" cm="1">
        <f t="array" ref="E14">IF(A14="","",_FV(B14,"Price"))</f>
        <v/>
      </c>
      <c r="F14" s="14" t="str" cm="1">
        <f t="array" ref="F14">IF(A14="","",_FV(B14,"Change"))</f>
        <v/>
      </c>
      <c r="G14" s="14" t="str">
        <f t="shared" si="0"/>
        <v/>
      </c>
      <c r="H14" s="45" t="str">
        <f>IF(A14="","",SUMIF('US Calculation'!$U$2:$U$21,'US Portfolio'!A14,'US Calculation'!$X$2:$X$21))</f>
        <v/>
      </c>
      <c r="I14" s="56" t="str">
        <f t="shared" si="1"/>
        <v/>
      </c>
      <c r="J14" s="56" t="str">
        <f t="shared" si="2"/>
        <v/>
      </c>
      <c r="K14" s="14" t="str">
        <f>IF(A14="","",SUMIF('US Calculation'!$U$2:$U$21,'US Portfolio'!A14,'US Calculation'!$V$2:$V$21))</f>
        <v/>
      </c>
      <c r="L14" s="57"/>
    </row>
    <row r="15" spans="1:12" x14ac:dyDescent="0.3">
      <c r="A15" s="27"/>
      <c r="B15" s="28"/>
      <c r="C15" s="45" t="str">
        <f>IF(A15="","",SUMIF('US Calculation'!$U$2:$U$21,'US Portfolio'!A15,'US Calculation'!$W$2:$W$21))</f>
        <v/>
      </c>
      <c r="D15" s="55" t="str">
        <f>IF(A15="","",SUMIF('US Calculation'!$U$2:$U$21,'US Portfolio'!A15,'US Calculation'!$Y$2:$Y$21))</f>
        <v/>
      </c>
      <c r="E15" s="56" t="str" cm="1">
        <f t="array" ref="E15">IF(A15="","",_FV(B15,"Price"))</f>
        <v/>
      </c>
      <c r="F15" s="14" t="str" cm="1">
        <f t="array" ref="F15">IF(A15="","",_FV(B15,"Change"))</f>
        <v/>
      </c>
      <c r="G15" s="14" t="str">
        <f t="shared" si="0"/>
        <v/>
      </c>
      <c r="H15" s="45" t="str">
        <f>IF(A15="","",SUMIF('US Calculation'!$U$2:$U$21,'US Portfolio'!A15,'US Calculation'!$X$2:$X$21))</f>
        <v/>
      </c>
      <c r="I15" s="56" t="str">
        <f t="shared" si="1"/>
        <v/>
      </c>
      <c r="J15" s="56" t="str">
        <f t="shared" si="2"/>
        <v/>
      </c>
      <c r="K15" s="14" t="str">
        <f>IF(A15="","",SUMIF('US Calculation'!$U$2:$U$21,'US Portfolio'!A15,'US Calculation'!$V$2:$V$21))</f>
        <v/>
      </c>
      <c r="L15" s="57"/>
    </row>
    <row r="16" spans="1:12" x14ac:dyDescent="0.3">
      <c r="A16" s="27"/>
      <c r="B16" s="28"/>
      <c r="C16" s="45" t="str">
        <f>IF(A16="","",SUMIF('US Calculation'!$U$2:$U$21,'US Portfolio'!A16,'US Calculation'!$W$2:$W$21))</f>
        <v/>
      </c>
      <c r="D16" s="55" t="str">
        <f>IF(A16="","",SUMIF('US Calculation'!$U$2:$U$21,'US Portfolio'!A16,'US Calculation'!$Y$2:$Y$21))</f>
        <v/>
      </c>
      <c r="E16" s="56" t="str" cm="1">
        <f t="array" ref="E16">IF(A16="","",_FV(B16,"Price"))</f>
        <v/>
      </c>
      <c r="F16" s="14" t="str" cm="1">
        <f t="array" ref="F16">IF(A16="","",_FV(B16,"Change"))</f>
        <v/>
      </c>
      <c r="G16" s="14" t="str">
        <f t="shared" si="0"/>
        <v/>
      </c>
      <c r="H16" s="45" t="str">
        <f>IF(A16="","",SUMIF('US Calculation'!$U$2:$U$21,'US Portfolio'!A16,'US Calculation'!$X$2:$X$21))</f>
        <v/>
      </c>
      <c r="I16" s="56" t="str">
        <f t="shared" si="1"/>
        <v/>
      </c>
      <c r="J16" s="56" t="str">
        <f t="shared" si="2"/>
        <v/>
      </c>
      <c r="K16" s="14" t="str">
        <f>IF(A16="","",SUMIF('US Calculation'!$U$2:$U$21,'US Portfolio'!A16,'US Calculation'!$V$2:$V$21))</f>
        <v/>
      </c>
      <c r="L16" s="57"/>
    </row>
    <row r="17" spans="1:12" x14ac:dyDescent="0.3">
      <c r="A17" s="27"/>
      <c r="B17" s="28"/>
      <c r="C17" s="45" t="str">
        <f>IF(A17="","",SUMIF('US Calculation'!$U$2:$U$21,'US Portfolio'!A17,'US Calculation'!$W$2:$W$21))</f>
        <v/>
      </c>
      <c r="D17" s="55" t="str">
        <f>IF(A17="","",SUMIF('US Calculation'!$U$2:$U$21,'US Portfolio'!A17,'US Calculation'!$Y$2:$Y$21))</f>
        <v/>
      </c>
      <c r="E17" s="56" t="str" cm="1">
        <f t="array" ref="E17">IF(A17="","",_FV(B17,"Price"))</f>
        <v/>
      </c>
      <c r="F17" s="14" t="str" cm="1">
        <f t="array" ref="F17">IF(A17="","",_FV(B17,"Change"))</f>
        <v/>
      </c>
      <c r="G17" s="14" t="str">
        <f t="shared" si="0"/>
        <v/>
      </c>
      <c r="H17" s="45" t="str">
        <f>IF(A17="","",SUMIF('US Calculation'!$U$2:$U$21,'US Portfolio'!A17,'US Calculation'!$X$2:$X$21))</f>
        <v/>
      </c>
      <c r="I17" s="56" t="str">
        <f t="shared" si="1"/>
        <v/>
      </c>
      <c r="J17" s="56" t="str">
        <f t="shared" si="2"/>
        <v/>
      </c>
      <c r="K17" s="14" t="str">
        <f>IF(A17="","",SUMIF('US Calculation'!$U$2:$U$21,'US Portfolio'!A17,'US Calculation'!$V$2:$V$21))</f>
        <v/>
      </c>
      <c r="L17" s="57"/>
    </row>
    <row r="18" spans="1:12" x14ac:dyDescent="0.3">
      <c r="A18" s="27"/>
      <c r="B18" s="28"/>
      <c r="C18" s="45" t="str">
        <f>IF(A18="","",SUMIF('US Calculation'!$U$2:$U$21,'US Portfolio'!A18,'US Calculation'!$W$2:$W$21))</f>
        <v/>
      </c>
      <c r="D18" s="55" t="str">
        <f>IF(A18="","",SUMIF('US Calculation'!$U$2:$U$21,'US Portfolio'!A18,'US Calculation'!$Y$2:$Y$21))</f>
        <v/>
      </c>
      <c r="E18" s="56" t="str" cm="1">
        <f t="array" ref="E18">IF(A18="","",_FV(B18,"Price"))</f>
        <v/>
      </c>
      <c r="F18" s="14" t="str" cm="1">
        <f t="array" ref="F18">IF(A18="","",_FV(B18,"Change"))</f>
        <v/>
      </c>
      <c r="G18" s="14" t="str">
        <f t="shared" si="0"/>
        <v/>
      </c>
      <c r="H18" s="45" t="str">
        <f>IF(A18="","",SUMIF('US Calculation'!$U$2:$U$21,'US Portfolio'!A18,'US Calculation'!$X$2:$X$21))</f>
        <v/>
      </c>
      <c r="I18" s="56" t="str">
        <f t="shared" si="1"/>
        <v/>
      </c>
      <c r="J18" s="56" t="str">
        <f t="shared" si="2"/>
        <v/>
      </c>
      <c r="K18" s="14" t="str">
        <f>IF(A18="","",SUMIF('US Calculation'!$U$2:$U$21,'US Portfolio'!A18,'US Calculation'!$V$2:$V$21))</f>
        <v/>
      </c>
      <c r="L18" s="57"/>
    </row>
    <row r="19" spans="1:12" x14ac:dyDescent="0.3">
      <c r="A19" s="27"/>
      <c r="B19" s="28"/>
      <c r="C19" s="45" t="str">
        <f>IF(A19="","",SUMIF('US Calculation'!$U$2:$U$21,'US Portfolio'!A19,'US Calculation'!$W$2:$W$21))</f>
        <v/>
      </c>
      <c r="D19" s="55" t="str">
        <f>IF(A19="","",SUMIF('US Calculation'!$U$2:$U$21,'US Portfolio'!A19,'US Calculation'!$Y$2:$Y$21))</f>
        <v/>
      </c>
      <c r="E19" s="56" t="str" cm="1">
        <f t="array" ref="E19">IF(A19="","",_FV(B19,"Price"))</f>
        <v/>
      </c>
      <c r="F19" s="14" t="str" cm="1">
        <f t="array" ref="F19">IF(A19="","",_FV(B19,"Change"))</f>
        <v/>
      </c>
      <c r="G19" s="14" t="str">
        <f t="shared" si="0"/>
        <v/>
      </c>
      <c r="H19" s="45" t="str">
        <f>IF(A19="","",SUMIF('US Calculation'!$U$2:$U$21,'US Portfolio'!A19,'US Calculation'!$X$2:$X$21))</f>
        <v/>
      </c>
      <c r="I19" s="56" t="str">
        <f t="shared" si="1"/>
        <v/>
      </c>
      <c r="J19" s="56" t="str">
        <f t="shared" si="2"/>
        <v/>
      </c>
      <c r="K19" s="14" t="str">
        <f>IF(A19="","",SUMIF('US Calculation'!$U$2:$U$21,'US Portfolio'!A19,'US Calculation'!$V$2:$V$21))</f>
        <v/>
      </c>
      <c r="L19" s="57"/>
    </row>
    <row r="20" spans="1:12" ht="15" thickBot="1" x14ac:dyDescent="0.35">
      <c r="A20" s="27"/>
      <c r="B20" s="28"/>
      <c r="C20" s="45" t="str">
        <f>IF(A20="","",SUMIF('US Calculation'!$U$2:$U$21,'US Portfolio'!A20,'US Calculation'!$W$2:$W$21))</f>
        <v/>
      </c>
      <c r="D20" s="55" t="str">
        <f>IF(A20="","",SUMIF('US Calculation'!$U$2:$U$21,'US Portfolio'!A20,'US Calculation'!$Y$2:$Y$21))</f>
        <v/>
      </c>
      <c r="E20" s="56" t="str" cm="1">
        <f t="array" ref="E20">IF(A20="","",_FV(B20,"Price"))</f>
        <v/>
      </c>
      <c r="F20" s="14" t="str" cm="1">
        <f t="array" ref="F20">IF(A20="","",_FV(B20,"Change"))</f>
        <v/>
      </c>
      <c r="G20" s="14" t="str">
        <f t="shared" si="0"/>
        <v/>
      </c>
      <c r="H20" s="45" t="str">
        <f>IF(A20="","",SUMIF('US Calculation'!$U$2:$U$21,'US Portfolio'!A20,'US Calculation'!$X$2:$X$21))</f>
        <v/>
      </c>
      <c r="I20" s="56" t="str">
        <f t="shared" si="1"/>
        <v/>
      </c>
      <c r="J20" s="56" t="str">
        <f t="shared" si="2"/>
        <v/>
      </c>
      <c r="K20" s="14" t="str">
        <f>IF(A20="","",SUMIF('US Calculation'!$U$2:$U$21,'US Portfolio'!A20,'US Calculation'!$V$2:$V$21))</f>
        <v/>
      </c>
      <c r="L20" s="57"/>
    </row>
    <row r="21" spans="1:12" ht="15" thickBot="1" x14ac:dyDescent="0.35">
      <c r="A21" s="30"/>
      <c r="B21" s="31"/>
      <c r="C21" s="50" t="str">
        <f>IF(A21="","",SUMIF('US Calculation'!$U$2:$U$21,'US Portfolio'!A21,'US Calculation'!$W$2:$W$21))</f>
        <v/>
      </c>
      <c r="D21" s="58" t="str">
        <f>IF(A21="","",SUMIF('US Calculation'!$U$2:$U$21,'US Portfolio'!A21,'US Calculation'!$Y$2:$Y$21))</f>
        <v/>
      </c>
      <c r="E21" s="59" t="str" cm="1">
        <f t="array" ref="E21">IF(A21="","",_FV(B21,"Price"))</f>
        <v/>
      </c>
      <c r="F21" s="60" t="str" cm="1">
        <f t="array" ref="F21">IF(A21="","",_FV(B21,"Change"))</f>
        <v/>
      </c>
      <c r="G21" s="60" t="str">
        <f t="shared" si="0"/>
        <v/>
      </c>
      <c r="H21" s="68" t="s">
        <v>77</v>
      </c>
      <c r="I21" s="67">
        <v>0</v>
      </c>
      <c r="J21" s="56" t="str">
        <f t="shared" si="2"/>
        <v/>
      </c>
      <c r="K21" s="60" t="str">
        <f>IF(A21="","",SUMIF('US Calculation'!$U$2:$U$21,'US Portfolio'!A21,'US Calculation'!$V$2:$V$21))</f>
        <v/>
      </c>
      <c r="L21" s="61"/>
    </row>
    <row r="22" spans="1:12" ht="15" thickBot="1" x14ac:dyDescent="0.35">
      <c r="H22" s="65" t="s">
        <v>76</v>
      </c>
      <c r="I22" s="66">
        <f>SUM(I2:I20)</f>
        <v>10320.129999999997</v>
      </c>
      <c r="J22" s="69">
        <f>SUM(J2:J21)</f>
        <v>7485.8216000000002</v>
      </c>
    </row>
    <row r="28" spans="1:12" x14ac:dyDescent="0.3">
      <c r="C28" s="63"/>
      <c r="D28" s="18"/>
    </row>
  </sheetData>
  <conditionalFormatting sqref="G2:G21">
    <cfRule type="cellIs" dxfId="23" priority="7" operator="greaterThan">
      <formula>0</formula>
    </cfRule>
    <cfRule type="cellIs" dxfId="22" priority="8" operator="lessThan">
      <formula>0</formula>
    </cfRule>
  </conditionalFormatting>
  <conditionalFormatting sqref="K2:K21">
    <cfRule type="cellIs" dxfId="21" priority="5" operator="greaterThan">
      <formula>0</formula>
    </cfRule>
    <cfRule type="cellIs" dxfId="20" priority="6" operator="lessThan">
      <formula>0</formula>
    </cfRule>
  </conditionalFormatting>
  <conditionalFormatting sqref="J2:J21">
    <cfRule type="cellIs" dxfId="19" priority="3" operator="greaterThan">
      <formula>0</formula>
    </cfRule>
    <cfRule type="cellIs" dxfId="18" priority="4" operator="lessThan">
      <formula>0</formula>
    </cfRule>
  </conditionalFormatting>
  <conditionalFormatting sqref="J22">
    <cfRule type="cellIs" dxfId="17" priority="1" operator="greaterThan">
      <formula>0</formula>
    </cfRule>
    <cfRule type="cellIs" dxfId="16" priority="2" operator="lessThan">
      <formula>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81D1E-D33C-4FAD-A715-497847096FFB}">
  <sheetPr codeName="Sheet8"/>
  <dimension ref="A1:E300"/>
  <sheetViews>
    <sheetView workbookViewId="0">
      <selection activeCell="C27" sqref="C27"/>
    </sheetView>
  </sheetViews>
  <sheetFormatPr defaultColWidth="8.88671875" defaultRowHeight="14.4" x14ac:dyDescent="0.3"/>
  <cols>
    <col min="1" max="5" width="17.5546875" style="1" customWidth="1"/>
    <col min="6" max="16384" width="8.88671875" style="1"/>
  </cols>
  <sheetData>
    <row r="1" spans="1:5" ht="15" thickBot="1" x14ac:dyDescent="0.35">
      <c r="A1" s="24" t="s">
        <v>45</v>
      </c>
      <c r="B1" s="25" t="s">
        <v>46</v>
      </c>
      <c r="C1" s="25" t="s">
        <v>47</v>
      </c>
      <c r="D1" s="25" t="s">
        <v>48</v>
      </c>
      <c r="E1" s="26" t="s">
        <v>49</v>
      </c>
    </row>
    <row r="2" spans="1:5" x14ac:dyDescent="0.3">
      <c r="A2" s="27" t="s">
        <v>50</v>
      </c>
      <c r="B2" s="28" t="s">
        <v>51</v>
      </c>
      <c r="C2" s="28">
        <v>10</v>
      </c>
      <c r="D2" s="28">
        <v>607</v>
      </c>
      <c r="E2" s="29">
        <f>IF(A2="","",D2/C2)</f>
        <v>60.7</v>
      </c>
    </row>
    <row r="3" spans="1:5" x14ac:dyDescent="0.3">
      <c r="A3" s="27" t="s">
        <v>50</v>
      </c>
      <c r="B3" s="28" t="s">
        <v>51</v>
      </c>
      <c r="C3" s="28">
        <v>15</v>
      </c>
      <c r="D3" s="28">
        <v>1014.4</v>
      </c>
      <c r="E3" s="29">
        <f>IF(A3="","",D3/C3)</f>
        <v>67.626666666666665</v>
      </c>
    </row>
    <row r="4" spans="1:5" x14ac:dyDescent="0.3">
      <c r="A4" s="27" t="s">
        <v>52</v>
      </c>
      <c r="B4" s="28" t="s">
        <v>51</v>
      </c>
      <c r="C4" s="28">
        <v>36</v>
      </c>
      <c r="D4" s="28">
        <v>761.68</v>
      </c>
      <c r="E4" s="29">
        <f t="shared" ref="E4:E66" si="0">IF(A4="","",D4/C4)</f>
        <v>21.157777777777778</v>
      </c>
    </row>
    <row r="5" spans="1:5" x14ac:dyDescent="0.3">
      <c r="A5" s="27" t="s">
        <v>53</v>
      </c>
      <c r="B5" s="28" t="s">
        <v>51</v>
      </c>
      <c r="C5" s="28">
        <v>329</v>
      </c>
      <c r="D5" s="28">
        <v>1023.32</v>
      </c>
      <c r="E5" s="29">
        <f t="shared" si="0"/>
        <v>3.1103951367781155</v>
      </c>
    </row>
    <row r="6" spans="1:5" x14ac:dyDescent="0.3">
      <c r="A6" s="27" t="s">
        <v>53</v>
      </c>
      <c r="B6" s="28" t="s">
        <v>51</v>
      </c>
      <c r="C6" s="28">
        <v>9</v>
      </c>
      <c r="D6" s="28">
        <v>25.91</v>
      </c>
      <c r="E6" s="29">
        <f t="shared" si="0"/>
        <v>2.8788888888888891</v>
      </c>
    </row>
    <row r="7" spans="1:5" x14ac:dyDescent="0.3">
      <c r="A7" s="27" t="s">
        <v>53</v>
      </c>
      <c r="B7" s="28" t="s">
        <v>51</v>
      </c>
      <c r="C7" s="28">
        <v>8</v>
      </c>
      <c r="D7" s="28">
        <v>24.89</v>
      </c>
      <c r="E7" s="29">
        <f t="shared" si="0"/>
        <v>3.1112500000000001</v>
      </c>
    </row>
    <row r="8" spans="1:5" x14ac:dyDescent="0.3">
      <c r="A8" s="27" t="s">
        <v>54</v>
      </c>
      <c r="B8" s="28" t="s">
        <v>51</v>
      </c>
      <c r="C8" s="28">
        <v>19</v>
      </c>
      <c r="D8" s="28">
        <v>576.58000000000004</v>
      </c>
      <c r="E8" s="29">
        <f t="shared" si="0"/>
        <v>30.346315789473685</v>
      </c>
    </row>
    <row r="9" spans="1:5" x14ac:dyDescent="0.3">
      <c r="A9" s="27" t="s">
        <v>54</v>
      </c>
      <c r="B9" s="28" t="s">
        <v>51</v>
      </c>
      <c r="C9" s="28">
        <v>1</v>
      </c>
      <c r="D9" s="28">
        <v>19.829999999999998</v>
      </c>
      <c r="E9" s="29">
        <f t="shared" si="0"/>
        <v>19.829999999999998</v>
      </c>
    </row>
    <row r="10" spans="1:5" x14ac:dyDescent="0.3">
      <c r="A10" s="27" t="s">
        <v>53</v>
      </c>
      <c r="B10" s="28" t="s">
        <v>55</v>
      </c>
      <c r="C10" s="28">
        <v>346</v>
      </c>
      <c r="D10" s="28">
        <v>1228.68</v>
      </c>
      <c r="E10" s="29">
        <f t="shared" si="0"/>
        <v>3.5510982658959538</v>
      </c>
    </row>
    <row r="11" spans="1:5" x14ac:dyDescent="0.3">
      <c r="A11" s="27" t="s">
        <v>50</v>
      </c>
      <c r="B11" s="28" t="s">
        <v>55</v>
      </c>
      <c r="C11" s="28">
        <v>25</v>
      </c>
      <c r="D11" s="28">
        <v>2494.75</v>
      </c>
      <c r="E11" s="29">
        <f t="shared" si="0"/>
        <v>99.79</v>
      </c>
    </row>
    <row r="12" spans="1:5" x14ac:dyDescent="0.3">
      <c r="A12" s="27" t="s">
        <v>52</v>
      </c>
      <c r="B12" s="28" t="s">
        <v>55</v>
      </c>
      <c r="C12" s="28">
        <v>36</v>
      </c>
      <c r="D12" s="28">
        <v>761.68</v>
      </c>
      <c r="E12" s="29">
        <f t="shared" si="0"/>
        <v>21.157777777777778</v>
      </c>
    </row>
    <row r="13" spans="1:5" x14ac:dyDescent="0.3">
      <c r="A13" s="27" t="s">
        <v>54</v>
      </c>
      <c r="B13" s="28" t="s">
        <v>55</v>
      </c>
      <c r="C13" s="28">
        <v>20</v>
      </c>
      <c r="D13" s="28">
        <v>596.41000000000008</v>
      </c>
      <c r="E13" s="29">
        <f t="shared" si="0"/>
        <v>29.820500000000003</v>
      </c>
    </row>
    <row r="14" spans="1:5" x14ac:dyDescent="0.3">
      <c r="A14" s="27"/>
      <c r="B14" s="28"/>
      <c r="C14" s="28"/>
      <c r="D14" s="28"/>
      <c r="E14" s="29" t="str">
        <f t="shared" si="0"/>
        <v/>
      </c>
    </row>
    <row r="15" spans="1:5" x14ac:dyDescent="0.3">
      <c r="A15" s="27"/>
      <c r="B15" s="28"/>
      <c r="C15" s="28"/>
      <c r="D15" s="28"/>
      <c r="E15" s="29" t="str">
        <f t="shared" si="0"/>
        <v/>
      </c>
    </row>
    <row r="16" spans="1:5" x14ac:dyDescent="0.3">
      <c r="A16" s="27"/>
      <c r="B16" s="28"/>
      <c r="C16" s="28"/>
      <c r="D16" s="28"/>
      <c r="E16" s="29" t="str">
        <f t="shared" si="0"/>
        <v/>
      </c>
    </row>
    <row r="17" spans="1:5" x14ac:dyDescent="0.3">
      <c r="A17" s="27"/>
      <c r="B17" s="28"/>
      <c r="C17" s="28"/>
      <c r="D17" s="28"/>
      <c r="E17" s="29" t="str">
        <f t="shared" si="0"/>
        <v/>
      </c>
    </row>
    <row r="18" spans="1:5" x14ac:dyDescent="0.3">
      <c r="A18" s="27"/>
      <c r="B18" s="28"/>
      <c r="C18" s="28"/>
      <c r="D18" s="28"/>
      <c r="E18" s="29" t="str">
        <f t="shared" si="0"/>
        <v/>
      </c>
    </row>
    <row r="19" spans="1:5" x14ac:dyDescent="0.3">
      <c r="A19" s="27"/>
      <c r="B19" s="28"/>
      <c r="C19" s="28"/>
      <c r="D19" s="28"/>
      <c r="E19" s="29" t="str">
        <f t="shared" si="0"/>
        <v/>
      </c>
    </row>
    <row r="20" spans="1:5" x14ac:dyDescent="0.3">
      <c r="A20" s="27"/>
      <c r="B20" s="28"/>
      <c r="C20" s="28"/>
      <c r="D20" s="28"/>
      <c r="E20" s="29" t="str">
        <f t="shared" si="0"/>
        <v/>
      </c>
    </row>
    <row r="21" spans="1:5" x14ac:dyDescent="0.3">
      <c r="A21" s="27"/>
      <c r="B21" s="28"/>
      <c r="C21" s="28"/>
      <c r="D21" s="28"/>
      <c r="E21" s="29" t="str">
        <f t="shared" si="0"/>
        <v/>
      </c>
    </row>
    <row r="22" spans="1:5" x14ac:dyDescent="0.3">
      <c r="A22" s="27"/>
      <c r="B22" s="28"/>
      <c r="C22" s="28"/>
      <c r="D22" s="28"/>
      <c r="E22" s="29" t="str">
        <f t="shared" si="0"/>
        <v/>
      </c>
    </row>
    <row r="23" spans="1:5" x14ac:dyDescent="0.3">
      <c r="A23" s="27"/>
      <c r="B23" s="28"/>
      <c r="C23" s="28"/>
      <c r="D23" s="28"/>
      <c r="E23" s="29" t="str">
        <f t="shared" si="0"/>
        <v/>
      </c>
    </row>
    <row r="24" spans="1:5" x14ac:dyDescent="0.3">
      <c r="A24" s="27"/>
      <c r="B24" s="28"/>
      <c r="C24" s="28"/>
      <c r="D24" s="28"/>
      <c r="E24" s="29" t="str">
        <f t="shared" si="0"/>
        <v/>
      </c>
    </row>
    <row r="25" spans="1:5" x14ac:dyDescent="0.3">
      <c r="A25" s="27"/>
      <c r="B25" s="28"/>
      <c r="C25" s="28"/>
      <c r="D25" s="28"/>
      <c r="E25" s="29" t="str">
        <f t="shared" si="0"/>
        <v/>
      </c>
    </row>
    <row r="26" spans="1:5" x14ac:dyDescent="0.3">
      <c r="A26" s="27"/>
      <c r="B26" s="28"/>
      <c r="C26" s="28"/>
      <c r="D26" s="28"/>
      <c r="E26" s="29" t="str">
        <f t="shared" si="0"/>
        <v/>
      </c>
    </row>
    <row r="27" spans="1:5" x14ac:dyDescent="0.3">
      <c r="A27" s="27"/>
      <c r="B27" s="28"/>
      <c r="C27" s="28"/>
      <c r="D27" s="28"/>
      <c r="E27" s="29" t="str">
        <f t="shared" si="0"/>
        <v/>
      </c>
    </row>
    <row r="28" spans="1:5" x14ac:dyDescent="0.3">
      <c r="A28" s="27"/>
      <c r="B28" s="28"/>
      <c r="C28" s="28"/>
      <c r="D28" s="28"/>
      <c r="E28" s="29" t="str">
        <f t="shared" si="0"/>
        <v/>
      </c>
    </row>
    <row r="29" spans="1:5" x14ac:dyDescent="0.3">
      <c r="A29" s="27"/>
      <c r="B29" s="28"/>
      <c r="C29" s="28"/>
      <c r="D29" s="28"/>
      <c r="E29" s="29" t="str">
        <f t="shared" si="0"/>
        <v/>
      </c>
    </row>
    <row r="30" spans="1:5" x14ac:dyDescent="0.3">
      <c r="A30" s="27"/>
      <c r="B30" s="28"/>
      <c r="C30" s="28"/>
      <c r="D30" s="28"/>
      <c r="E30" s="29" t="str">
        <f t="shared" si="0"/>
        <v/>
      </c>
    </row>
    <row r="31" spans="1:5" x14ac:dyDescent="0.3">
      <c r="A31" s="27"/>
      <c r="B31" s="28"/>
      <c r="C31" s="28"/>
      <c r="D31" s="28"/>
      <c r="E31" s="29" t="str">
        <f t="shared" si="0"/>
        <v/>
      </c>
    </row>
    <row r="32" spans="1:5" x14ac:dyDescent="0.3">
      <c r="A32" s="27"/>
      <c r="B32" s="28"/>
      <c r="C32" s="28"/>
      <c r="D32" s="28"/>
      <c r="E32" s="29" t="str">
        <f t="shared" si="0"/>
        <v/>
      </c>
    </row>
    <row r="33" spans="1:5" x14ac:dyDescent="0.3">
      <c r="A33" s="27"/>
      <c r="B33" s="28"/>
      <c r="C33" s="28"/>
      <c r="D33" s="28"/>
      <c r="E33" s="29" t="str">
        <f t="shared" si="0"/>
        <v/>
      </c>
    </row>
    <row r="34" spans="1:5" x14ac:dyDescent="0.3">
      <c r="A34" s="27"/>
      <c r="B34" s="28"/>
      <c r="C34" s="28"/>
      <c r="D34" s="28"/>
      <c r="E34" s="29" t="str">
        <f t="shared" si="0"/>
        <v/>
      </c>
    </row>
    <row r="35" spans="1:5" x14ac:dyDescent="0.3">
      <c r="A35" s="27"/>
      <c r="B35" s="28"/>
      <c r="C35" s="28"/>
      <c r="D35" s="28"/>
      <c r="E35" s="29" t="str">
        <f t="shared" si="0"/>
        <v/>
      </c>
    </row>
    <row r="36" spans="1:5" x14ac:dyDescent="0.3">
      <c r="A36" s="27"/>
      <c r="B36" s="28"/>
      <c r="C36" s="28"/>
      <c r="D36" s="28"/>
      <c r="E36" s="29" t="str">
        <f t="shared" si="0"/>
        <v/>
      </c>
    </row>
    <row r="37" spans="1:5" x14ac:dyDescent="0.3">
      <c r="A37" s="27"/>
      <c r="B37" s="28"/>
      <c r="C37" s="28"/>
      <c r="D37" s="28"/>
      <c r="E37" s="29" t="str">
        <f t="shared" si="0"/>
        <v/>
      </c>
    </row>
    <row r="38" spans="1:5" x14ac:dyDescent="0.3">
      <c r="A38" s="27"/>
      <c r="B38" s="28"/>
      <c r="C38" s="28"/>
      <c r="D38" s="28"/>
      <c r="E38" s="29" t="str">
        <f t="shared" si="0"/>
        <v/>
      </c>
    </row>
    <row r="39" spans="1:5" x14ac:dyDescent="0.3">
      <c r="A39" s="27"/>
      <c r="B39" s="28"/>
      <c r="C39" s="28"/>
      <c r="D39" s="28"/>
      <c r="E39" s="29" t="str">
        <f t="shared" si="0"/>
        <v/>
      </c>
    </row>
    <row r="40" spans="1:5" x14ac:dyDescent="0.3">
      <c r="A40" s="27"/>
      <c r="B40" s="28"/>
      <c r="C40" s="28"/>
      <c r="D40" s="28"/>
      <c r="E40" s="29" t="str">
        <f t="shared" si="0"/>
        <v/>
      </c>
    </row>
    <row r="41" spans="1:5" x14ac:dyDescent="0.3">
      <c r="A41" s="27"/>
      <c r="B41" s="28"/>
      <c r="C41" s="28"/>
      <c r="D41" s="28"/>
      <c r="E41" s="29" t="str">
        <f t="shared" si="0"/>
        <v/>
      </c>
    </row>
    <row r="42" spans="1:5" x14ac:dyDescent="0.3">
      <c r="A42" s="27"/>
      <c r="B42" s="28"/>
      <c r="C42" s="28"/>
      <c r="D42" s="28"/>
      <c r="E42" s="29" t="str">
        <f t="shared" si="0"/>
        <v/>
      </c>
    </row>
    <row r="43" spans="1:5" x14ac:dyDescent="0.3">
      <c r="A43" s="27"/>
      <c r="B43" s="28"/>
      <c r="C43" s="28"/>
      <c r="D43" s="28"/>
      <c r="E43" s="29" t="str">
        <f t="shared" si="0"/>
        <v/>
      </c>
    </row>
    <row r="44" spans="1:5" x14ac:dyDescent="0.3">
      <c r="A44" s="27"/>
      <c r="B44" s="28"/>
      <c r="C44" s="28"/>
      <c r="D44" s="28"/>
      <c r="E44" s="29" t="str">
        <f t="shared" si="0"/>
        <v/>
      </c>
    </row>
    <row r="45" spans="1:5" x14ac:dyDescent="0.3">
      <c r="A45" s="27"/>
      <c r="B45" s="28"/>
      <c r="C45" s="28"/>
      <c r="D45" s="28"/>
      <c r="E45" s="29" t="str">
        <f t="shared" si="0"/>
        <v/>
      </c>
    </row>
    <row r="46" spans="1:5" x14ac:dyDescent="0.3">
      <c r="A46" s="27"/>
      <c r="B46" s="28"/>
      <c r="C46" s="28"/>
      <c r="D46" s="28"/>
      <c r="E46" s="29" t="str">
        <f t="shared" si="0"/>
        <v/>
      </c>
    </row>
    <row r="47" spans="1:5" x14ac:dyDescent="0.3">
      <c r="A47" s="27"/>
      <c r="B47" s="28"/>
      <c r="C47" s="28"/>
      <c r="D47" s="28"/>
      <c r="E47" s="29" t="str">
        <f t="shared" si="0"/>
        <v/>
      </c>
    </row>
    <row r="48" spans="1:5" x14ac:dyDescent="0.3">
      <c r="A48" s="27"/>
      <c r="B48" s="28"/>
      <c r="C48" s="28"/>
      <c r="D48" s="28"/>
      <c r="E48" s="29" t="str">
        <f t="shared" si="0"/>
        <v/>
      </c>
    </row>
    <row r="49" spans="1:5" x14ac:dyDescent="0.3">
      <c r="A49" s="27"/>
      <c r="B49" s="28"/>
      <c r="C49" s="28"/>
      <c r="D49" s="28"/>
      <c r="E49" s="29" t="str">
        <f t="shared" si="0"/>
        <v/>
      </c>
    </row>
    <row r="50" spans="1:5" x14ac:dyDescent="0.3">
      <c r="A50" s="27"/>
      <c r="B50" s="28"/>
      <c r="C50" s="28"/>
      <c r="D50" s="28"/>
      <c r="E50" s="29" t="str">
        <f t="shared" si="0"/>
        <v/>
      </c>
    </row>
    <row r="51" spans="1:5" x14ac:dyDescent="0.3">
      <c r="A51" s="27"/>
      <c r="B51" s="28"/>
      <c r="C51" s="28"/>
      <c r="D51" s="28"/>
      <c r="E51" s="29" t="str">
        <f t="shared" si="0"/>
        <v/>
      </c>
    </row>
    <row r="52" spans="1:5" x14ac:dyDescent="0.3">
      <c r="A52" s="27"/>
      <c r="B52" s="28"/>
      <c r="C52" s="28"/>
      <c r="D52" s="28"/>
      <c r="E52" s="29" t="str">
        <f t="shared" si="0"/>
        <v/>
      </c>
    </row>
    <row r="53" spans="1:5" x14ac:dyDescent="0.3">
      <c r="A53" s="27"/>
      <c r="B53" s="28"/>
      <c r="C53" s="28"/>
      <c r="D53" s="28"/>
      <c r="E53" s="29" t="str">
        <f t="shared" si="0"/>
        <v/>
      </c>
    </row>
    <row r="54" spans="1:5" x14ac:dyDescent="0.3">
      <c r="A54" s="27"/>
      <c r="B54" s="28"/>
      <c r="C54" s="28"/>
      <c r="D54" s="28"/>
      <c r="E54" s="29" t="str">
        <f t="shared" si="0"/>
        <v/>
      </c>
    </row>
    <row r="55" spans="1:5" x14ac:dyDescent="0.3">
      <c r="A55" s="27"/>
      <c r="B55" s="28"/>
      <c r="C55" s="28"/>
      <c r="D55" s="28"/>
      <c r="E55" s="29" t="str">
        <f t="shared" si="0"/>
        <v/>
      </c>
    </row>
    <row r="56" spans="1:5" x14ac:dyDescent="0.3">
      <c r="A56" s="27"/>
      <c r="B56" s="28"/>
      <c r="C56" s="28"/>
      <c r="D56" s="28"/>
      <c r="E56" s="29" t="str">
        <f t="shared" si="0"/>
        <v/>
      </c>
    </row>
    <row r="57" spans="1:5" x14ac:dyDescent="0.3">
      <c r="A57" s="27"/>
      <c r="B57" s="28"/>
      <c r="C57" s="28"/>
      <c r="D57" s="28"/>
      <c r="E57" s="29" t="str">
        <f t="shared" si="0"/>
        <v/>
      </c>
    </row>
    <row r="58" spans="1:5" x14ac:dyDescent="0.3">
      <c r="A58" s="27"/>
      <c r="B58" s="28"/>
      <c r="C58" s="28"/>
      <c r="D58" s="28"/>
      <c r="E58" s="29" t="str">
        <f t="shared" si="0"/>
        <v/>
      </c>
    </row>
    <row r="59" spans="1:5" x14ac:dyDescent="0.3">
      <c r="A59" s="27"/>
      <c r="B59" s="28"/>
      <c r="C59" s="28"/>
      <c r="D59" s="28"/>
      <c r="E59" s="29" t="str">
        <f t="shared" si="0"/>
        <v/>
      </c>
    </row>
    <row r="60" spans="1:5" x14ac:dyDescent="0.3">
      <c r="A60" s="27"/>
      <c r="B60" s="28"/>
      <c r="C60" s="28"/>
      <c r="D60" s="28"/>
      <c r="E60" s="29" t="str">
        <f t="shared" si="0"/>
        <v/>
      </c>
    </row>
    <row r="61" spans="1:5" x14ac:dyDescent="0.3">
      <c r="A61" s="27"/>
      <c r="B61" s="28"/>
      <c r="C61" s="28"/>
      <c r="D61" s="28"/>
      <c r="E61" s="29" t="str">
        <f t="shared" si="0"/>
        <v/>
      </c>
    </row>
    <row r="62" spans="1:5" x14ac:dyDescent="0.3">
      <c r="A62" s="27"/>
      <c r="B62" s="28"/>
      <c r="C62" s="28"/>
      <c r="D62" s="28"/>
      <c r="E62" s="29" t="str">
        <f t="shared" si="0"/>
        <v/>
      </c>
    </row>
    <row r="63" spans="1:5" x14ac:dyDescent="0.3">
      <c r="A63" s="27"/>
      <c r="B63" s="28"/>
      <c r="C63" s="28"/>
      <c r="D63" s="28"/>
      <c r="E63" s="29" t="str">
        <f t="shared" si="0"/>
        <v/>
      </c>
    </row>
    <row r="64" spans="1:5" x14ac:dyDescent="0.3">
      <c r="A64" s="27"/>
      <c r="B64" s="28"/>
      <c r="C64" s="28"/>
      <c r="D64" s="28"/>
      <c r="E64" s="29" t="str">
        <f t="shared" si="0"/>
        <v/>
      </c>
    </row>
    <row r="65" spans="1:5" x14ac:dyDescent="0.3">
      <c r="A65" s="27"/>
      <c r="B65" s="28"/>
      <c r="C65" s="28"/>
      <c r="D65" s="28"/>
      <c r="E65" s="29" t="str">
        <f t="shared" si="0"/>
        <v/>
      </c>
    </row>
    <row r="66" spans="1:5" x14ac:dyDescent="0.3">
      <c r="A66" s="27"/>
      <c r="B66" s="28"/>
      <c r="C66" s="28"/>
      <c r="D66" s="28"/>
      <c r="E66" s="29" t="str">
        <f t="shared" si="0"/>
        <v/>
      </c>
    </row>
    <row r="67" spans="1:5" x14ac:dyDescent="0.3">
      <c r="A67" s="27"/>
      <c r="B67" s="28"/>
      <c r="C67" s="28"/>
      <c r="D67" s="28"/>
      <c r="E67" s="29" t="str">
        <f t="shared" ref="E67:E130" si="1">IF(A67="","",D67/C67)</f>
        <v/>
      </c>
    </row>
    <row r="68" spans="1:5" x14ac:dyDescent="0.3">
      <c r="A68" s="27"/>
      <c r="B68" s="28"/>
      <c r="C68" s="28"/>
      <c r="D68" s="28"/>
      <c r="E68" s="29" t="str">
        <f t="shared" si="1"/>
        <v/>
      </c>
    </row>
    <row r="69" spans="1:5" x14ac:dyDescent="0.3">
      <c r="A69" s="27"/>
      <c r="B69" s="28"/>
      <c r="C69" s="28"/>
      <c r="D69" s="28"/>
      <c r="E69" s="29" t="str">
        <f t="shared" si="1"/>
        <v/>
      </c>
    </row>
    <row r="70" spans="1:5" x14ac:dyDescent="0.3">
      <c r="A70" s="27"/>
      <c r="B70" s="28"/>
      <c r="C70" s="28"/>
      <c r="D70" s="28"/>
      <c r="E70" s="29" t="str">
        <f t="shared" si="1"/>
        <v/>
      </c>
    </row>
    <row r="71" spans="1:5" x14ac:dyDescent="0.3">
      <c r="A71" s="27"/>
      <c r="B71" s="28"/>
      <c r="C71" s="28"/>
      <c r="D71" s="28"/>
      <c r="E71" s="29" t="str">
        <f t="shared" si="1"/>
        <v/>
      </c>
    </row>
    <row r="72" spans="1:5" x14ac:dyDescent="0.3">
      <c r="A72" s="27"/>
      <c r="B72" s="28"/>
      <c r="C72" s="28"/>
      <c r="D72" s="28"/>
      <c r="E72" s="29" t="str">
        <f t="shared" si="1"/>
        <v/>
      </c>
    </row>
    <row r="73" spans="1:5" x14ac:dyDescent="0.3">
      <c r="A73" s="27"/>
      <c r="B73" s="28"/>
      <c r="C73" s="28"/>
      <c r="D73" s="28"/>
      <c r="E73" s="29" t="str">
        <f t="shared" si="1"/>
        <v/>
      </c>
    </row>
    <row r="74" spans="1:5" x14ac:dyDescent="0.3">
      <c r="A74" s="27"/>
      <c r="B74" s="28"/>
      <c r="C74" s="28"/>
      <c r="D74" s="28"/>
      <c r="E74" s="29" t="str">
        <f t="shared" si="1"/>
        <v/>
      </c>
    </row>
    <row r="75" spans="1:5" x14ac:dyDescent="0.3">
      <c r="A75" s="27"/>
      <c r="B75" s="28"/>
      <c r="C75" s="28"/>
      <c r="D75" s="28"/>
      <c r="E75" s="29" t="str">
        <f t="shared" si="1"/>
        <v/>
      </c>
    </row>
    <row r="76" spans="1:5" x14ac:dyDescent="0.3">
      <c r="A76" s="27"/>
      <c r="B76" s="28"/>
      <c r="C76" s="28"/>
      <c r="D76" s="28"/>
      <c r="E76" s="29" t="str">
        <f t="shared" si="1"/>
        <v/>
      </c>
    </row>
    <row r="77" spans="1:5" x14ac:dyDescent="0.3">
      <c r="A77" s="27"/>
      <c r="B77" s="28"/>
      <c r="C77" s="28"/>
      <c r="D77" s="28"/>
      <c r="E77" s="29" t="str">
        <f t="shared" si="1"/>
        <v/>
      </c>
    </row>
    <row r="78" spans="1:5" x14ac:dyDescent="0.3">
      <c r="A78" s="27"/>
      <c r="B78" s="28"/>
      <c r="C78" s="28"/>
      <c r="D78" s="28"/>
      <c r="E78" s="29" t="str">
        <f t="shared" si="1"/>
        <v/>
      </c>
    </row>
    <row r="79" spans="1:5" x14ac:dyDescent="0.3">
      <c r="A79" s="27"/>
      <c r="B79" s="28"/>
      <c r="C79" s="28"/>
      <c r="D79" s="28"/>
      <c r="E79" s="29" t="str">
        <f t="shared" si="1"/>
        <v/>
      </c>
    </row>
    <row r="80" spans="1:5" x14ac:dyDescent="0.3">
      <c r="A80" s="27"/>
      <c r="B80" s="28"/>
      <c r="C80" s="28"/>
      <c r="D80" s="28"/>
      <c r="E80" s="29" t="str">
        <f t="shared" si="1"/>
        <v/>
      </c>
    </row>
    <row r="81" spans="1:5" x14ac:dyDescent="0.3">
      <c r="A81" s="27"/>
      <c r="B81" s="28"/>
      <c r="C81" s="28"/>
      <c r="D81" s="28"/>
      <c r="E81" s="29" t="str">
        <f t="shared" si="1"/>
        <v/>
      </c>
    </row>
    <row r="82" spans="1:5" x14ac:dyDescent="0.3">
      <c r="A82" s="27"/>
      <c r="B82" s="28"/>
      <c r="C82" s="28"/>
      <c r="D82" s="28"/>
      <c r="E82" s="29" t="str">
        <f t="shared" si="1"/>
        <v/>
      </c>
    </row>
    <row r="83" spans="1:5" x14ac:dyDescent="0.3">
      <c r="A83" s="27"/>
      <c r="B83" s="28"/>
      <c r="C83" s="28"/>
      <c r="D83" s="28"/>
      <c r="E83" s="29" t="str">
        <f t="shared" si="1"/>
        <v/>
      </c>
    </row>
    <row r="84" spans="1:5" x14ac:dyDescent="0.3">
      <c r="A84" s="27"/>
      <c r="B84" s="28"/>
      <c r="C84" s="28"/>
      <c r="D84" s="28"/>
      <c r="E84" s="29" t="str">
        <f t="shared" si="1"/>
        <v/>
      </c>
    </row>
    <row r="85" spans="1:5" x14ac:dyDescent="0.3">
      <c r="A85" s="27"/>
      <c r="B85" s="28"/>
      <c r="C85" s="28"/>
      <c r="D85" s="28"/>
      <c r="E85" s="29" t="str">
        <f t="shared" si="1"/>
        <v/>
      </c>
    </row>
    <row r="86" spans="1:5" x14ac:dyDescent="0.3">
      <c r="A86" s="27"/>
      <c r="B86" s="28"/>
      <c r="C86" s="28"/>
      <c r="D86" s="28"/>
      <c r="E86" s="29" t="str">
        <f t="shared" si="1"/>
        <v/>
      </c>
    </row>
    <row r="87" spans="1:5" x14ac:dyDescent="0.3">
      <c r="A87" s="27"/>
      <c r="B87" s="28"/>
      <c r="C87" s="28"/>
      <c r="D87" s="28"/>
      <c r="E87" s="29" t="str">
        <f t="shared" si="1"/>
        <v/>
      </c>
    </row>
    <row r="88" spans="1:5" x14ac:dyDescent="0.3">
      <c r="A88" s="27"/>
      <c r="B88" s="28"/>
      <c r="C88" s="28"/>
      <c r="D88" s="28"/>
      <c r="E88" s="29" t="str">
        <f t="shared" si="1"/>
        <v/>
      </c>
    </row>
    <row r="89" spans="1:5" x14ac:dyDescent="0.3">
      <c r="A89" s="27"/>
      <c r="B89" s="28"/>
      <c r="C89" s="28"/>
      <c r="D89" s="28"/>
      <c r="E89" s="29" t="str">
        <f t="shared" si="1"/>
        <v/>
      </c>
    </row>
    <row r="90" spans="1:5" x14ac:dyDescent="0.3">
      <c r="A90" s="27"/>
      <c r="B90" s="28"/>
      <c r="C90" s="28"/>
      <c r="D90" s="28"/>
      <c r="E90" s="29" t="str">
        <f t="shared" si="1"/>
        <v/>
      </c>
    </row>
    <row r="91" spans="1:5" x14ac:dyDescent="0.3">
      <c r="A91" s="27"/>
      <c r="B91" s="28"/>
      <c r="C91" s="28"/>
      <c r="D91" s="28"/>
      <c r="E91" s="29" t="str">
        <f t="shared" si="1"/>
        <v/>
      </c>
    </row>
    <row r="92" spans="1:5" x14ac:dyDescent="0.3">
      <c r="A92" s="27"/>
      <c r="B92" s="28"/>
      <c r="C92" s="28"/>
      <c r="D92" s="28"/>
      <c r="E92" s="29" t="str">
        <f t="shared" si="1"/>
        <v/>
      </c>
    </row>
    <row r="93" spans="1:5" x14ac:dyDescent="0.3">
      <c r="A93" s="27"/>
      <c r="B93" s="28"/>
      <c r="C93" s="28"/>
      <c r="D93" s="28"/>
      <c r="E93" s="29" t="str">
        <f t="shared" si="1"/>
        <v/>
      </c>
    </row>
    <row r="94" spans="1:5" x14ac:dyDescent="0.3">
      <c r="A94" s="27"/>
      <c r="B94" s="28"/>
      <c r="C94" s="28"/>
      <c r="D94" s="28"/>
      <c r="E94" s="29" t="str">
        <f t="shared" si="1"/>
        <v/>
      </c>
    </row>
    <row r="95" spans="1:5" x14ac:dyDescent="0.3">
      <c r="A95" s="27"/>
      <c r="B95" s="28"/>
      <c r="C95" s="28"/>
      <c r="D95" s="28"/>
      <c r="E95" s="29" t="str">
        <f t="shared" si="1"/>
        <v/>
      </c>
    </row>
    <row r="96" spans="1:5" x14ac:dyDescent="0.3">
      <c r="A96" s="27"/>
      <c r="B96" s="28"/>
      <c r="C96" s="28"/>
      <c r="D96" s="28"/>
      <c r="E96" s="29" t="str">
        <f t="shared" si="1"/>
        <v/>
      </c>
    </row>
    <row r="97" spans="1:5" x14ac:dyDescent="0.3">
      <c r="A97" s="27"/>
      <c r="B97" s="28"/>
      <c r="C97" s="28"/>
      <c r="D97" s="28"/>
      <c r="E97" s="29" t="str">
        <f t="shared" si="1"/>
        <v/>
      </c>
    </row>
    <row r="98" spans="1:5" x14ac:dyDescent="0.3">
      <c r="A98" s="27"/>
      <c r="B98" s="28"/>
      <c r="C98" s="28"/>
      <c r="D98" s="28"/>
      <c r="E98" s="29" t="str">
        <f t="shared" si="1"/>
        <v/>
      </c>
    </row>
    <row r="99" spans="1:5" x14ac:dyDescent="0.3">
      <c r="A99" s="27"/>
      <c r="B99" s="28"/>
      <c r="C99" s="28"/>
      <c r="D99" s="28"/>
      <c r="E99" s="29" t="str">
        <f t="shared" si="1"/>
        <v/>
      </c>
    </row>
    <row r="100" spans="1:5" x14ac:dyDescent="0.3">
      <c r="A100" s="27"/>
      <c r="B100" s="28"/>
      <c r="C100" s="28"/>
      <c r="D100" s="28"/>
      <c r="E100" s="29" t="str">
        <f t="shared" si="1"/>
        <v/>
      </c>
    </row>
    <row r="101" spans="1:5" x14ac:dyDescent="0.3">
      <c r="A101" s="27"/>
      <c r="B101" s="28"/>
      <c r="C101" s="28"/>
      <c r="D101" s="28"/>
      <c r="E101" s="29" t="str">
        <f t="shared" si="1"/>
        <v/>
      </c>
    </row>
    <row r="102" spans="1:5" x14ac:dyDescent="0.3">
      <c r="A102" s="27"/>
      <c r="B102" s="28"/>
      <c r="C102" s="28"/>
      <c r="D102" s="28"/>
      <c r="E102" s="29" t="str">
        <f t="shared" si="1"/>
        <v/>
      </c>
    </row>
    <row r="103" spans="1:5" x14ac:dyDescent="0.3">
      <c r="A103" s="27"/>
      <c r="B103" s="28"/>
      <c r="C103" s="28"/>
      <c r="D103" s="28"/>
      <c r="E103" s="29" t="str">
        <f t="shared" si="1"/>
        <v/>
      </c>
    </row>
    <row r="104" spans="1:5" x14ac:dyDescent="0.3">
      <c r="A104" s="27"/>
      <c r="B104" s="28"/>
      <c r="C104" s="28"/>
      <c r="D104" s="28"/>
      <c r="E104" s="29" t="str">
        <f t="shared" si="1"/>
        <v/>
      </c>
    </row>
    <row r="105" spans="1:5" x14ac:dyDescent="0.3">
      <c r="A105" s="27"/>
      <c r="B105" s="28"/>
      <c r="C105" s="28"/>
      <c r="D105" s="28"/>
      <c r="E105" s="29" t="str">
        <f t="shared" si="1"/>
        <v/>
      </c>
    </row>
    <row r="106" spans="1:5" x14ac:dyDescent="0.3">
      <c r="A106" s="27"/>
      <c r="B106" s="28"/>
      <c r="C106" s="28"/>
      <c r="D106" s="28"/>
      <c r="E106" s="29" t="str">
        <f t="shared" si="1"/>
        <v/>
      </c>
    </row>
    <row r="107" spans="1:5" x14ac:dyDescent="0.3">
      <c r="A107" s="27"/>
      <c r="B107" s="28"/>
      <c r="C107" s="28"/>
      <c r="D107" s="28"/>
      <c r="E107" s="29" t="str">
        <f t="shared" si="1"/>
        <v/>
      </c>
    </row>
    <row r="108" spans="1:5" x14ac:dyDescent="0.3">
      <c r="A108" s="27"/>
      <c r="B108" s="28"/>
      <c r="C108" s="28"/>
      <c r="D108" s="28"/>
      <c r="E108" s="29" t="str">
        <f t="shared" si="1"/>
        <v/>
      </c>
    </row>
    <row r="109" spans="1:5" x14ac:dyDescent="0.3">
      <c r="A109" s="27"/>
      <c r="B109" s="28"/>
      <c r="C109" s="28"/>
      <c r="D109" s="28"/>
      <c r="E109" s="29" t="str">
        <f t="shared" si="1"/>
        <v/>
      </c>
    </row>
    <row r="110" spans="1:5" x14ac:dyDescent="0.3">
      <c r="A110" s="27"/>
      <c r="B110" s="28"/>
      <c r="C110" s="28"/>
      <c r="D110" s="28"/>
      <c r="E110" s="29" t="str">
        <f t="shared" si="1"/>
        <v/>
      </c>
    </row>
    <row r="111" spans="1:5" x14ac:dyDescent="0.3">
      <c r="A111" s="27"/>
      <c r="B111" s="28"/>
      <c r="C111" s="28"/>
      <c r="D111" s="28"/>
      <c r="E111" s="29" t="str">
        <f t="shared" si="1"/>
        <v/>
      </c>
    </row>
    <row r="112" spans="1:5" x14ac:dyDescent="0.3">
      <c r="A112" s="27"/>
      <c r="B112" s="28"/>
      <c r="C112" s="28"/>
      <c r="D112" s="28"/>
      <c r="E112" s="29" t="str">
        <f t="shared" si="1"/>
        <v/>
      </c>
    </row>
    <row r="113" spans="1:5" x14ac:dyDescent="0.3">
      <c r="A113" s="27"/>
      <c r="B113" s="28"/>
      <c r="C113" s="28"/>
      <c r="D113" s="28"/>
      <c r="E113" s="29" t="str">
        <f t="shared" si="1"/>
        <v/>
      </c>
    </row>
    <row r="114" spans="1:5" x14ac:dyDescent="0.3">
      <c r="A114" s="27"/>
      <c r="B114" s="28"/>
      <c r="C114" s="28"/>
      <c r="D114" s="28"/>
      <c r="E114" s="29" t="str">
        <f t="shared" si="1"/>
        <v/>
      </c>
    </row>
    <row r="115" spans="1:5" x14ac:dyDescent="0.3">
      <c r="A115" s="27"/>
      <c r="B115" s="28"/>
      <c r="C115" s="28"/>
      <c r="D115" s="28"/>
      <c r="E115" s="29" t="str">
        <f t="shared" si="1"/>
        <v/>
      </c>
    </row>
    <row r="116" spans="1:5" x14ac:dyDescent="0.3">
      <c r="A116" s="27"/>
      <c r="B116" s="28"/>
      <c r="C116" s="28"/>
      <c r="D116" s="28"/>
      <c r="E116" s="29" t="str">
        <f t="shared" si="1"/>
        <v/>
      </c>
    </row>
    <row r="117" spans="1:5" x14ac:dyDescent="0.3">
      <c r="A117" s="27"/>
      <c r="B117" s="28"/>
      <c r="C117" s="28"/>
      <c r="D117" s="28"/>
      <c r="E117" s="29" t="str">
        <f t="shared" si="1"/>
        <v/>
      </c>
    </row>
    <row r="118" spans="1:5" x14ac:dyDescent="0.3">
      <c r="A118" s="27"/>
      <c r="B118" s="28"/>
      <c r="C118" s="28"/>
      <c r="D118" s="28"/>
      <c r="E118" s="29" t="str">
        <f t="shared" si="1"/>
        <v/>
      </c>
    </row>
    <row r="119" spans="1:5" x14ac:dyDescent="0.3">
      <c r="A119" s="27"/>
      <c r="B119" s="28"/>
      <c r="C119" s="28"/>
      <c r="D119" s="28"/>
      <c r="E119" s="29" t="str">
        <f t="shared" si="1"/>
        <v/>
      </c>
    </row>
    <row r="120" spans="1:5" x14ac:dyDescent="0.3">
      <c r="A120" s="27"/>
      <c r="B120" s="28"/>
      <c r="C120" s="28"/>
      <c r="D120" s="28"/>
      <c r="E120" s="29" t="str">
        <f t="shared" si="1"/>
        <v/>
      </c>
    </row>
    <row r="121" spans="1:5" x14ac:dyDescent="0.3">
      <c r="A121" s="27"/>
      <c r="B121" s="28"/>
      <c r="C121" s="28"/>
      <c r="D121" s="28"/>
      <c r="E121" s="29" t="str">
        <f t="shared" si="1"/>
        <v/>
      </c>
    </row>
    <row r="122" spans="1:5" x14ac:dyDescent="0.3">
      <c r="A122" s="27"/>
      <c r="B122" s="28"/>
      <c r="C122" s="28"/>
      <c r="D122" s="28"/>
      <c r="E122" s="29" t="str">
        <f t="shared" si="1"/>
        <v/>
      </c>
    </row>
    <row r="123" spans="1:5" x14ac:dyDescent="0.3">
      <c r="A123" s="27"/>
      <c r="B123" s="28"/>
      <c r="C123" s="28"/>
      <c r="D123" s="28"/>
      <c r="E123" s="29" t="str">
        <f t="shared" si="1"/>
        <v/>
      </c>
    </row>
    <row r="124" spans="1:5" x14ac:dyDescent="0.3">
      <c r="A124" s="27"/>
      <c r="B124" s="28"/>
      <c r="C124" s="28"/>
      <c r="D124" s="28"/>
      <c r="E124" s="29" t="str">
        <f t="shared" si="1"/>
        <v/>
      </c>
    </row>
    <row r="125" spans="1:5" x14ac:dyDescent="0.3">
      <c r="A125" s="27"/>
      <c r="B125" s="28"/>
      <c r="C125" s="28"/>
      <c r="D125" s="28"/>
      <c r="E125" s="29" t="str">
        <f t="shared" si="1"/>
        <v/>
      </c>
    </row>
    <row r="126" spans="1:5" x14ac:dyDescent="0.3">
      <c r="A126" s="27"/>
      <c r="B126" s="28"/>
      <c r="C126" s="28"/>
      <c r="D126" s="28"/>
      <c r="E126" s="29" t="str">
        <f t="shared" si="1"/>
        <v/>
      </c>
    </row>
    <row r="127" spans="1:5" x14ac:dyDescent="0.3">
      <c r="A127" s="27"/>
      <c r="B127" s="28"/>
      <c r="C127" s="28"/>
      <c r="D127" s="28"/>
      <c r="E127" s="29" t="str">
        <f t="shared" si="1"/>
        <v/>
      </c>
    </row>
    <row r="128" spans="1:5" x14ac:dyDescent="0.3">
      <c r="A128" s="27"/>
      <c r="B128" s="28"/>
      <c r="C128" s="28"/>
      <c r="D128" s="28"/>
      <c r="E128" s="29" t="str">
        <f t="shared" si="1"/>
        <v/>
      </c>
    </row>
    <row r="129" spans="1:5" x14ac:dyDescent="0.3">
      <c r="A129" s="27"/>
      <c r="B129" s="28"/>
      <c r="C129" s="28"/>
      <c r="D129" s="28"/>
      <c r="E129" s="29" t="str">
        <f t="shared" si="1"/>
        <v/>
      </c>
    </row>
    <row r="130" spans="1:5" x14ac:dyDescent="0.3">
      <c r="A130" s="27"/>
      <c r="B130" s="28"/>
      <c r="C130" s="28"/>
      <c r="D130" s="28"/>
      <c r="E130" s="29" t="str">
        <f t="shared" si="1"/>
        <v/>
      </c>
    </row>
    <row r="131" spans="1:5" x14ac:dyDescent="0.3">
      <c r="A131" s="27"/>
      <c r="B131" s="28"/>
      <c r="C131" s="28"/>
      <c r="D131" s="28"/>
      <c r="E131" s="29" t="str">
        <f t="shared" ref="E131:E194" si="2">IF(A131="","",D131/C131)</f>
        <v/>
      </c>
    </row>
    <row r="132" spans="1:5" x14ac:dyDescent="0.3">
      <c r="A132" s="27"/>
      <c r="B132" s="28"/>
      <c r="C132" s="28"/>
      <c r="D132" s="28"/>
      <c r="E132" s="29" t="str">
        <f t="shared" si="2"/>
        <v/>
      </c>
    </row>
    <row r="133" spans="1:5" x14ac:dyDescent="0.3">
      <c r="A133" s="27"/>
      <c r="B133" s="28"/>
      <c r="C133" s="28"/>
      <c r="D133" s="28"/>
      <c r="E133" s="29" t="str">
        <f t="shared" si="2"/>
        <v/>
      </c>
    </row>
    <row r="134" spans="1:5" x14ac:dyDescent="0.3">
      <c r="A134" s="27"/>
      <c r="B134" s="28"/>
      <c r="C134" s="28"/>
      <c r="D134" s="28"/>
      <c r="E134" s="29" t="str">
        <f t="shared" si="2"/>
        <v/>
      </c>
    </row>
    <row r="135" spans="1:5" x14ac:dyDescent="0.3">
      <c r="A135" s="27"/>
      <c r="B135" s="28"/>
      <c r="C135" s="28"/>
      <c r="D135" s="28"/>
      <c r="E135" s="29" t="str">
        <f t="shared" si="2"/>
        <v/>
      </c>
    </row>
    <row r="136" spans="1:5" x14ac:dyDescent="0.3">
      <c r="A136" s="27"/>
      <c r="B136" s="28"/>
      <c r="C136" s="28"/>
      <c r="D136" s="28"/>
      <c r="E136" s="29" t="str">
        <f t="shared" si="2"/>
        <v/>
      </c>
    </row>
    <row r="137" spans="1:5" x14ac:dyDescent="0.3">
      <c r="A137" s="27"/>
      <c r="B137" s="28"/>
      <c r="C137" s="28"/>
      <c r="D137" s="28"/>
      <c r="E137" s="29" t="str">
        <f t="shared" si="2"/>
        <v/>
      </c>
    </row>
    <row r="138" spans="1:5" x14ac:dyDescent="0.3">
      <c r="A138" s="27"/>
      <c r="B138" s="28"/>
      <c r="C138" s="28"/>
      <c r="D138" s="28"/>
      <c r="E138" s="29" t="str">
        <f t="shared" si="2"/>
        <v/>
      </c>
    </row>
    <row r="139" spans="1:5" x14ac:dyDescent="0.3">
      <c r="A139" s="27"/>
      <c r="B139" s="28"/>
      <c r="C139" s="28"/>
      <c r="D139" s="28"/>
      <c r="E139" s="29" t="str">
        <f t="shared" si="2"/>
        <v/>
      </c>
    </row>
    <row r="140" spans="1:5" x14ac:dyDescent="0.3">
      <c r="A140" s="27"/>
      <c r="B140" s="28"/>
      <c r="C140" s="28"/>
      <c r="D140" s="28"/>
      <c r="E140" s="29" t="str">
        <f t="shared" si="2"/>
        <v/>
      </c>
    </row>
    <row r="141" spans="1:5" x14ac:dyDescent="0.3">
      <c r="A141" s="27"/>
      <c r="B141" s="28"/>
      <c r="C141" s="28"/>
      <c r="D141" s="28"/>
      <c r="E141" s="29" t="str">
        <f t="shared" si="2"/>
        <v/>
      </c>
    </row>
    <row r="142" spans="1:5" x14ac:dyDescent="0.3">
      <c r="A142" s="27"/>
      <c r="B142" s="28"/>
      <c r="C142" s="28"/>
      <c r="D142" s="28"/>
      <c r="E142" s="29" t="str">
        <f t="shared" si="2"/>
        <v/>
      </c>
    </row>
    <row r="143" spans="1:5" x14ac:dyDescent="0.3">
      <c r="A143" s="27"/>
      <c r="B143" s="28"/>
      <c r="C143" s="28"/>
      <c r="D143" s="28"/>
      <c r="E143" s="29" t="str">
        <f t="shared" si="2"/>
        <v/>
      </c>
    </row>
    <row r="144" spans="1:5" x14ac:dyDescent="0.3">
      <c r="A144" s="27"/>
      <c r="B144" s="28"/>
      <c r="C144" s="28"/>
      <c r="D144" s="28"/>
      <c r="E144" s="29" t="str">
        <f t="shared" si="2"/>
        <v/>
      </c>
    </row>
    <row r="145" spans="1:5" x14ac:dyDescent="0.3">
      <c r="A145" s="27"/>
      <c r="B145" s="28"/>
      <c r="C145" s="28"/>
      <c r="D145" s="28"/>
      <c r="E145" s="29" t="str">
        <f t="shared" si="2"/>
        <v/>
      </c>
    </row>
    <row r="146" spans="1:5" x14ac:dyDescent="0.3">
      <c r="A146" s="27"/>
      <c r="B146" s="28"/>
      <c r="C146" s="28"/>
      <c r="D146" s="28"/>
      <c r="E146" s="29" t="str">
        <f t="shared" si="2"/>
        <v/>
      </c>
    </row>
    <row r="147" spans="1:5" x14ac:dyDescent="0.3">
      <c r="A147" s="27"/>
      <c r="B147" s="28"/>
      <c r="C147" s="28"/>
      <c r="D147" s="28"/>
      <c r="E147" s="29" t="str">
        <f t="shared" si="2"/>
        <v/>
      </c>
    </row>
    <row r="148" spans="1:5" x14ac:dyDescent="0.3">
      <c r="A148" s="27"/>
      <c r="B148" s="28"/>
      <c r="C148" s="28"/>
      <c r="D148" s="28"/>
      <c r="E148" s="29" t="str">
        <f t="shared" si="2"/>
        <v/>
      </c>
    </row>
    <row r="149" spans="1:5" x14ac:dyDescent="0.3">
      <c r="A149" s="27"/>
      <c r="B149" s="28"/>
      <c r="C149" s="28"/>
      <c r="D149" s="28"/>
      <c r="E149" s="29" t="str">
        <f t="shared" si="2"/>
        <v/>
      </c>
    </row>
    <row r="150" spans="1:5" x14ac:dyDescent="0.3">
      <c r="A150" s="27"/>
      <c r="B150" s="28"/>
      <c r="C150" s="28"/>
      <c r="D150" s="28"/>
      <c r="E150" s="29" t="str">
        <f t="shared" si="2"/>
        <v/>
      </c>
    </row>
    <row r="151" spans="1:5" x14ac:dyDescent="0.3">
      <c r="A151" s="27"/>
      <c r="B151" s="28"/>
      <c r="C151" s="28"/>
      <c r="D151" s="28"/>
      <c r="E151" s="29" t="str">
        <f t="shared" si="2"/>
        <v/>
      </c>
    </row>
    <row r="152" spans="1:5" x14ac:dyDescent="0.3">
      <c r="A152" s="27"/>
      <c r="B152" s="28"/>
      <c r="C152" s="28"/>
      <c r="D152" s="28"/>
      <c r="E152" s="29" t="str">
        <f t="shared" si="2"/>
        <v/>
      </c>
    </row>
    <row r="153" spans="1:5" x14ac:dyDescent="0.3">
      <c r="A153" s="27"/>
      <c r="B153" s="28"/>
      <c r="C153" s="28"/>
      <c r="D153" s="28"/>
      <c r="E153" s="29" t="str">
        <f t="shared" si="2"/>
        <v/>
      </c>
    </row>
    <row r="154" spans="1:5" x14ac:dyDescent="0.3">
      <c r="A154" s="27"/>
      <c r="B154" s="28"/>
      <c r="C154" s="28"/>
      <c r="D154" s="28"/>
      <c r="E154" s="29" t="str">
        <f t="shared" si="2"/>
        <v/>
      </c>
    </row>
    <row r="155" spans="1:5" x14ac:dyDescent="0.3">
      <c r="A155" s="27"/>
      <c r="B155" s="28"/>
      <c r="C155" s="28"/>
      <c r="D155" s="28"/>
      <c r="E155" s="29" t="str">
        <f t="shared" si="2"/>
        <v/>
      </c>
    </row>
    <row r="156" spans="1:5" x14ac:dyDescent="0.3">
      <c r="A156" s="27"/>
      <c r="B156" s="28"/>
      <c r="C156" s="28"/>
      <c r="D156" s="28"/>
      <c r="E156" s="29" t="str">
        <f t="shared" si="2"/>
        <v/>
      </c>
    </row>
    <row r="157" spans="1:5" x14ac:dyDescent="0.3">
      <c r="A157" s="27"/>
      <c r="B157" s="28"/>
      <c r="C157" s="28"/>
      <c r="D157" s="28"/>
      <c r="E157" s="29" t="str">
        <f t="shared" si="2"/>
        <v/>
      </c>
    </row>
    <row r="158" spans="1:5" x14ac:dyDescent="0.3">
      <c r="A158" s="27"/>
      <c r="B158" s="28"/>
      <c r="C158" s="28"/>
      <c r="D158" s="28"/>
      <c r="E158" s="29" t="str">
        <f t="shared" si="2"/>
        <v/>
      </c>
    </row>
    <row r="159" spans="1:5" x14ac:dyDescent="0.3">
      <c r="A159" s="27"/>
      <c r="B159" s="28"/>
      <c r="C159" s="28"/>
      <c r="D159" s="28"/>
      <c r="E159" s="29" t="str">
        <f t="shared" si="2"/>
        <v/>
      </c>
    </row>
    <row r="160" spans="1:5" x14ac:dyDescent="0.3">
      <c r="A160" s="27"/>
      <c r="B160" s="28"/>
      <c r="C160" s="28"/>
      <c r="D160" s="28"/>
      <c r="E160" s="29" t="str">
        <f t="shared" si="2"/>
        <v/>
      </c>
    </row>
    <row r="161" spans="1:5" x14ac:dyDescent="0.3">
      <c r="A161" s="27"/>
      <c r="B161" s="28"/>
      <c r="C161" s="28"/>
      <c r="D161" s="28"/>
      <c r="E161" s="29" t="str">
        <f t="shared" si="2"/>
        <v/>
      </c>
    </row>
    <row r="162" spans="1:5" x14ac:dyDescent="0.3">
      <c r="A162" s="27"/>
      <c r="B162" s="28"/>
      <c r="C162" s="28"/>
      <c r="D162" s="28"/>
      <c r="E162" s="29" t="str">
        <f t="shared" si="2"/>
        <v/>
      </c>
    </row>
    <row r="163" spans="1:5" x14ac:dyDescent="0.3">
      <c r="A163" s="27"/>
      <c r="B163" s="28"/>
      <c r="C163" s="28"/>
      <c r="D163" s="28"/>
      <c r="E163" s="29" t="str">
        <f t="shared" si="2"/>
        <v/>
      </c>
    </row>
    <row r="164" spans="1:5" x14ac:dyDescent="0.3">
      <c r="A164" s="27"/>
      <c r="B164" s="28"/>
      <c r="C164" s="28"/>
      <c r="D164" s="28"/>
      <c r="E164" s="29" t="str">
        <f t="shared" si="2"/>
        <v/>
      </c>
    </row>
    <row r="165" spans="1:5" x14ac:dyDescent="0.3">
      <c r="A165" s="27"/>
      <c r="B165" s="28"/>
      <c r="C165" s="28"/>
      <c r="D165" s="28"/>
      <c r="E165" s="29" t="str">
        <f t="shared" si="2"/>
        <v/>
      </c>
    </row>
    <row r="166" spans="1:5" x14ac:dyDescent="0.3">
      <c r="A166" s="27"/>
      <c r="B166" s="28"/>
      <c r="C166" s="28"/>
      <c r="D166" s="28"/>
      <c r="E166" s="29" t="str">
        <f t="shared" si="2"/>
        <v/>
      </c>
    </row>
    <row r="167" spans="1:5" x14ac:dyDescent="0.3">
      <c r="A167" s="27"/>
      <c r="B167" s="28"/>
      <c r="C167" s="28"/>
      <c r="D167" s="28"/>
      <c r="E167" s="29" t="str">
        <f t="shared" si="2"/>
        <v/>
      </c>
    </row>
    <row r="168" spans="1:5" x14ac:dyDescent="0.3">
      <c r="A168" s="27"/>
      <c r="B168" s="28"/>
      <c r="C168" s="28"/>
      <c r="D168" s="28"/>
      <c r="E168" s="29" t="str">
        <f t="shared" si="2"/>
        <v/>
      </c>
    </row>
    <row r="169" spans="1:5" x14ac:dyDescent="0.3">
      <c r="A169" s="27"/>
      <c r="B169" s="28"/>
      <c r="C169" s="28"/>
      <c r="D169" s="28"/>
      <c r="E169" s="29" t="str">
        <f t="shared" si="2"/>
        <v/>
      </c>
    </row>
    <row r="170" spans="1:5" x14ac:dyDescent="0.3">
      <c r="A170" s="27"/>
      <c r="B170" s="28"/>
      <c r="C170" s="28"/>
      <c r="D170" s="28"/>
      <c r="E170" s="29" t="str">
        <f t="shared" si="2"/>
        <v/>
      </c>
    </row>
    <row r="171" spans="1:5" x14ac:dyDescent="0.3">
      <c r="A171" s="27"/>
      <c r="B171" s="28"/>
      <c r="C171" s="28"/>
      <c r="D171" s="28"/>
      <c r="E171" s="29" t="str">
        <f t="shared" si="2"/>
        <v/>
      </c>
    </row>
    <row r="172" spans="1:5" x14ac:dyDescent="0.3">
      <c r="A172" s="27"/>
      <c r="B172" s="28"/>
      <c r="C172" s="28"/>
      <c r="D172" s="28"/>
      <c r="E172" s="29" t="str">
        <f t="shared" si="2"/>
        <v/>
      </c>
    </row>
    <row r="173" spans="1:5" x14ac:dyDescent="0.3">
      <c r="A173" s="27"/>
      <c r="B173" s="28"/>
      <c r="C173" s="28"/>
      <c r="D173" s="28"/>
      <c r="E173" s="29" t="str">
        <f t="shared" si="2"/>
        <v/>
      </c>
    </row>
    <row r="174" spans="1:5" x14ac:dyDescent="0.3">
      <c r="A174" s="27"/>
      <c r="B174" s="28"/>
      <c r="C174" s="28"/>
      <c r="D174" s="28"/>
      <c r="E174" s="29" t="str">
        <f t="shared" si="2"/>
        <v/>
      </c>
    </row>
    <row r="175" spans="1:5" x14ac:dyDescent="0.3">
      <c r="A175" s="27"/>
      <c r="B175" s="28"/>
      <c r="C175" s="28"/>
      <c r="D175" s="28"/>
      <c r="E175" s="29" t="str">
        <f t="shared" si="2"/>
        <v/>
      </c>
    </row>
    <row r="176" spans="1:5" x14ac:dyDescent="0.3">
      <c r="A176" s="27"/>
      <c r="B176" s="28"/>
      <c r="C176" s="28"/>
      <c r="D176" s="28"/>
      <c r="E176" s="29" t="str">
        <f t="shared" si="2"/>
        <v/>
      </c>
    </row>
    <row r="177" spans="1:5" x14ac:dyDescent="0.3">
      <c r="A177" s="27"/>
      <c r="B177" s="28"/>
      <c r="C177" s="28"/>
      <c r="D177" s="28"/>
      <c r="E177" s="29" t="str">
        <f t="shared" si="2"/>
        <v/>
      </c>
    </row>
    <row r="178" spans="1:5" x14ac:dyDescent="0.3">
      <c r="A178" s="27"/>
      <c r="B178" s="28"/>
      <c r="C178" s="28"/>
      <c r="D178" s="28"/>
      <c r="E178" s="29" t="str">
        <f t="shared" si="2"/>
        <v/>
      </c>
    </row>
    <row r="179" spans="1:5" x14ac:dyDescent="0.3">
      <c r="A179" s="27"/>
      <c r="B179" s="28"/>
      <c r="C179" s="28"/>
      <c r="D179" s="28"/>
      <c r="E179" s="29" t="str">
        <f t="shared" si="2"/>
        <v/>
      </c>
    </row>
    <row r="180" spans="1:5" x14ac:dyDescent="0.3">
      <c r="A180" s="27"/>
      <c r="B180" s="28"/>
      <c r="C180" s="28"/>
      <c r="D180" s="28"/>
      <c r="E180" s="29" t="str">
        <f t="shared" si="2"/>
        <v/>
      </c>
    </row>
    <row r="181" spans="1:5" x14ac:dyDescent="0.3">
      <c r="A181" s="27"/>
      <c r="B181" s="28"/>
      <c r="C181" s="28"/>
      <c r="D181" s="28"/>
      <c r="E181" s="29" t="str">
        <f t="shared" si="2"/>
        <v/>
      </c>
    </row>
    <row r="182" spans="1:5" x14ac:dyDescent="0.3">
      <c r="A182" s="27"/>
      <c r="B182" s="28"/>
      <c r="C182" s="28"/>
      <c r="D182" s="28"/>
      <c r="E182" s="29" t="str">
        <f t="shared" si="2"/>
        <v/>
      </c>
    </row>
    <row r="183" spans="1:5" x14ac:dyDescent="0.3">
      <c r="A183" s="27"/>
      <c r="B183" s="28"/>
      <c r="C183" s="28"/>
      <c r="D183" s="28"/>
      <c r="E183" s="29" t="str">
        <f t="shared" si="2"/>
        <v/>
      </c>
    </row>
    <row r="184" spans="1:5" x14ac:dyDescent="0.3">
      <c r="A184" s="27"/>
      <c r="B184" s="28"/>
      <c r="C184" s="28"/>
      <c r="D184" s="28"/>
      <c r="E184" s="29" t="str">
        <f t="shared" si="2"/>
        <v/>
      </c>
    </row>
    <row r="185" spans="1:5" x14ac:dyDescent="0.3">
      <c r="A185" s="27"/>
      <c r="B185" s="28"/>
      <c r="C185" s="28"/>
      <c r="D185" s="28"/>
      <c r="E185" s="29" t="str">
        <f t="shared" si="2"/>
        <v/>
      </c>
    </row>
    <row r="186" spans="1:5" x14ac:dyDescent="0.3">
      <c r="A186" s="27"/>
      <c r="B186" s="28"/>
      <c r="C186" s="28"/>
      <c r="D186" s="28"/>
      <c r="E186" s="29" t="str">
        <f t="shared" si="2"/>
        <v/>
      </c>
    </row>
    <row r="187" spans="1:5" x14ac:dyDescent="0.3">
      <c r="A187" s="27"/>
      <c r="B187" s="28"/>
      <c r="C187" s="28"/>
      <c r="D187" s="28"/>
      <c r="E187" s="29" t="str">
        <f t="shared" si="2"/>
        <v/>
      </c>
    </row>
    <row r="188" spans="1:5" x14ac:dyDescent="0.3">
      <c r="A188" s="27"/>
      <c r="B188" s="28"/>
      <c r="C188" s="28"/>
      <c r="D188" s="28"/>
      <c r="E188" s="29" t="str">
        <f t="shared" si="2"/>
        <v/>
      </c>
    </row>
    <row r="189" spans="1:5" x14ac:dyDescent="0.3">
      <c r="A189" s="27"/>
      <c r="B189" s="28"/>
      <c r="C189" s="28"/>
      <c r="D189" s="28"/>
      <c r="E189" s="29" t="str">
        <f t="shared" si="2"/>
        <v/>
      </c>
    </row>
    <row r="190" spans="1:5" x14ac:dyDescent="0.3">
      <c r="A190" s="27"/>
      <c r="B190" s="28"/>
      <c r="C190" s="28"/>
      <c r="D190" s="28"/>
      <c r="E190" s="29" t="str">
        <f t="shared" si="2"/>
        <v/>
      </c>
    </row>
    <row r="191" spans="1:5" x14ac:dyDescent="0.3">
      <c r="A191" s="27"/>
      <c r="B191" s="28"/>
      <c r="C191" s="28"/>
      <c r="D191" s="28"/>
      <c r="E191" s="29" t="str">
        <f t="shared" si="2"/>
        <v/>
      </c>
    </row>
    <row r="192" spans="1:5" x14ac:dyDescent="0.3">
      <c r="A192" s="27"/>
      <c r="B192" s="28"/>
      <c r="C192" s="28"/>
      <c r="D192" s="28"/>
      <c r="E192" s="29" t="str">
        <f t="shared" si="2"/>
        <v/>
      </c>
    </row>
    <row r="193" spans="1:5" x14ac:dyDescent="0.3">
      <c r="A193" s="27"/>
      <c r="B193" s="28"/>
      <c r="C193" s="28"/>
      <c r="D193" s="28"/>
      <c r="E193" s="29" t="str">
        <f t="shared" si="2"/>
        <v/>
      </c>
    </row>
    <row r="194" spans="1:5" x14ac:dyDescent="0.3">
      <c r="A194" s="27"/>
      <c r="B194" s="28"/>
      <c r="C194" s="28"/>
      <c r="D194" s="28"/>
      <c r="E194" s="29" t="str">
        <f t="shared" si="2"/>
        <v/>
      </c>
    </row>
    <row r="195" spans="1:5" x14ac:dyDescent="0.3">
      <c r="A195" s="27"/>
      <c r="B195" s="28"/>
      <c r="C195" s="28"/>
      <c r="D195" s="28"/>
      <c r="E195" s="29" t="str">
        <f t="shared" ref="E195:E258" si="3">IF(A195="","",D195/C195)</f>
        <v/>
      </c>
    </row>
    <row r="196" spans="1:5" x14ac:dyDescent="0.3">
      <c r="A196" s="27"/>
      <c r="B196" s="28"/>
      <c r="C196" s="28"/>
      <c r="D196" s="28"/>
      <c r="E196" s="29" t="str">
        <f t="shared" si="3"/>
        <v/>
      </c>
    </row>
    <row r="197" spans="1:5" x14ac:dyDescent="0.3">
      <c r="A197" s="27"/>
      <c r="B197" s="28"/>
      <c r="C197" s="28"/>
      <c r="D197" s="28"/>
      <c r="E197" s="29" t="str">
        <f t="shared" si="3"/>
        <v/>
      </c>
    </row>
    <row r="198" spans="1:5" x14ac:dyDescent="0.3">
      <c r="A198" s="27"/>
      <c r="B198" s="28"/>
      <c r="C198" s="28"/>
      <c r="D198" s="28"/>
      <c r="E198" s="29" t="str">
        <f t="shared" si="3"/>
        <v/>
      </c>
    </row>
    <row r="199" spans="1:5" x14ac:dyDescent="0.3">
      <c r="A199" s="27"/>
      <c r="B199" s="28"/>
      <c r="C199" s="28"/>
      <c r="D199" s="28"/>
      <c r="E199" s="29" t="str">
        <f t="shared" si="3"/>
        <v/>
      </c>
    </row>
    <row r="200" spans="1:5" x14ac:dyDescent="0.3">
      <c r="A200" s="27"/>
      <c r="B200" s="28"/>
      <c r="C200" s="28"/>
      <c r="D200" s="28"/>
      <c r="E200" s="29" t="str">
        <f t="shared" si="3"/>
        <v/>
      </c>
    </row>
    <row r="201" spans="1:5" x14ac:dyDescent="0.3">
      <c r="A201" s="27"/>
      <c r="B201" s="28"/>
      <c r="C201" s="28"/>
      <c r="D201" s="28"/>
      <c r="E201" s="29" t="str">
        <f t="shared" si="3"/>
        <v/>
      </c>
    </row>
    <row r="202" spans="1:5" x14ac:dyDescent="0.3">
      <c r="A202" s="27"/>
      <c r="B202" s="28"/>
      <c r="C202" s="28"/>
      <c r="D202" s="28"/>
      <c r="E202" s="29" t="str">
        <f t="shared" si="3"/>
        <v/>
      </c>
    </row>
    <row r="203" spans="1:5" x14ac:dyDescent="0.3">
      <c r="A203" s="27"/>
      <c r="B203" s="28"/>
      <c r="C203" s="28"/>
      <c r="D203" s="28"/>
      <c r="E203" s="29" t="str">
        <f t="shared" si="3"/>
        <v/>
      </c>
    </row>
    <row r="204" spans="1:5" x14ac:dyDescent="0.3">
      <c r="A204" s="27"/>
      <c r="B204" s="28"/>
      <c r="C204" s="28"/>
      <c r="D204" s="28"/>
      <c r="E204" s="29" t="str">
        <f t="shared" si="3"/>
        <v/>
      </c>
    </row>
    <row r="205" spans="1:5" x14ac:dyDescent="0.3">
      <c r="A205" s="27"/>
      <c r="B205" s="28"/>
      <c r="C205" s="28"/>
      <c r="D205" s="28"/>
      <c r="E205" s="29" t="str">
        <f t="shared" si="3"/>
        <v/>
      </c>
    </row>
    <row r="206" spans="1:5" x14ac:dyDescent="0.3">
      <c r="A206" s="27"/>
      <c r="B206" s="28"/>
      <c r="C206" s="28"/>
      <c r="D206" s="28"/>
      <c r="E206" s="29" t="str">
        <f t="shared" si="3"/>
        <v/>
      </c>
    </row>
    <row r="207" spans="1:5" x14ac:dyDescent="0.3">
      <c r="A207" s="27"/>
      <c r="B207" s="28"/>
      <c r="C207" s="28"/>
      <c r="D207" s="28"/>
      <c r="E207" s="29" t="str">
        <f t="shared" si="3"/>
        <v/>
      </c>
    </row>
    <row r="208" spans="1:5" x14ac:dyDescent="0.3">
      <c r="A208" s="27"/>
      <c r="B208" s="28"/>
      <c r="C208" s="28"/>
      <c r="D208" s="28"/>
      <c r="E208" s="29" t="str">
        <f t="shared" si="3"/>
        <v/>
      </c>
    </row>
    <row r="209" spans="1:5" x14ac:dyDescent="0.3">
      <c r="A209" s="27"/>
      <c r="B209" s="28"/>
      <c r="C209" s="28"/>
      <c r="D209" s="28"/>
      <c r="E209" s="29" t="str">
        <f t="shared" si="3"/>
        <v/>
      </c>
    </row>
    <row r="210" spans="1:5" x14ac:dyDescent="0.3">
      <c r="A210" s="27"/>
      <c r="B210" s="28"/>
      <c r="C210" s="28"/>
      <c r="D210" s="28"/>
      <c r="E210" s="29" t="str">
        <f t="shared" si="3"/>
        <v/>
      </c>
    </row>
    <row r="211" spans="1:5" x14ac:dyDescent="0.3">
      <c r="A211" s="27"/>
      <c r="B211" s="28"/>
      <c r="C211" s="28"/>
      <c r="D211" s="28"/>
      <c r="E211" s="29" t="str">
        <f t="shared" si="3"/>
        <v/>
      </c>
    </row>
    <row r="212" spans="1:5" x14ac:dyDescent="0.3">
      <c r="A212" s="27"/>
      <c r="B212" s="28"/>
      <c r="C212" s="28"/>
      <c r="D212" s="28"/>
      <c r="E212" s="29" t="str">
        <f t="shared" si="3"/>
        <v/>
      </c>
    </row>
    <row r="213" spans="1:5" x14ac:dyDescent="0.3">
      <c r="A213" s="27"/>
      <c r="B213" s="28"/>
      <c r="C213" s="28"/>
      <c r="D213" s="28"/>
      <c r="E213" s="29" t="str">
        <f t="shared" si="3"/>
        <v/>
      </c>
    </row>
    <row r="214" spans="1:5" x14ac:dyDescent="0.3">
      <c r="A214" s="27"/>
      <c r="B214" s="28"/>
      <c r="C214" s="28"/>
      <c r="D214" s="28"/>
      <c r="E214" s="29" t="str">
        <f t="shared" si="3"/>
        <v/>
      </c>
    </row>
    <row r="215" spans="1:5" x14ac:dyDescent="0.3">
      <c r="A215" s="27"/>
      <c r="B215" s="28"/>
      <c r="C215" s="28"/>
      <c r="D215" s="28"/>
      <c r="E215" s="29" t="str">
        <f t="shared" si="3"/>
        <v/>
      </c>
    </row>
    <row r="216" spans="1:5" x14ac:dyDescent="0.3">
      <c r="A216" s="27"/>
      <c r="B216" s="28"/>
      <c r="C216" s="28"/>
      <c r="D216" s="28"/>
      <c r="E216" s="29" t="str">
        <f t="shared" si="3"/>
        <v/>
      </c>
    </row>
    <row r="217" spans="1:5" x14ac:dyDescent="0.3">
      <c r="A217" s="27"/>
      <c r="B217" s="28"/>
      <c r="C217" s="28"/>
      <c r="D217" s="28"/>
      <c r="E217" s="29" t="str">
        <f t="shared" si="3"/>
        <v/>
      </c>
    </row>
    <row r="218" spans="1:5" x14ac:dyDescent="0.3">
      <c r="A218" s="27"/>
      <c r="B218" s="28"/>
      <c r="C218" s="28"/>
      <c r="D218" s="28"/>
      <c r="E218" s="29" t="str">
        <f t="shared" si="3"/>
        <v/>
      </c>
    </row>
    <row r="219" spans="1:5" x14ac:dyDescent="0.3">
      <c r="A219" s="27"/>
      <c r="B219" s="28"/>
      <c r="C219" s="28"/>
      <c r="D219" s="28"/>
      <c r="E219" s="29" t="str">
        <f t="shared" si="3"/>
        <v/>
      </c>
    </row>
    <row r="220" spans="1:5" x14ac:dyDescent="0.3">
      <c r="A220" s="27"/>
      <c r="B220" s="28"/>
      <c r="C220" s="28"/>
      <c r="D220" s="28"/>
      <c r="E220" s="29" t="str">
        <f t="shared" si="3"/>
        <v/>
      </c>
    </row>
    <row r="221" spans="1:5" x14ac:dyDescent="0.3">
      <c r="A221" s="27"/>
      <c r="B221" s="28"/>
      <c r="C221" s="28"/>
      <c r="D221" s="28"/>
      <c r="E221" s="29" t="str">
        <f t="shared" si="3"/>
        <v/>
      </c>
    </row>
    <row r="222" spans="1:5" x14ac:dyDescent="0.3">
      <c r="A222" s="27"/>
      <c r="B222" s="28"/>
      <c r="C222" s="28"/>
      <c r="D222" s="28"/>
      <c r="E222" s="29" t="str">
        <f t="shared" si="3"/>
        <v/>
      </c>
    </row>
    <row r="223" spans="1:5" x14ac:dyDescent="0.3">
      <c r="A223" s="27"/>
      <c r="B223" s="28"/>
      <c r="C223" s="28"/>
      <c r="D223" s="28"/>
      <c r="E223" s="29" t="str">
        <f t="shared" si="3"/>
        <v/>
      </c>
    </row>
    <row r="224" spans="1:5" x14ac:dyDescent="0.3">
      <c r="A224" s="27"/>
      <c r="B224" s="28"/>
      <c r="C224" s="28"/>
      <c r="D224" s="28"/>
      <c r="E224" s="29" t="str">
        <f t="shared" si="3"/>
        <v/>
      </c>
    </row>
    <row r="225" spans="1:5" x14ac:dyDescent="0.3">
      <c r="A225" s="27"/>
      <c r="B225" s="28"/>
      <c r="C225" s="28"/>
      <c r="D225" s="28"/>
      <c r="E225" s="29" t="str">
        <f t="shared" si="3"/>
        <v/>
      </c>
    </row>
    <row r="226" spans="1:5" x14ac:dyDescent="0.3">
      <c r="A226" s="27"/>
      <c r="B226" s="28"/>
      <c r="C226" s="28"/>
      <c r="D226" s="28"/>
      <c r="E226" s="29" t="str">
        <f t="shared" si="3"/>
        <v/>
      </c>
    </row>
    <row r="227" spans="1:5" x14ac:dyDescent="0.3">
      <c r="A227" s="27"/>
      <c r="B227" s="28"/>
      <c r="C227" s="28"/>
      <c r="D227" s="28"/>
      <c r="E227" s="29" t="str">
        <f t="shared" si="3"/>
        <v/>
      </c>
    </row>
    <row r="228" spans="1:5" x14ac:dyDescent="0.3">
      <c r="A228" s="27"/>
      <c r="B228" s="28"/>
      <c r="C228" s="28"/>
      <c r="D228" s="28"/>
      <c r="E228" s="29" t="str">
        <f t="shared" si="3"/>
        <v/>
      </c>
    </row>
    <row r="229" spans="1:5" x14ac:dyDescent="0.3">
      <c r="A229" s="27"/>
      <c r="B229" s="28"/>
      <c r="C229" s="28"/>
      <c r="D229" s="28"/>
      <c r="E229" s="29" t="str">
        <f t="shared" si="3"/>
        <v/>
      </c>
    </row>
    <row r="230" spans="1:5" x14ac:dyDescent="0.3">
      <c r="A230" s="27"/>
      <c r="B230" s="28"/>
      <c r="C230" s="28"/>
      <c r="D230" s="28"/>
      <c r="E230" s="29" t="str">
        <f t="shared" si="3"/>
        <v/>
      </c>
    </row>
    <row r="231" spans="1:5" x14ac:dyDescent="0.3">
      <c r="A231" s="27"/>
      <c r="B231" s="28"/>
      <c r="C231" s="28"/>
      <c r="D231" s="28"/>
      <c r="E231" s="29" t="str">
        <f t="shared" si="3"/>
        <v/>
      </c>
    </row>
    <row r="232" spans="1:5" x14ac:dyDescent="0.3">
      <c r="A232" s="27"/>
      <c r="B232" s="28"/>
      <c r="C232" s="28"/>
      <c r="D232" s="28"/>
      <c r="E232" s="29" t="str">
        <f t="shared" si="3"/>
        <v/>
      </c>
    </row>
    <row r="233" spans="1:5" x14ac:dyDescent="0.3">
      <c r="A233" s="27"/>
      <c r="B233" s="28"/>
      <c r="C233" s="28"/>
      <c r="D233" s="28"/>
      <c r="E233" s="29" t="str">
        <f t="shared" si="3"/>
        <v/>
      </c>
    </row>
    <row r="234" spans="1:5" x14ac:dyDescent="0.3">
      <c r="A234" s="27"/>
      <c r="B234" s="28"/>
      <c r="C234" s="28"/>
      <c r="D234" s="28"/>
      <c r="E234" s="29" t="str">
        <f t="shared" si="3"/>
        <v/>
      </c>
    </row>
    <row r="235" spans="1:5" x14ac:dyDescent="0.3">
      <c r="A235" s="27"/>
      <c r="B235" s="28"/>
      <c r="C235" s="28"/>
      <c r="D235" s="28"/>
      <c r="E235" s="29" t="str">
        <f t="shared" si="3"/>
        <v/>
      </c>
    </row>
    <row r="236" spans="1:5" x14ac:dyDescent="0.3">
      <c r="A236" s="27"/>
      <c r="B236" s="28"/>
      <c r="C236" s="28"/>
      <c r="D236" s="28"/>
      <c r="E236" s="29" t="str">
        <f t="shared" si="3"/>
        <v/>
      </c>
    </row>
    <row r="237" spans="1:5" x14ac:dyDescent="0.3">
      <c r="A237" s="27"/>
      <c r="B237" s="28"/>
      <c r="C237" s="28"/>
      <c r="D237" s="28"/>
      <c r="E237" s="29" t="str">
        <f t="shared" si="3"/>
        <v/>
      </c>
    </row>
    <row r="238" spans="1:5" x14ac:dyDescent="0.3">
      <c r="A238" s="27"/>
      <c r="B238" s="28"/>
      <c r="C238" s="28"/>
      <c r="D238" s="28"/>
      <c r="E238" s="29" t="str">
        <f t="shared" si="3"/>
        <v/>
      </c>
    </row>
    <row r="239" spans="1:5" x14ac:dyDescent="0.3">
      <c r="A239" s="27"/>
      <c r="B239" s="28"/>
      <c r="C239" s="28"/>
      <c r="D239" s="28"/>
      <c r="E239" s="29" t="str">
        <f t="shared" si="3"/>
        <v/>
      </c>
    </row>
    <row r="240" spans="1:5" x14ac:dyDescent="0.3">
      <c r="A240" s="27"/>
      <c r="B240" s="28"/>
      <c r="C240" s="28"/>
      <c r="D240" s="28"/>
      <c r="E240" s="29" t="str">
        <f t="shared" si="3"/>
        <v/>
      </c>
    </row>
    <row r="241" spans="1:5" x14ac:dyDescent="0.3">
      <c r="A241" s="27"/>
      <c r="B241" s="28"/>
      <c r="C241" s="28"/>
      <c r="D241" s="28"/>
      <c r="E241" s="29" t="str">
        <f t="shared" si="3"/>
        <v/>
      </c>
    </row>
    <row r="242" spans="1:5" x14ac:dyDescent="0.3">
      <c r="A242" s="27"/>
      <c r="B242" s="28"/>
      <c r="C242" s="28"/>
      <c r="D242" s="28"/>
      <c r="E242" s="29" t="str">
        <f t="shared" si="3"/>
        <v/>
      </c>
    </row>
    <row r="243" spans="1:5" x14ac:dyDescent="0.3">
      <c r="A243" s="27"/>
      <c r="B243" s="28"/>
      <c r="C243" s="28"/>
      <c r="D243" s="28"/>
      <c r="E243" s="29" t="str">
        <f t="shared" si="3"/>
        <v/>
      </c>
    </row>
    <row r="244" spans="1:5" x14ac:dyDescent="0.3">
      <c r="A244" s="27"/>
      <c r="B244" s="28"/>
      <c r="C244" s="28"/>
      <c r="D244" s="28"/>
      <c r="E244" s="29" t="str">
        <f t="shared" si="3"/>
        <v/>
      </c>
    </row>
    <row r="245" spans="1:5" x14ac:dyDescent="0.3">
      <c r="A245" s="27"/>
      <c r="B245" s="28"/>
      <c r="C245" s="28"/>
      <c r="D245" s="28"/>
      <c r="E245" s="29" t="str">
        <f t="shared" si="3"/>
        <v/>
      </c>
    </row>
    <row r="246" spans="1:5" x14ac:dyDescent="0.3">
      <c r="A246" s="27"/>
      <c r="B246" s="28"/>
      <c r="C246" s="28"/>
      <c r="D246" s="28"/>
      <c r="E246" s="29" t="str">
        <f t="shared" si="3"/>
        <v/>
      </c>
    </row>
    <row r="247" spans="1:5" x14ac:dyDescent="0.3">
      <c r="A247" s="27"/>
      <c r="B247" s="28"/>
      <c r="C247" s="28"/>
      <c r="D247" s="28"/>
      <c r="E247" s="29" t="str">
        <f t="shared" si="3"/>
        <v/>
      </c>
    </row>
    <row r="248" spans="1:5" x14ac:dyDescent="0.3">
      <c r="A248" s="27"/>
      <c r="B248" s="28"/>
      <c r="C248" s="28"/>
      <c r="D248" s="28"/>
      <c r="E248" s="29" t="str">
        <f t="shared" si="3"/>
        <v/>
      </c>
    </row>
    <row r="249" spans="1:5" x14ac:dyDescent="0.3">
      <c r="A249" s="27"/>
      <c r="B249" s="28"/>
      <c r="C249" s="28"/>
      <c r="D249" s="28"/>
      <c r="E249" s="29" t="str">
        <f t="shared" si="3"/>
        <v/>
      </c>
    </row>
    <row r="250" spans="1:5" x14ac:dyDescent="0.3">
      <c r="A250" s="27"/>
      <c r="B250" s="28"/>
      <c r="C250" s="28"/>
      <c r="D250" s="28"/>
      <c r="E250" s="29" t="str">
        <f t="shared" si="3"/>
        <v/>
      </c>
    </row>
    <row r="251" spans="1:5" x14ac:dyDescent="0.3">
      <c r="A251" s="27"/>
      <c r="B251" s="28"/>
      <c r="C251" s="28"/>
      <c r="D251" s="28"/>
      <c r="E251" s="29" t="str">
        <f t="shared" si="3"/>
        <v/>
      </c>
    </row>
    <row r="252" spans="1:5" x14ac:dyDescent="0.3">
      <c r="A252" s="27"/>
      <c r="B252" s="28"/>
      <c r="C252" s="28"/>
      <c r="D252" s="28"/>
      <c r="E252" s="29" t="str">
        <f t="shared" si="3"/>
        <v/>
      </c>
    </row>
    <row r="253" spans="1:5" x14ac:dyDescent="0.3">
      <c r="A253" s="27"/>
      <c r="B253" s="28"/>
      <c r="C253" s="28"/>
      <c r="D253" s="28"/>
      <c r="E253" s="29" t="str">
        <f t="shared" si="3"/>
        <v/>
      </c>
    </row>
    <row r="254" spans="1:5" x14ac:dyDescent="0.3">
      <c r="A254" s="27"/>
      <c r="B254" s="28"/>
      <c r="C254" s="28"/>
      <c r="D254" s="28"/>
      <c r="E254" s="29" t="str">
        <f t="shared" si="3"/>
        <v/>
      </c>
    </row>
    <row r="255" spans="1:5" x14ac:dyDescent="0.3">
      <c r="A255" s="27"/>
      <c r="B255" s="28"/>
      <c r="C255" s="28"/>
      <c r="D255" s="28"/>
      <c r="E255" s="29" t="str">
        <f t="shared" si="3"/>
        <v/>
      </c>
    </row>
    <row r="256" spans="1:5" x14ac:dyDescent="0.3">
      <c r="A256" s="27"/>
      <c r="B256" s="28"/>
      <c r="C256" s="28"/>
      <c r="D256" s="28"/>
      <c r="E256" s="29" t="str">
        <f t="shared" si="3"/>
        <v/>
      </c>
    </row>
    <row r="257" spans="1:5" x14ac:dyDescent="0.3">
      <c r="A257" s="27"/>
      <c r="B257" s="28"/>
      <c r="C257" s="28"/>
      <c r="D257" s="28"/>
      <c r="E257" s="29" t="str">
        <f t="shared" si="3"/>
        <v/>
      </c>
    </row>
    <row r="258" spans="1:5" x14ac:dyDescent="0.3">
      <c r="A258" s="27"/>
      <c r="B258" s="28"/>
      <c r="C258" s="28"/>
      <c r="D258" s="28"/>
      <c r="E258" s="29" t="str">
        <f t="shared" si="3"/>
        <v/>
      </c>
    </row>
    <row r="259" spans="1:5" x14ac:dyDescent="0.3">
      <c r="A259" s="27"/>
      <c r="B259" s="28"/>
      <c r="C259" s="28"/>
      <c r="D259" s="28"/>
      <c r="E259" s="29" t="str">
        <f t="shared" ref="E259:E300" si="4">IF(A259="","",D259/C259)</f>
        <v/>
      </c>
    </row>
    <row r="260" spans="1:5" x14ac:dyDescent="0.3">
      <c r="A260" s="27"/>
      <c r="B260" s="28"/>
      <c r="C260" s="28"/>
      <c r="D260" s="28"/>
      <c r="E260" s="29" t="str">
        <f t="shared" si="4"/>
        <v/>
      </c>
    </row>
    <row r="261" spans="1:5" x14ac:dyDescent="0.3">
      <c r="A261" s="27"/>
      <c r="B261" s="28"/>
      <c r="C261" s="28"/>
      <c r="D261" s="28"/>
      <c r="E261" s="29" t="str">
        <f t="shared" si="4"/>
        <v/>
      </c>
    </row>
    <row r="262" spans="1:5" x14ac:dyDescent="0.3">
      <c r="A262" s="27"/>
      <c r="B262" s="28"/>
      <c r="C262" s="28"/>
      <c r="D262" s="28"/>
      <c r="E262" s="29" t="str">
        <f t="shared" si="4"/>
        <v/>
      </c>
    </row>
    <row r="263" spans="1:5" x14ac:dyDescent="0.3">
      <c r="A263" s="27"/>
      <c r="B263" s="28"/>
      <c r="C263" s="28"/>
      <c r="D263" s="28"/>
      <c r="E263" s="29" t="str">
        <f t="shared" si="4"/>
        <v/>
      </c>
    </row>
    <row r="264" spans="1:5" x14ac:dyDescent="0.3">
      <c r="A264" s="27"/>
      <c r="B264" s="28"/>
      <c r="C264" s="28"/>
      <c r="D264" s="28"/>
      <c r="E264" s="29" t="str">
        <f t="shared" si="4"/>
        <v/>
      </c>
    </row>
    <row r="265" spans="1:5" x14ac:dyDescent="0.3">
      <c r="A265" s="27"/>
      <c r="B265" s="28"/>
      <c r="C265" s="28"/>
      <c r="D265" s="28"/>
      <c r="E265" s="29" t="str">
        <f t="shared" si="4"/>
        <v/>
      </c>
    </row>
    <row r="266" spans="1:5" x14ac:dyDescent="0.3">
      <c r="A266" s="27"/>
      <c r="B266" s="28"/>
      <c r="C266" s="28"/>
      <c r="D266" s="28"/>
      <c r="E266" s="29" t="str">
        <f t="shared" si="4"/>
        <v/>
      </c>
    </row>
    <row r="267" spans="1:5" x14ac:dyDescent="0.3">
      <c r="A267" s="27"/>
      <c r="B267" s="28"/>
      <c r="C267" s="28"/>
      <c r="D267" s="28"/>
      <c r="E267" s="29" t="str">
        <f t="shared" si="4"/>
        <v/>
      </c>
    </row>
    <row r="268" spans="1:5" x14ac:dyDescent="0.3">
      <c r="A268" s="27"/>
      <c r="B268" s="28"/>
      <c r="C268" s="28"/>
      <c r="D268" s="28"/>
      <c r="E268" s="29" t="str">
        <f t="shared" si="4"/>
        <v/>
      </c>
    </row>
    <row r="269" spans="1:5" x14ac:dyDescent="0.3">
      <c r="A269" s="27"/>
      <c r="B269" s="28"/>
      <c r="C269" s="28"/>
      <c r="D269" s="28"/>
      <c r="E269" s="29" t="str">
        <f t="shared" si="4"/>
        <v/>
      </c>
    </row>
    <row r="270" spans="1:5" x14ac:dyDescent="0.3">
      <c r="A270" s="27"/>
      <c r="B270" s="28"/>
      <c r="C270" s="28"/>
      <c r="D270" s="28"/>
      <c r="E270" s="29" t="str">
        <f t="shared" si="4"/>
        <v/>
      </c>
    </row>
    <row r="271" spans="1:5" x14ac:dyDescent="0.3">
      <c r="A271" s="27"/>
      <c r="B271" s="28"/>
      <c r="C271" s="28"/>
      <c r="D271" s="28"/>
      <c r="E271" s="29" t="str">
        <f t="shared" si="4"/>
        <v/>
      </c>
    </row>
    <row r="272" spans="1:5" x14ac:dyDescent="0.3">
      <c r="A272" s="27"/>
      <c r="B272" s="28"/>
      <c r="C272" s="28"/>
      <c r="D272" s="28"/>
      <c r="E272" s="29" t="str">
        <f t="shared" si="4"/>
        <v/>
      </c>
    </row>
    <row r="273" spans="1:5" x14ac:dyDescent="0.3">
      <c r="A273" s="27"/>
      <c r="B273" s="28"/>
      <c r="C273" s="28"/>
      <c r="D273" s="28"/>
      <c r="E273" s="29" t="str">
        <f t="shared" si="4"/>
        <v/>
      </c>
    </row>
    <row r="274" spans="1:5" x14ac:dyDescent="0.3">
      <c r="A274" s="27"/>
      <c r="B274" s="28"/>
      <c r="C274" s="28"/>
      <c r="D274" s="28"/>
      <c r="E274" s="29" t="str">
        <f t="shared" si="4"/>
        <v/>
      </c>
    </row>
    <row r="275" spans="1:5" x14ac:dyDescent="0.3">
      <c r="A275" s="27"/>
      <c r="B275" s="28"/>
      <c r="C275" s="28"/>
      <c r="D275" s="28"/>
      <c r="E275" s="29" t="str">
        <f t="shared" si="4"/>
        <v/>
      </c>
    </row>
    <row r="276" spans="1:5" x14ac:dyDescent="0.3">
      <c r="A276" s="27"/>
      <c r="B276" s="28"/>
      <c r="C276" s="28"/>
      <c r="D276" s="28"/>
      <c r="E276" s="29" t="str">
        <f t="shared" si="4"/>
        <v/>
      </c>
    </row>
    <row r="277" spans="1:5" x14ac:dyDescent="0.3">
      <c r="A277" s="27"/>
      <c r="B277" s="28"/>
      <c r="C277" s="28"/>
      <c r="D277" s="28"/>
      <c r="E277" s="29" t="str">
        <f t="shared" si="4"/>
        <v/>
      </c>
    </row>
    <row r="278" spans="1:5" x14ac:dyDescent="0.3">
      <c r="A278" s="27"/>
      <c r="B278" s="28"/>
      <c r="C278" s="28"/>
      <c r="D278" s="28"/>
      <c r="E278" s="29" t="str">
        <f t="shared" si="4"/>
        <v/>
      </c>
    </row>
    <row r="279" spans="1:5" x14ac:dyDescent="0.3">
      <c r="A279" s="27"/>
      <c r="B279" s="28"/>
      <c r="C279" s="28"/>
      <c r="D279" s="28"/>
      <c r="E279" s="29" t="str">
        <f t="shared" si="4"/>
        <v/>
      </c>
    </row>
    <row r="280" spans="1:5" x14ac:dyDescent="0.3">
      <c r="A280" s="27"/>
      <c r="B280" s="28"/>
      <c r="C280" s="28"/>
      <c r="D280" s="28"/>
      <c r="E280" s="29" t="str">
        <f t="shared" si="4"/>
        <v/>
      </c>
    </row>
    <row r="281" spans="1:5" x14ac:dyDescent="0.3">
      <c r="A281" s="27"/>
      <c r="B281" s="28"/>
      <c r="C281" s="28"/>
      <c r="D281" s="28"/>
      <c r="E281" s="29" t="str">
        <f t="shared" si="4"/>
        <v/>
      </c>
    </row>
    <row r="282" spans="1:5" x14ac:dyDescent="0.3">
      <c r="A282" s="27"/>
      <c r="B282" s="28"/>
      <c r="C282" s="28"/>
      <c r="D282" s="28"/>
      <c r="E282" s="29" t="str">
        <f t="shared" si="4"/>
        <v/>
      </c>
    </row>
    <row r="283" spans="1:5" x14ac:dyDescent="0.3">
      <c r="A283" s="27"/>
      <c r="B283" s="28"/>
      <c r="C283" s="28"/>
      <c r="D283" s="28"/>
      <c r="E283" s="29" t="str">
        <f t="shared" si="4"/>
        <v/>
      </c>
    </row>
    <row r="284" spans="1:5" x14ac:dyDescent="0.3">
      <c r="A284" s="27"/>
      <c r="B284" s="28"/>
      <c r="C284" s="28"/>
      <c r="D284" s="28"/>
      <c r="E284" s="29" t="str">
        <f t="shared" si="4"/>
        <v/>
      </c>
    </row>
    <row r="285" spans="1:5" x14ac:dyDescent="0.3">
      <c r="A285" s="27"/>
      <c r="B285" s="28"/>
      <c r="C285" s="28"/>
      <c r="D285" s="28"/>
      <c r="E285" s="29" t="str">
        <f t="shared" si="4"/>
        <v/>
      </c>
    </row>
    <row r="286" spans="1:5" x14ac:dyDescent="0.3">
      <c r="A286" s="27"/>
      <c r="B286" s="28"/>
      <c r="C286" s="28"/>
      <c r="D286" s="28"/>
      <c r="E286" s="29" t="str">
        <f t="shared" si="4"/>
        <v/>
      </c>
    </row>
    <row r="287" spans="1:5" x14ac:dyDescent="0.3">
      <c r="A287" s="27"/>
      <c r="B287" s="28"/>
      <c r="C287" s="28"/>
      <c r="D287" s="28"/>
      <c r="E287" s="29" t="str">
        <f t="shared" si="4"/>
        <v/>
      </c>
    </row>
    <row r="288" spans="1:5" x14ac:dyDescent="0.3">
      <c r="A288" s="27"/>
      <c r="B288" s="28"/>
      <c r="C288" s="28"/>
      <c r="D288" s="28"/>
      <c r="E288" s="29" t="str">
        <f t="shared" si="4"/>
        <v/>
      </c>
    </row>
    <row r="289" spans="1:5" x14ac:dyDescent="0.3">
      <c r="A289" s="27"/>
      <c r="B289" s="28"/>
      <c r="C289" s="28"/>
      <c r="D289" s="28"/>
      <c r="E289" s="29" t="str">
        <f t="shared" si="4"/>
        <v/>
      </c>
    </row>
    <row r="290" spans="1:5" x14ac:dyDescent="0.3">
      <c r="A290" s="27"/>
      <c r="B290" s="28"/>
      <c r="C290" s="28"/>
      <c r="D290" s="28"/>
      <c r="E290" s="29" t="str">
        <f t="shared" si="4"/>
        <v/>
      </c>
    </row>
    <row r="291" spans="1:5" x14ac:dyDescent="0.3">
      <c r="A291" s="27"/>
      <c r="B291" s="28"/>
      <c r="C291" s="28"/>
      <c r="D291" s="28"/>
      <c r="E291" s="29" t="str">
        <f t="shared" si="4"/>
        <v/>
      </c>
    </row>
    <row r="292" spans="1:5" x14ac:dyDescent="0.3">
      <c r="A292" s="27"/>
      <c r="B292" s="28"/>
      <c r="C292" s="28"/>
      <c r="D292" s="28"/>
      <c r="E292" s="29" t="str">
        <f t="shared" si="4"/>
        <v/>
      </c>
    </row>
    <row r="293" spans="1:5" x14ac:dyDescent="0.3">
      <c r="A293" s="27"/>
      <c r="B293" s="28"/>
      <c r="C293" s="28"/>
      <c r="D293" s="28"/>
      <c r="E293" s="29" t="str">
        <f t="shared" si="4"/>
        <v/>
      </c>
    </row>
    <row r="294" spans="1:5" x14ac:dyDescent="0.3">
      <c r="A294" s="27"/>
      <c r="B294" s="28"/>
      <c r="C294" s="28"/>
      <c r="D294" s="28"/>
      <c r="E294" s="29" t="str">
        <f t="shared" si="4"/>
        <v/>
      </c>
    </row>
    <row r="295" spans="1:5" x14ac:dyDescent="0.3">
      <c r="A295" s="27"/>
      <c r="B295" s="28"/>
      <c r="C295" s="28"/>
      <c r="D295" s="28"/>
      <c r="E295" s="29" t="str">
        <f t="shared" si="4"/>
        <v/>
      </c>
    </row>
    <row r="296" spans="1:5" x14ac:dyDescent="0.3">
      <c r="A296" s="27"/>
      <c r="B296" s="28"/>
      <c r="C296" s="28"/>
      <c r="D296" s="28"/>
      <c r="E296" s="29" t="str">
        <f t="shared" si="4"/>
        <v/>
      </c>
    </row>
    <row r="297" spans="1:5" x14ac:dyDescent="0.3">
      <c r="A297" s="27"/>
      <c r="B297" s="28"/>
      <c r="C297" s="28"/>
      <c r="D297" s="28"/>
      <c r="E297" s="29" t="str">
        <f t="shared" si="4"/>
        <v/>
      </c>
    </row>
    <row r="298" spans="1:5" x14ac:dyDescent="0.3">
      <c r="A298" s="27"/>
      <c r="B298" s="28"/>
      <c r="C298" s="28"/>
      <c r="D298" s="28"/>
      <c r="E298" s="29" t="str">
        <f t="shared" si="4"/>
        <v/>
      </c>
    </row>
    <row r="299" spans="1:5" x14ac:dyDescent="0.3">
      <c r="A299" s="27"/>
      <c r="B299" s="28"/>
      <c r="C299" s="28"/>
      <c r="D299" s="28"/>
      <c r="E299" s="29" t="str">
        <f t="shared" si="4"/>
        <v/>
      </c>
    </row>
    <row r="300" spans="1:5" ht="15" thickBot="1" x14ac:dyDescent="0.35">
      <c r="A300" s="30"/>
      <c r="B300" s="31"/>
      <c r="C300" s="31"/>
      <c r="D300" s="31"/>
      <c r="E300" s="32" t="str">
        <f t="shared" si="4"/>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60AC-13F4-4A4D-BBD4-D15C4CA59B94}">
  <sheetPr codeName="Sheet9"/>
  <dimension ref="A1:Y301"/>
  <sheetViews>
    <sheetView workbookViewId="0">
      <selection activeCell="J24" sqref="J24"/>
    </sheetView>
  </sheetViews>
  <sheetFormatPr defaultColWidth="8.88671875" defaultRowHeight="14.4" x14ac:dyDescent="0.3"/>
  <cols>
    <col min="1" max="1" width="8.88671875" style="1"/>
    <col min="2" max="2" width="10.5546875" style="1" bestFit="1" customWidth="1"/>
    <col min="3" max="3" width="15.88671875" style="1" bestFit="1" customWidth="1"/>
    <col min="4" max="4" width="11.5546875" style="1" customWidth="1"/>
    <col min="5" max="5" width="8.88671875" style="1"/>
    <col min="6" max="6" width="8.88671875" style="22"/>
    <col min="7" max="8" width="8.88671875" style="1"/>
    <col min="9" max="9" width="9.109375" style="1" bestFit="1" customWidth="1"/>
    <col min="10" max="10" width="15.88671875" style="1" bestFit="1" customWidth="1"/>
    <col min="11" max="11" width="16" style="1" bestFit="1" customWidth="1"/>
    <col min="12" max="12" width="13.44140625" style="1" bestFit="1" customWidth="1"/>
    <col min="13" max="13" width="11.109375" style="1" bestFit="1" customWidth="1"/>
    <col min="14" max="15" width="8.88671875" style="1"/>
    <col min="16" max="16" width="11" style="1" bestFit="1" customWidth="1"/>
    <col min="17" max="17" width="14.109375" style="1" bestFit="1" customWidth="1"/>
    <col min="18" max="18" width="17.5546875" style="1" customWidth="1"/>
    <col min="19" max="19" width="13.44140625" style="1" bestFit="1" customWidth="1"/>
    <col min="20" max="20" width="12.44140625" style="1" bestFit="1" customWidth="1"/>
    <col min="21" max="21" width="9.44140625" style="1" bestFit="1" customWidth="1"/>
    <col min="22" max="22" width="11.5546875" style="1" bestFit="1" customWidth="1"/>
    <col min="23" max="23" width="8.5546875" style="1" bestFit="1" customWidth="1"/>
    <col min="24" max="24" width="14.5546875" style="1" bestFit="1" customWidth="1"/>
    <col min="25" max="25" width="13" style="1" bestFit="1" customWidth="1"/>
    <col min="26" max="16384" width="8.88671875" style="1"/>
  </cols>
  <sheetData>
    <row r="1" spans="1:25" ht="15" thickBot="1" x14ac:dyDescent="0.35">
      <c r="A1" s="34" t="s">
        <v>45</v>
      </c>
      <c r="B1" s="35" t="s">
        <v>56</v>
      </c>
      <c r="C1" s="35" t="s">
        <v>57</v>
      </c>
      <c r="D1" s="35" t="s">
        <v>58</v>
      </c>
      <c r="E1" s="36" t="s">
        <v>59</v>
      </c>
      <c r="F1" s="20"/>
      <c r="G1" s="35" t="s">
        <v>45</v>
      </c>
      <c r="H1" s="35" t="s">
        <v>60</v>
      </c>
      <c r="I1" s="35" t="s">
        <v>61</v>
      </c>
      <c r="J1" s="35" t="s">
        <v>62</v>
      </c>
      <c r="K1" s="35" t="s">
        <v>63</v>
      </c>
      <c r="L1" s="35" t="s">
        <v>64</v>
      </c>
      <c r="M1" s="36" t="s">
        <v>65</v>
      </c>
      <c r="N1" s="15"/>
      <c r="O1" s="37" t="s">
        <v>45</v>
      </c>
      <c r="P1" s="38" t="s">
        <v>65</v>
      </c>
      <c r="Q1" s="38" t="s">
        <v>47</v>
      </c>
      <c r="R1" s="38" t="s">
        <v>63</v>
      </c>
      <c r="S1" s="39" t="s">
        <v>66</v>
      </c>
      <c r="T1" s="15"/>
      <c r="U1" s="34" t="s">
        <v>45</v>
      </c>
      <c r="V1" s="35" t="s">
        <v>65</v>
      </c>
      <c r="W1" s="35" t="s">
        <v>47</v>
      </c>
      <c r="X1" s="35" t="s">
        <v>63</v>
      </c>
      <c r="Y1" s="36" t="s">
        <v>66</v>
      </c>
    </row>
    <row r="2" spans="1:25" x14ac:dyDescent="0.3">
      <c r="A2" s="40" t="str">
        <f>IF('Australian Transaction'!A2= "","",'Australian Transaction'!A2)</f>
        <v>CBA</v>
      </c>
      <c r="B2" s="41" t="str">
        <f>IF('Australian Transaction'!B2= "","",'Australian Transaction'!B2)</f>
        <v>BUY</v>
      </c>
      <c r="C2" s="41">
        <f>IF('Australian Transaction'!C2= "","",IF(B2="BUY",'Australian Transaction'!C2,-'Australian Transaction'!C2))</f>
        <v>10</v>
      </c>
      <c r="D2" s="41">
        <f>IF('Australian Transaction'!D2 = "","",IF($B2 = "BUY", 'Australian Transaction'!D2,-'Australian Transaction'!D2))</f>
        <v>607</v>
      </c>
      <c r="E2" s="41">
        <f>IF('Australian Transaction'!E2= "","",'Australian Transaction'!E2)</f>
        <v>60.7</v>
      </c>
      <c r="F2" s="21"/>
      <c r="G2" s="41" t="str">
        <f>A2</f>
        <v>CBA</v>
      </c>
      <c r="H2" s="41">
        <f>IF(A2="","",COUNTIF($G$2:G2,G2))</f>
        <v>1</v>
      </c>
      <c r="I2" s="41" t="str">
        <f>_xlfn.CONCAT(G2,H2)</f>
        <v>CBA1</v>
      </c>
      <c r="J2" s="41">
        <f>IF(B2="BUY",C2,-C2)</f>
        <v>10</v>
      </c>
      <c r="K2" s="42">
        <f>IF(G2="","",IF(COUNTIF($G$2:G2,G2)&gt;1,SUMIF($A$2:A2,G2,$D$2:D2),D2) +SUMIF($G$2:G2,G2,$M$2:M2))</f>
        <v>607</v>
      </c>
      <c r="L2" s="42">
        <f>IF(G2="","",IFERROR(K2/J2,0))</f>
        <v>60.7</v>
      </c>
      <c r="M2" s="43">
        <f>IF(G2="","",IF(B2 = "BUY", 0,(E2-VLOOKUP(CONCATENATE(G2,(H2-1)),$I1:L$2,4,FALSE))*-C2))</f>
        <v>0</v>
      </c>
      <c r="O2" s="40" t="str" cm="1">
        <f t="array" ref="O2:O6">_xlfn.UNIQUE(G2:G300,FALSE,FALSE)</f>
        <v>CBA</v>
      </c>
      <c r="P2" s="41">
        <f>IF(O2="","",SUMIF($G$2:$G$300,O2,$M$2:$M$300))</f>
        <v>873.34999999999991</v>
      </c>
      <c r="Q2" s="41">
        <f>IF(O2="","",VLOOKUP(CONCATENATE(O2,(COUNTIF($G$2:$G$300,O2))),$I$2:$L$300,2,FALSE))</f>
        <v>0</v>
      </c>
      <c r="R2" s="41">
        <f>IF(O2="","",VLOOKUP(CONCATENATE(O2,(COUNTIF($G$2:$G$300,O2))),$I$2:$L$300,3,FALSE))</f>
        <v>0</v>
      </c>
      <c r="S2" s="43">
        <f>IF(O2="","",VLOOKUP(CONCATENATE(O2,(COUNTIF($G$2:$G$300,O2))),$I$2:$L$300,4,FALSE))</f>
        <v>0</v>
      </c>
      <c r="U2" s="40" t="str">
        <f>IF($Q2="","",IF($Q2&gt;0.0001,O2,""))</f>
        <v/>
      </c>
      <c r="V2" s="41" t="str">
        <f t="shared" ref="V2:Y17" si="0">IF($Q2="","",IF($Q2&gt;0.0001,P2,""))</f>
        <v/>
      </c>
      <c r="W2" s="41" t="str">
        <f t="shared" si="0"/>
        <v/>
      </c>
      <c r="X2" s="41" t="str">
        <f t="shared" si="0"/>
        <v/>
      </c>
      <c r="Y2" s="44" t="str">
        <f t="shared" si="0"/>
        <v/>
      </c>
    </row>
    <row r="3" spans="1:25" x14ac:dyDescent="0.3">
      <c r="A3" s="27" t="str">
        <f>IF('Australian Transaction'!A3= "","",'Australian Transaction'!A3)</f>
        <v>CBA</v>
      </c>
      <c r="B3" s="28" t="str">
        <f>IF('Australian Transaction'!B3= "","",'Australian Transaction'!B3)</f>
        <v>BUY</v>
      </c>
      <c r="C3" s="28">
        <f>IF('Australian Transaction'!C3= "","",IF(B3="BUY",'Australian Transaction'!C3,-'Australian Transaction'!C3))</f>
        <v>15</v>
      </c>
      <c r="D3" s="28">
        <f>IF('Australian Transaction'!D3 = "","",IF($B3 = "BUY", 'Australian Transaction'!D3,-'Australian Transaction'!D3))</f>
        <v>1014.4</v>
      </c>
      <c r="E3" s="28">
        <f>IF('Australian Transaction'!E3= "","",'Australian Transaction'!E3)</f>
        <v>67.626666666666665</v>
      </c>
      <c r="F3" s="33"/>
      <c r="G3" s="28" t="str">
        <f t="shared" ref="G3:G66" si="1">A3</f>
        <v>CBA</v>
      </c>
      <c r="H3" s="28">
        <f>IF(A3="","",COUNTIF($G$2:G3,G3))</f>
        <v>2</v>
      </c>
      <c r="I3" s="28" t="str">
        <f t="shared" ref="I3:I66" si="2">_xlfn.CONCAT(G3,H3)</f>
        <v>CBA2</v>
      </c>
      <c r="J3" s="28">
        <f>IF(G3="","",IF(COUNTIF($G$2:G3,G3)&gt;1,SUMIF($A$2:A3,G3,$C$2:C3),C3))</f>
        <v>25</v>
      </c>
      <c r="K3" s="45">
        <f>IF(G3="","",IF(COUNTIF($G$2:G3,G3)&gt;1,SUMIF($A$2:A3,G3,$D$2:D3),D3) +SUMIF($G$2:G3,G3,$M$2:M3))</f>
        <v>1621.4</v>
      </c>
      <c r="L3" s="45">
        <f t="shared" ref="L3:L66" si="3">IF(G3="","",IFERROR(K3/J3,0))</f>
        <v>64.856000000000009</v>
      </c>
      <c r="M3" s="46">
        <f>IF(G3="","",IF(B3 = "BUY", 0,(E3-VLOOKUP(CONCATENATE(G3,(H3-1)),$I2:L$2,4,FALSE))*-C3))</f>
        <v>0</v>
      </c>
      <c r="O3" s="27" t="str">
        <v>IOZ</v>
      </c>
      <c r="P3" s="28">
        <f t="shared" ref="P3:P21" si="4">IF(O3="","",SUMIF($G$2:$G$300,O3,$M$2:$M$300))</f>
        <v>0</v>
      </c>
      <c r="Q3" s="28">
        <f t="shared" ref="Q3:Q21" si="5">IF(O3="","",VLOOKUP(CONCATENATE(O3,(COUNTIF($G$2:$G$300,O3))),$I$2:$L$300,2,FALSE))</f>
        <v>0</v>
      </c>
      <c r="R3" s="28">
        <f t="shared" ref="R3:R21" si="6">IF(O3="","",VLOOKUP(CONCATENATE(O3,(COUNTIF($G$2:$G$300,O3))),$I$2:$L$300,3,FALSE))</f>
        <v>0</v>
      </c>
      <c r="S3" s="46">
        <f t="shared" ref="S3:S21" si="7">IF(O3="","",VLOOKUP(CONCATENATE(O3,(COUNTIF($G$2:$G$300,O3))),$I$2:$L$300,4,FALSE))</f>
        <v>0</v>
      </c>
      <c r="U3" s="27" t="str">
        <f t="shared" ref="U3:Y18" si="8">IF($Q3="","",IF($Q3&gt;0.0001,O3,""))</f>
        <v/>
      </c>
      <c r="V3" s="1" t="str">
        <f t="shared" si="0"/>
        <v/>
      </c>
      <c r="W3" s="1" t="str">
        <f t="shared" si="0"/>
        <v/>
      </c>
      <c r="X3" s="1" t="str">
        <f t="shared" si="0"/>
        <v/>
      </c>
      <c r="Y3" s="47" t="str">
        <f t="shared" si="0"/>
        <v/>
      </c>
    </row>
    <row r="4" spans="1:25" x14ac:dyDescent="0.3">
      <c r="A4" s="27" t="str">
        <f>IF('Australian Transaction'!A4= "","",'Australian Transaction'!A4)</f>
        <v>IOZ</v>
      </c>
      <c r="B4" s="28" t="str">
        <f>IF('Australian Transaction'!B4= "","",'Australian Transaction'!B4)</f>
        <v>BUY</v>
      </c>
      <c r="C4" s="28">
        <f>IF('Australian Transaction'!C4= "","",IF(B4="BUY",'Australian Transaction'!C4,-'Australian Transaction'!C4))</f>
        <v>36</v>
      </c>
      <c r="D4" s="28">
        <f>IF('Australian Transaction'!D4 = "","",IF($B4 = "BUY", 'Australian Transaction'!D4,-'Australian Transaction'!D4))</f>
        <v>761.68</v>
      </c>
      <c r="E4" s="28">
        <f>IF('Australian Transaction'!E4= "","",'Australian Transaction'!E4)</f>
        <v>21.157777777777778</v>
      </c>
      <c r="F4" s="33"/>
      <c r="G4" s="28" t="str">
        <f t="shared" si="1"/>
        <v>IOZ</v>
      </c>
      <c r="H4" s="28">
        <f>IF(A4="","",COUNTIF($G$2:G4,G4))</f>
        <v>1</v>
      </c>
      <c r="I4" s="28" t="str">
        <f t="shared" si="2"/>
        <v>IOZ1</v>
      </c>
      <c r="J4" s="28">
        <f>IF(G4="","",IF(COUNTIF($G$2:G4,G4)&gt;1,SUMIF($A$2:A4,G4,$C$2:C4),C4))</f>
        <v>36</v>
      </c>
      <c r="K4" s="45">
        <f>IF(G4="","",IF(COUNTIF($G$2:G4,G4)&gt;1,SUMIF($A$2:A4,G4,$D$2:D4),D4) +SUMIF($G$2:G4,G4,$M$2:M4))</f>
        <v>761.68</v>
      </c>
      <c r="L4" s="45">
        <f t="shared" si="3"/>
        <v>21.157777777777778</v>
      </c>
      <c r="M4" s="46">
        <f>IF(G4="","",IF(B4 = "BUY", 0,(E4-VLOOKUP(CONCATENATE(G4,(H4-1)),$I$2:L3,4,FALSE))*-C4))</f>
        <v>0</v>
      </c>
      <c r="O4" s="27" t="str">
        <v>TLS</v>
      </c>
      <c r="P4" s="28">
        <f t="shared" si="4"/>
        <v>154.55999999999983</v>
      </c>
      <c r="Q4" s="28">
        <f t="shared" si="5"/>
        <v>0</v>
      </c>
      <c r="R4" s="28">
        <f t="shared" si="6"/>
        <v>-1.1368683772161603E-13</v>
      </c>
      <c r="S4" s="46">
        <f t="shared" si="7"/>
        <v>0</v>
      </c>
      <c r="U4" s="27" t="str">
        <f t="shared" si="8"/>
        <v/>
      </c>
      <c r="V4" s="1" t="str">
        <f t="shared" si="0"/>
        <v/>
      </c>
      <c r="W4" s="1" t="str">
        <f t="shared" si="0"/>
        <v/>
      </c>
      <c r="X4" s="1" t="str">
        <f t="shared" si="0"/>
        <v/>
      </c>
      <c r="Y4" s="47" t="str">
        <f t="shared" si="0"/>
        <v/>
      </c>
    </row>
    <row r="5" spans="1:25" x14ac:dyDescent="0.3">
      <c r="A5" s="27" t="str">
        <f>IF('Australian Transaction'!A5= "","",'Australian Transaction'!A5)</f>
        <v>TLS</v>
      </c>
      <c r="B5" s="28" t="str">
        <f>IF('Australian Transaction'!B5= "","",'Australian Transaction'!B5)</f>
        <v>BUY</v>
      </c>
      <c r="C5" s="28">
        <f>IF('Australian Transaction'!C5= "","",IF(B5="BUY",'Australian Transaction'!C5,-'Australian Transaction'!C5))</f>
        <v>329</v>
      </c>
      <c r="D5" s="28">
        <f>IF('Australian Transaction'!D5 = "","",IF($B5 = "BUY", 'Australian Transaction'!D5,-'Australian Transaction'!D5))</f>
        <v>1023.32</v>
      </c>
      <c r="E5" s="28">
        <f>IF('Australian Transaction'!E5= "","",'Australian Transaction'!E5)</f>
        <v>3.1103951367781155</v>
      </c>
      <c r="F5" s="33"/>
      <c r="G5" s="28" t="str">
        <f t="shared" si="1"/>
        <v>TLS</v>
      </c>
      <c r="H5" s="28">
        <f>IF(A5="","",COUNTIF($G$2:G5,G5))</f>
        <v>1</v>
      </c>
      <c r="I5" s="28" t="str">
        <f t="shared" si="2"/>
        <v>TLS1</v>
      </c>
      <c r="J5" s="28">
        <f>IF(G5="","",IF(COUNTIF($G$2:G5,G5)&gt;1,SUMIF($A$2:A5,G5,$C$2:C5),C5))</f>
        <v>329</v>
      </c>
      <c r="K5" s="45">
        <f>IF(G5="","",IF(COUNTIF($G$2:G5,G5)&gt;1,SUMIF($A$2:A5,G5,$D$2:D5),D5) +SUMIF($G$2:G5,G5,$M$2:M5))</f>
        <v>1023.32</v>
      </c>
      <c r="L5" s="45">
        <f t="shared" si="3"/>
        <v>3.1103951367781155</v>
      </c>
      <c r="M5" s="46">
        <f>IF(G5="","",IF(B5 = "BUY", 0,(E5-VLOOKUP(CONCATENATE(G5,(H5-1)),$I$2:L4,4,FALSE))*-C5))</f>
        <v>0</v>
      </c>
      <c r="O5" s="27" t="str">
        <v>WBC</v>
      </c>
      <c r="P5" s="28">
        <f t="shared" si="4"/>
        <v>0</v>
      </c>
      <c r="Q5" s="28">
        <f t="shared" si="5"/>
        <v>0</v>
      </c>
      <c r="R5" s="28">
        <f t="shared" si="6"/>
        <v>0</v>
      </c>
      <c r="S5" s="46">
        <f t="shared" si="7"/>
        <v>0</v>
      </c>
      <c r="U5" s="27" t="str">
        <f t="shared" si="8"/>
        <v/>
      </c>
      <c r="V5" s="1" t="str">
        <f t="shared" si="0"/>
        <v/>
      </c>
      <c r="W5" s="1" t="str">
        <f t="shared" si="0"/>
        <v/>
      </c>
      <c r="X5" s="1" t="str">
        <f t="shared" si="0"/>
        <v/>
      </c>
      <c r="Y5" s="47" t="str">
        <f t="shared" si="0"/>
        <v/>
      </c>
    </row>
    <row r="6" spans="1:25" x14ac:dyDescent="0.3">
      <c r="A6" s="27" t="str">
        <f>IF('Australian Transaction'!A6= "","",'Australian Transaction'!A6)</f>
        <v>TLS</v>
      </c>
      <c r="B6" s="28" t="str">
        <f>IF('Australian Transaction'!B6= "","",'Australian Transaction'!B6)</f>
        <v>BUY</v>
      </c>
      <c r="C6" s="28">
        <f>IF('Australian Transaction'!C6= "","",IF(B6="BUY",'Australian Transaction'!C6,-'Australian Transaction'!C6))</f>
        <v>9</v>
      </c>
      <c r="D6" s="28">
        <f>IF('Australian Transaction'!D6 = "","",IF($B6 = "BUY", 'Australian Transaction'!D6,-'Australian Transaction'!D6))</f>
        <v>25.91</v>
      </c>
      <c r="E6" s="28">
        <f>IF('Australian Transaction'!E6= "","",'Australian Transaction'!E6)</f>
        <v>2.8788888888888891</v>
      </c>
      <c r="F6" s="33"/>
      <c r="G6" s="28" t="str">
        <f t="shared" si="1"/>
        <v>TLS</v>
      </c>
      <c r="H6" s="28">
        <f>IF(A6="","",COUNTIF($G$2:G6,G6))</f>
        <v>2</v>
      </c>
      <c r="I6" s="28" t="str">
        <f t="shared" si="2"/>
        <v>TLS2</v>
      </c>
      <c r="J6" s="28">
        <f>IF(G6="","",IF(COUNTIF($G$2:G6,G6)&gt;1,SUMIF($A$2:A6,G6,$C$2:C6),C6))</f>
        <v>338</v>
      </c>
      <c r="K6" s="45">
        <f>IF(G6="","",IF(COUNTIF($G$2:G6,G6)&gt;1,SUMIF($A$2:A6,G6,$D$2:D6),D6) +SUMIF($G$2:G6,G6,$M$2:M6))</f>
        <v>1049.23</v>
      </c>
      <c r="L6" s="45">
        <f t="shared" si="3"/>
        <v>3.1042307692307691</v>
      </c>
      <c r="M6" s="46">
        <f>IF(G6="","",IF(B6 = "BUY", 0,(E6-VLOOKUP(CONCATENATE(G6,(H6-1)),$I$2:L5,4,FALSE))*-C6))</f>
        <v>0</v>
      </c>
      <c r="O6" s="27" t="str">
        <v/>
      </c>
      <c r="P6" s="28" t="str">
        <f t="shared" si="4"/>
        <v/>
      </c>
      <c r="Q6" s="28" t="str">
        <f t="shared" si="5"/>
        <v/>
      </c>
      <c r="R6" s="28" t="str">
        <f t="shared" si="6"/>
        <v/>
      </c>
      <c r="S6" s="46" t="str">
        <f t="shared" si="7"/>
        <v/>
      </c>
      <c r="U6" s="27" t="str">
        <f t="shared" si="8"/>
        <v/>
      </c>
      <c r="V6" s="1" t="str">
        <f t="shared" si="0"/>
        <v/>
      </c>
      <c r="W6" s="1" t="str">
        <f t="shared" si="0"/>
        <v/>
      </c>
      <c r="X6" s="1" t="str">
        <f t="shared" si="0"/>
        <v/>
      </c>
      <c r="Y6" s="47" t="str">
        <f t="shared" si="0"/>
        <v/>
      </c>
    </row>
    <row r="7" spans="1:25" x14ac:dyDescent="0.3">
      <c r="A7" s="27" t="str">
        <f>IF('Australian Transaction'!A7= "","",'Australian Transaction'!A7)</f>
        <v>TLS</v>
      </c>
      <c r="B7" s="28" t="str">
        <f>IF('Australian Transaction'!B7= "","",'Australian Transaction'!B7)</f>
        <v>BUY</v>
      </c>
      <c r="C7" s="28">
        <f>IF('Australian Transaction'!C7= "","",IF(B7="BUY",'Australian Transaction'!C7,-'Australian Transaction'!C7))</f>
        <v>8</v>
      </c>
      <c r="D7" s="28">
        <f>IF('Australian Transaction'!D7 = "","",IF($B7 = "BUY", 'Australian Transaction'!D7,-'Australian Transaction'!D7))</f>
        <v>24.89</v>
      </c>
      <c r="E7" s="28">
        <f>IF('Australian Transaction'!E7= "","",'Australian Transaction'!E7)</f>
        <v>3.1112500000000001</v>
      </c>
      <c r="F7" s="33"/>
      <c r="G7" s="28" t="str">
        <f t="shared" si="1"/>
        <v>TLS</v>
      </c>
      <c r="H7" s="28">
        <f>IF(A7="","",COUNTIF($G$2:G7,G7))</f>
        <v>3</v>
      </c>
      <c r="I7" s="28" t="str">
        <f t="shared" si="2"/>
        <v>TLS3</v>
      </c>
      <c r="J7" s="28">
        <f>IF(G7="","",IF(COUNTIF($G$2:G7,G7)&gt;1,SUMIF($A$2:A7,G7,$C$2:C7),C7))</f>
        <v>346</v>
      </c>
      <c r="K7" s="45">
        <f>IF(G7="","",IF(COUNTIF($G$2:G7,G7)&gt;1,SUMIF($A$2:A7,G7,$D$2:D7),D7) +SUMIF($G$2:G7,G7,$M$2:M7))</f>
        <v>1074.1200000000001</v>
      </c>
      <c r="L7" s="45">
        <f t="shared" si="3"/>
        <v>3.1043930635838155</v>
      </c>
      <c r="M7" s="46">
        <f>IF(G7="","",IF(B7 = "BUY", 0,(E7-VLOOKUP(CONCATENATE(G7,(H7-1)),$I$2:L6,4,FALSE))*-C7))</f>
        <v>0</v>
      </c>
      <c r="O7" s="27"/>
      <c r="P7" s="28" t="str">
        <f t="shared" si="4"/>
        <v/>
      </c>
      <c r="Q7" s="28" t="str">
        <f t="shared" si="5"/>
        <v/>
      </c>
      <c r="R7" s="28" t="str">
        <f t="shared" si="6"/>
        <v/>
      </c>
      <c r="S7" s="46" t="str">
        <f t="shared" si="7"/>
        <v/>
      </c>
      <c r="U7" s="27" t="str">
        <f t="shared" si="8"/>
        <v/>
      </c>
      <c r="V7" s="1" t="str">
        <f t="shared" si="0"/>
        <v/>
      </c>
      <c r="W7" s="1" t="str">
        <f t="shared" si="0"/>
        <v/>
      </c>
      <c r="X7" s="1" t="str">
        <f t="shared" si="0"/>
        <v/>
      </c>
      <c r="Y7" s="47" t="str">
        <f t="shared" si="0"/>
        <v/>
      </c>
    </row>
    <row r="8" spans="1:25" x14ac:dyDescent="0.3">
      <c r="A8" s="27" t="str">
        <f>IF('Australian Transaction'!A8= "","",'Australian Transaction'!A8)</f>
        <v>WBC</v>
      </c>
      <c r="B8" s="28" t="str">
        <f>IF('Australian Transaction'!B8= "","",'Australian Transaction'!B8)</f>
        <v>BUY</v>
      </c>
      <c r="C8" s="28">
        <f>IF('Australian Transaction'!C8= "","",IF(B8="BUY",'Australian Transaction'!C8,-'Australian Transaction'!C8))</f>
        <v>19</v>
      </c>
      <c r="D8" s="28">
        <f>IF('Australian Transaction'!D8 = "","",IF($B8 = "BUY", 'Australian Transaction'!D8,-'Australian Transaction'!D8))</f>
        <v>576.58000000000004</v>
      </c>
      <c r="E8" s="28">
        <f>IF('Australian Transaction'!E8= "","",'Australian Transaction'!E8)</f>
        <v>30.346315789473685</v>
      </c>
      <c r="F8" s="33"/>
      <c r="G8" s="28" t="str">
        <f t="shared" si="1"/>
        <v>WBC</v>
      </c>
      <c r="H8" s="28">
        <f>IF(A8="","",COUNTIF($G$2:G8,G8))</f>
        <v>1</v>
      </c>
      <c r="I8" s="28" t="str">
        <f t="shared" si="2"/>
        <v>WBC1</v>
      </c>
      <c r="J8" s="28">
        <f>IF(G8="","",IF(COUNTIF($G$2:G8,G8)&gt;1,SUMIF($A$2:A8,G8,$C$2:C8),C8))</f>
        <v>19</v>
      </c>
      <c r="K8" s="45">
        <f>IF(G8="","",IF(COUNTIF($G$2:G8,G8)&gt;1,SUMIF($A$2:A8,G8,$D$2:D8),D8) +SUMIF($G$2:G8,G8,$M$2:M8))</f>
        <v>576.58000000000004</v>
      </c>
      <c r="L8" s="45">
        <f t="shared" si="3"/>
        <v>30.346315789473685</v>
      </c>
      <c r="M8" s="46">
        <f>IF(G8="","",IF(B8 = "BUY", 0,(E8-VLOOKUP(CONCATENATE(G8,(H8-1)),$I$2:L7,4,FALSE))*-C8))</f>
        <v>0</v>
      </c>
      <c r="O8" s="27"/>
      <c r="P8" s="28" t="str">
        <f t="shared" si="4"/>
        <v/>
      </c>
      <c r="Q8" s="28" t="str">
        <f t="shared" si="5"/>
        <v/>
      </c>
      <c r="R8" s="28" t="str">
        <f t="shared" si="6"/>
        <v/>
      </c>
      <c r="S8" s="46" t="str">
        <f t="shared" si="7"/>
        <v/>
      </c>
      <c r="U8" s="27" t="str">
        <f t="shared" si="8"/>
        <v/>
      </c>
      <c r="V8" s="1" t="str">
        <f t="shared" si="0"/>
        <v/>
      </c>
      <c r="W8" s="1" t="str">
        <f t="shared" si="0"/>
        <v/>
      </c>
      <c r="X8" s="1" t="str">
        <f t="shared" si="0"/>
        <v/>
      </c>
      <c r="Y8" s="47" t="str">
        <f t="shared" si="0"/>
        <v/>
      </c>
    </row>
    <row r="9" spans="1:25" x14ac:dyDescent="0.3">
      <c r="A9" s="27" t="str">
        <f>IF('Australian Transaction'!A9= "","",'Australian Transaction'!A9)</f>
        <v>WBC</v>
      </c>
      <c r="B9" s="28" t="str">
        <f>IF('Australian Transaction'!B9= "","",'Australian Transaction'!B9)</f>
        <v>BUY</v>
      </c>
      <c r="C9" s="28">
        <f>IF('Australian Transaction'!C9= "","",IF(B9="BUY",'Australian Transaction'!C9,-'Australian Transaction'!C9))</f>
        <v>1</v>
      </c>
      <c r="D9" s="28">
        <f>IF('Australian Transaction'!D9 = "","",IF($B9 = "BUY", 'Australian Transaction'!D9,-'Australian Transaction'!D9))</f>
        <v>19.829999999999998</v>
      </c>
      <c r="E9" s="28">
        <f>IF('Australian Transaction'!E9= "","",'Australian Transaction'!E9)</f>
        <v>19.829999999999998</v>
      </c>
      <c r="F9" s="33"/>
      <c r="G9" s="28" t="str">
        <f t="shared" si="1"/>
        <v>WBC</v>
      </c>
      <c r="H9" s="28">
        <f>IF(A9="","",COUNTIF($G$2:G9,G9))</f>
        <v>2</v>
      </c>
      <c r="I9" s="28" t="str">
        <f t="shared" si="2"/>
        <v>WBC2</v>
      </c>
      <c r="J9" s="28">
        <f>IF(G9="","",IF(COUNTIF($G$2:G9,G9)&gt;1,SUMIF($A$2:A9,G9,$C$2:C9),C9))</f>
        <v>20</v>
      </c>
      <c r="K9" s="45">
        <f>IF(G9="","",IF(COUNTIF($G$2:G9,G9)&gt;1,SUMIF($A$2:A9,G9,$D$2:D9),D9) +SUMIF($G$2:G9,G9,$M$2:M9))</f>
        <v>596.41000000000008</v>
      </c>
      <c r="L9" s="45">
        <f t="shared" si="3"/>
        <v>29.820500000000003</v>
      </c>
      <c r="M9" s="46">
        <f>IF(G9="","",IF(B9 = "BUY", 0,(E9-VLOOKUP(CONCATENATE(G9,(H9-1)),$I$2:L8,4,FALSE))*-C9))</f>
        <v>0</v>
      </c>
      <c r="O9" s="27"/>
      <c r="P9" s="28" t="str">
        <f t="shared" si="4"/>
        <v/>
      </c>
      <c r="Q9" s="28" t="str">
        <f t="shared" si="5"/>
        <v/>
      </c>
      <c r="R9" s="28" t="str">
        <f t="shared" si="6"/>
        <v/>
      </c>
      <c r="S9" s="46" t="str">
        <f t="shared" si="7"/>
        <v/>
      </c>
      <c r="U9" s="27" t="str">
        <f t="shared" si="8"/>
        <v/>
      </c>
      <c r="V9" s="1" t="str">
        <f t="shared" si="0"/>
        <v/>
      </c>
      <c r="W9" s="1" t="str">
        <f t="shared" si="0"/>
        <v/>
      </c>
      <c r="X9" s="1" t="str">
        <f t="shared" si="0"/>
        <v/>
      </c>
      <c r="Y9" s="47" t="str">
        <f t="shared" si="0"/>
        <v/>
      </c>
    </row>
    <row r="10" spans="1:25" x14ac:dyDescent="0.3">
      <c r="A10" s="27" t="str">
        <f>IF('Australian Transaction'!A10= "","",'Australian Transaction'!A10)</f>
        <v>TLS</v>
      </c>
      <c r="B10" s="28" t="str">
        <f>IF('Australian Transaction'!B10= "","",'Australian Transaction'!B10)</f>
        <v>SELL</v>
      </c>
      <c r="C10" s="28">
        <f>IF('Australian Transaction'!C10= "","",IF(B10="BUY",'Australian Transaction'!C10,-'Australian Transaction'!C10))</f>
        <v>-346</v>
      </c>
      <c r="D10" s="28">
        <f>IF('Australian Transaction'!D10 = "","",IF($B10 = "BUY", 'Australian Transaction'!D10,-'Australian Transaction'!D10))</f>
        <v>-1228.68</v>
      </c>
      <c r="E10" s="28">
        <f>IF('Australian Transaction'!E10= "","",'Australian Transaction'!E10)</f>
        <v>3.5510982658959538</v>
      </c>
      <c r="F10" s="33"/>
      <c r="G10" s="28" t="str">
        <f t="shared" si="1"/>
        <v>TLS</v>
      </c>
      <c r="H10" s="28">
        <f>IF(A10="","",COUNTIF($G$2:G10,G10))</f>
        <v>4</v>
      </c>
      <c r="I10" s="28" t="str">
        <f t="shared" si="2"/>
        <v>TLS4</v>
      </c>
      <c r="J10" s="28">
        <f>IF(G10="","",IF(COUNTIF($G$2:G10,G10)&gt;1,SUMIF($A$2:A10,G10,$C$2:C10),C10))</f>
        <v>0</v>
      </c>
      <c r="K10" s="45">
        <f>IF(G10="","",IF(COUNTIF($G$2:G10,G10)&gt;1,SUMIF($A$2:A10,G10,$D$2:D10),D10) +SUMIF($G$2:G10,G10,$M$2:M10))</f>
        <v>-1.1368683772161603E-13</v>
      </c>
      <c r="L10" s="45">
        <f t="shared" si="3"/>
        <v>0</v>
      </c>
      <c r="M10" s="46">
        <f>IF(G10="","",IF(B10 = "BUY", 0,(E10-VLOOKUP(CONCATENATE(G10,(H10-1)),$I$2:L9,4,FALSE))*-C10))</f>
        <v>154.55999999999983</v>
      </c>
      <c r="O10" s="27"/>
      <c r="P10" s="28" t="str">
        <f t="shared" si="4"/>
        <v/>
      </c>
      <c r="Q10" s="28" t="str">
        <f t="shared" si="5"/>
        <v/>
      </c>
      <c r="R10" s="28" t="str">
        <f t="shared" si="6"/>
        <v/>
      </c>
      <c r="S10" s="46" t="str">
        <f t="shared" si="7"/>
        <v/>
      </c>
      <c r="U10" s="27" t="str">
        <f t="shared" si="8"/>
        <v/>
      </c>
      <c r="V10" s="1" t="str">
        <f t="shared" si="0"/>
        <v/>
      </c>
      <c r="W10" s="1" t="str">
        <f t="shared" si="0"/>
        <v/>
      </c>
      <c r="X10" s="1" t="str">
        <f t="shared" si="0"/>
        <v/>
      </c>
      <c r="Y10" s="47" t="str">
        <f t="shared" si="0"/>
        <v/>
      </c>
    </row>
    <row r="11" spans="1:25" x14ac:dyDescent="0.3">
      <c r="A11" s="27" t="str">
        <f>IF('Australian Transaction'!A11= "","",'Australian Transaction'!A11)</f>
        <v>CBA</v>
      </c>
      <c r="B11" s="28" t="str">
        <f>IF('Australian Transaction'!B11= "","",'Australian Transaction'!B11)</f>
        <v>SELL</v>
      </c>
      <c r="C11" s="28">
        <f>IF('Australian Transaction'!C11= "","",IF(B11="BUY",'Australian Transaction'!C11,-'Australian Transaction'!C11))</f>
        <v>-25</v>
      </c>
      <c r="D11" s="28">
        <f>IF('Australian Transaction'!D11 = "","",IF($B11 = "BUY", 'Australian Transaction'!D11,-'Australian Transaction'!D11))</f>
        <v>-2494.75</v>
      </c>
      <c r="E11" s="28">
        <f>IF('Australian Transaction'!E11= "","",'Australian Transaction'!E11)</f>
        <v>99.79</v>
      </c>
      <c r="F11" s="33"/>
      <c r="G11" s="28" t="str">
        <f t="shared" si="1"/>
        <v>CBA</v>
      </c>
      <c r="H11" s="28">
        <f>IF(A11="","",COUNTIF($G$2:G11,G11))</f>
        <v>3</v>
      </c>
      <c r="I11" s="28" t="str">
        <f t="shared" si="2"/>
        <v>CBA3</v>
      </c>
      <c r="J11" s="28">
        <f>IF(G11="","",IF(COUNTIF($G$2:G11,G11)&gt;1,SUMIF($A$2:A11,G11,$C$2:C11),C11))</f>
        <v>0</v>
      </c>
      <c r="K11" s="45">
        <f>IF(G11="","",IF(COUNTIF($G$2:G11,G11)&gt;1,SUMIF($A$2:A11,G11,$D$2:D11),D11) +SUMIF($G$2:G11,G11,$M$2:M11))</f>
        <v>0</v>
      </c>
      <c r="L11" s="45">
        <f t="shared" si="3"/>
        <v>0</v>
      </c>
      <c r="M11" s="46">
        <f>IF(G11="","",IF(B11 = "BUY", 0,(E11-VLOOKUP(CONCATENATE(G11,(H11-1)),$I$2:L10,4,FALSE))*-C11))</f>
        <v>873.34999999999991</v>
      </c>
      <c r="O11" s="27"/>
      <c r="P11" s="28" t="str">
        <f t="shared" si="4"/>
        <v/>
      </c>
      <c r="Q11" s="28" t="str">
        <f t="shared" si="5"/>
        <v/>
      </c>
      <c r="R11" s="28" t="str">
        <f t="shared" si="6"/>
        <v/>
      </c>
      <c r="S11" s="46" t="str">
        <f t="shared" si="7"/>
        <v/>
      </c>
      <c r="U11" s="27" t="str">
        <f t="shared" si="8"/>
        <v/>
      </c>
      <c r="V11" s="1" t="str">
        <f t="shared" si="0"/>
        <v/>
      </c>
      <c r="W11" s="1" t="str">
        <f t="shared" si="0"/>
        <v/>
      </c>
      <c r="X11" s="1" t="str">
        <f t="shared" si="0"/>
        <v/>
      </c>
      <c r="Y11" s="47" t="str">
        <f t="shared" si="0"/>
        <v/>
      </c>
    </row>
    <row r="12" spans="1:25" x14ac:dyDescent="0.3">
      <c r="A12" s="27" t="str">
        <f>IF('Australian Transaction'!A12= "","",'Australian Transaction'!A12)</f>
        <v>IOZ</v>
      </c>
      <c r="B12" s="28" t="str">
        <f>IF('Australian Transaction'!B12= "","",'Australian Transaction'!B12)</f>
        <v>SELL</v>
      </c>
      <c r="C12" s="28">
        <f>IF('Australian Transaction'!C12= "","",IF(B12="BUY",'Australian Transaction'!C12,-'Australian Transaction'!C12))</f>
        <v>-36</v>
      </c>
      <c r="D12" s="28">
        <f>IF('Australian Transaction'!D12 = "","",IF($B12 = "BUY", 'Australian Transaction'!D12,-'Australian Transaction'!D12))</f>
        <v>-761.68</v>
      </c>
      <c r="E12" s="28">
        <f>IF('Australian Transaction'!E12= "","",'Australian Transaction'!E12)</f>
        <v>21.157777777777778</v>
      </c>
      <c r="F12" s="33"/>
      <c r="G12" s="28" t="str">
        <f t="shared" si="1"/>
        <v>IOZ</v>
      </c>
      <c r="H12" s="28">
        <f>IF(A12="","",COUNTIF($G$2:G12,G12))</f>
        <v>2</v>
      </c>
      <c r="I12" s="28" t="str">
        <f t="shared" si="2"/>
        <v>IOZ2</v>
      </c>
      <c r="J12" s="28">
        <f>IF(G12="","",IF(COUNTIF($G$2:G12,G12)&gt;1,SUMIF($A$2:A12,G12,$C$2:C12),C12))</f>
        <v>0</v>
      </c>
      <c r="K12" s="45">
        <f>IF(G12="","",IF(COUNTIF($G$2:G12,G12)&gt;1,SUMIF($A$2:A12,G12,$D$2:D12),D12) +SUMIF($G$2:G12,G12,$M$2:M12))</f>
        <v>0</v>
      </c>
      <c r="L12" s="45">
        <f t="shared" si="3"/>
        <v>0</v>
      </c>
      <c r="M12" s="46">
        <f>IF(G12="","",IF(B12 = "BUY", 0,(E12-VLOOKUP(CONCATENATE(G12,(H12-1)),$I$2:L11,4,FALSE))*-C12))</f>
        <v>0</v>
      </c>
      <c r="O12" s="27"/>
      <c r="P12" s="28" t="str">
        <f t="shared" si="4"/>
        <v/>
      </c>
      <c r="Q12" s="28" t="str">
        <f t="shared" si="5"/>
        <v/>
      </c>
      <c r="R12" s="28" t="str">
        <f t="shared" si="6"/>
        <v/>
      </c>
      <c r="S12" s="46" t="str">
        <f t="shared" si="7"/>
        <v/>
      </c>
      <c r="U12" s="27" t="str">
        <f t="shared" si="8"/>
        <v/>
      </c>
      <c r="V12" s="1" t="str">
        <f t="shared" si="0"/>
        <v/>
      </c>
      <c r="W12" s="1" t="str">
        <f t="shared" si="0"/>
        <v/>
      </c>
      <c r="X12" s="1" t="str">
        <f t="shared" si="0"/>
        <v/>
      </c>
      <c r="Y12" s="47" t="str">
        <f t="shared" si="0"/>
        <v/>
      </c>
    </row>
    <row r="13" spans="1:25" x14ac:dyDescent="0.3">
      <c r="A13" s="27" t="str">
        <f>IF('Australian Transaction'!A13= "","",'Australian Transaction'!A13)</f>
        <v>WBC</v>
      </c>
      <c r="B13" s="28" t="str">
        <f>IF('Australian Transaction'!B13= "","",'Australian Transaction'!B13)</f>
        <v>SELL</v>
      </c>
      <c r="C13" s="28">
        <f>IF('Australian Transaction'!C13= "","",IF(B13="BUY",'Australian Transaction'!C13,-'Australian Transaction'!C13))</f>
        <v>-20</v>
      </c>
      <c r="D13" s="28">
        <f>IF('Australian Transaction'!D13 = "","",IF($B13 = "BUY", 'Australian Transaction'!D13,-'Australian Transaction'!D13))</f>
        <v>-596.41000000000008</v>
      </c>
      <c r="E13" s="28">
        <f>IF('Australian Transaction'!E13= "","",'Australian Transaction'!E13)</f>
        <v>29.820500000000003</v>
      </c>
      <c r="F13" s="33"/>
      <c r="G13" s="28" t="str">
        <f t="shared" si="1"/>
        <v>WBC</v>
      </c>
      <c r="H13" s="28">
        <f>IF(A13="","",COUNTIF($G$2:G13,G13))</f>
        <v>3</v>
      </c>
      <c r="I13" s="28" t="str">
        <f t="shared" si="2"/>
        <v>WBC3</v>
      </c>
      <c r="J13" s="28">
        <f>IF(G13="","",IF(COUNTIF($G$2:G13,G13)&gt;1,SUMIF($A$2:A13,G13,$C$2:C13),C13))</f>
        <v>0</v>
      </c>
      <c r="K13" s="45">
        <f>IF(G13="","",IF(COUNTIF($G$2:G13,G13)&gt;1,SUMIF($A$2:A13,G13,$D$2:D13),D13) +SUMIF($G$2:G13,G13,$M$2:M13))</f>
        <v>0</v>
      </c>
      <c r="L13" s="45">
        <f t="shared" si="3"/>
        <v>0</v>
      </c>
      <c r="M13" s="46">
        <f>IF(G13="","",IF(B13 = "BUY", 0,(E13-VLOOKUP(CONCATENATE(G13,(H13-1)),$I$2:L12,4,FALSE))*-C13))</f>
        <v>0</v>
      </c>
      <c r="O13" s="27"/>
      <c r="P13" s="28" t="str">
        <f t="shared" si="4"/>
        <v/>
      </c>
      <c r="Q13" s="28" t="str">
        <f t="shared" si="5"/>
        <v/>
      </c>
      <c r="R13" s="28" t="str">
        <f t="shared" si="6"/>
        <v/>
      </c>
      <c r="S13" s="46" t="str">
        <f t="shared" si="7"/>
        <v/>
      </c>
      <c r="U13" s="27" t="str">
        <f t="shared" si="8"/>
        <v/>
      </c>
      <c r="V13" s="1" t="str">
        <f t="shared" si="0"/>
        <v/>
      </c>
      <c r="W13" s="1" t="str">
        <f t="shared" si="0"/>
        <v/>
      </c>
      <c r="X13" s="1" t="str">
        <f t="shared" si="0"/>
        <v/>
      </c>
      <c r="Y13" s="47" t="str">
        <f t="shared" si="0"/>
        <v/>
      </c>
    </row>
    <row r="14" spans="1:25" x14ac:dyDescent="0.3">
      <c r="A14" s="27" t="str">
        <f>IF('Australian Transaction'!A14= "","",'Australian Transaction'!A14)</f>
        <v/>
      </c>
      <c r="B14" s="28" t="str">
        <f>IF('Australian Transaction'!B14= "","",'Australian Transaction'!B14)</f>
        <v/>
      </c>
      <c r="C14" s="28" t="str">
        <f>IF('Australian Transaction'!C14= "","",IF(B14="BUY",'Australian Transaction'!C14,-'Australian Transaction'!C14))</f>
        <v/>
      </c>
      <c r="D14" s="28" t="str">
        <f>IF('Australian Transaction'!D14 = "","",IF($B14 = "BUY", 'Australian Transaction'!D14,-'Australian Transaction'!D14))</f>
        <v/>
      </c>
      <c r="E14" s="28" t="str">
        <f>IF('Australian Transaction'!E14= "","",'Australian Transaction'!E14)</f>
        <v/>
      </c>
      <c r="F14" s="33"/>
      <c r="G14" s="28" t="str">
        <f t="shared" si="1"/>
        <v/>
      </c>
      <c r="H14" s="28" t="str">
        <f>IF(A14="","",COUNTIF($G$2:G14,G14))</f>
        <v/>
      </c>
      <c r="I14" s="28" t="str">
        <f t="shared" si="2"/>
        <v/>
      </c>
      <c r="J14" s="28" t="str">
        <f>IF(G14="","",IF(COUNTIF($G$2:G14,G14)&gt;1,SUMIF($A$2:A14,G14,$C$2:C14),C14))</f>
        <v/>
      </c>
      <c r="K14" s="45" t="str">
        <f>IF(G14="","",IF(COUNTIF($G$2:G14,G14)&gt;1,SUMIF($A$2:A14,G14,$D$2:D14),D14) +SUMIF($G$2:G14,G14,$M$2:M14))</f>
        <v/>
      </c>
      <c r="L14" s="45" t="str">
        <f t="shared" si="3"/>
        <v/>
      </c>
      <c r="M14" s="46" t="str">
        <f>IF(G14="","",IF(B14 = "BUY", 0,(E14-VLOOKUP(CONCATENATE(G14,(H14-1)),$I$2:L13,4,FALSE))*-C14))</f>
        <v/>
      </c>
      <c r="O14" s="27"/>
      <c r="P14" s="28" t="str">
        <f t="shared" si="4"/>
        <v/>
      </c>
      <c r="Q14" s="28" t="str">
        <f t="shared" si="5"/>
        <v/>
      </c>
      <c r="R14" s="28" t="str">
        <f t="shared" si="6"/>
        <v/>
      </c>
      <c r="S14" s="46" t="str">
        <f t="shared" si="7"/>
        <v/>
      </c>
      <c r="U14" s="27" t="str">
        <f t="shared" si="8"/>
        <v/>
      </c>
      <c r="V14" s="1" t="str">
        <f t="shared" si="0"/>
        <v/>
      </c>
      <c r="W14" s="1" t="str">
        <f t="shared" si="0"/>
        <v/>
      </c>
      <c r="X14" s="1" t="str">
        <f t="shared" si="0"/>
        <v/>
      </c>
      <c r="Y14" s="47" t="str">
        <f t="shared" si="0"/>
        <v/>
      </c>
    </row>
    <row r="15" spans="1:25" x14ac:dyDescent="0.3">
      <c r="A15" s="27" t="str">
        <f>IF('Australian Transaction'!A15= "","",'Australian Transaction'!A15)</f>
        <v/>
      </c>
      <c r="B15" s="28" t="str">
        <f>IF('Australian Transaction'!B15= "","",'Australian Transaction'!B15)</f>
        <v/>
      </c>
      <c r="C15" s="28" t="str">
        <f>IF('Australian Transaction'!C15= "","",IF(B15="BUY",'Australian Transaction'!C15,-'Australian Transaction'!C15))</f>
        <v/>
      </c>
      <c r="D15" s="28" t="str">
        <f>IF('Australian Transaction'!D15 = "","",IF($B15 = "BUY", 'Australian Transaction'!D15,-'Australian Transaction'!D15))</f>
        <v/>
      </c>
      <c r="E15" s="28" t="str">
        <f>IF('Australian Transaction'!E15= "","",'Australian Transaction'!E15)</f>
        <v/>
      </c>
      <c r="F15" s="33"/>
      <c r="G15" s="28" t="str">
        <f t="shared" si="1"/>
        <v/>
      </c>
      <c r="H15" s="28" t="str">
        <f>IF(A15="","",COUNTIF($G$2:G15,G15))</f>
        <v/>
      </c>
      <c r="I15" s="28" t="str">
        <f t="shared" si="2"/>
        <v/>
      </c>
      <c r="J15" s="28" t="str">
        <f>IF(G15="","",IF(COUNTIF($G$2:G15,G15)&gt;1,SUMIF($A$2:A15,G15,$C$2:C15),C15))</f>
        <v/>
      </c>
      <c r="K15" s="45" t="str">
        <f>IF(G15="","",IF(COUNTIF($G$2:G15,G15)&gt;1,SUMIF($A$2:A15,G15,$D$2:D15),D15) +SUMIF($G$2:G15,G15,$M$2:M15))</f>
        <v/>
      </c>
      <c r="L15" s="45" t="str">
        <f t="shared" si="3"/>
        <v/>
      </c>
      <c r="M15" s="46" t="str">
        <f>IF(G15="","",IF(B15 = "BUY", 0,(E15-VLOOKUP(CONCATENATE(G15,(H15-1)),$I$2:L14,4,FALSE))*-C15))</f>
        <v/>
      </c>
      <c r="O15" s="27"/>
      <c r="P15" s="28" t="str">
        <f t="shared" si="4"/>
        <v/>
      </c>
      <c r="Q15" s="28" t="str">
        <f t="shared" si="5"/>
        <v/>
      </c>
      <c r="R15" s="28" t="str">
        <f t="shared" si="6"/>
        <v/>
      </c>
      <c r="S15" s="46" t="str">
        <f t="shared" si="7"/>
        <v/>
      </c>
      <c r="U15" s="27" t="str">
        <f t="shared" si="8"/>
        <v/>
      </c>
      <c r="V15" s="1" t="str">
        <f t="shared" si="0"/>
        <v/>
      </c>
      <c r="W15" s="1" t="str">
        <f t="shared" si="0"/>
        <v/>
      </c>
      <c r="X15" s="1" t="str">
        <f t="shared" si="0"/>
        <v/>
      </c>
      <c r="Y15" s="47" t="str">
        <f t="shared" si="0"/>
        <v/>
      </c>
    </row>
    <row r="16" spans="1:25" x14ac:dyDescent="0.3">
      <c r="A16" s="27" t="str">
        <f>IF('Australian Transaction'!A16= "","",'Australian Transaction'!A16)</f>
        <v/>
      </c>
      <c r="B16" s="28" t="str">
        <f>IF('Australian Transaction'!B16= "","",'Australian Transaction'!B16)</f>
        <v/>
      </c>
      <c r="C16" s="28" t="str">
        <f>IF('Australian Transaction'!C16= "","",IF(B16="BUY",'Australian Transaction'!C16,-'Australian Transaction'!C16))</f>
        <v/>
      </c>
      <c r="D16" s="28" t="str">
        <f>IF('Australian Transaction'!D16 = "","",IF($B16 = "BUY", 'Australian Transaction'!D16,-'Australian Transaction'!D16))</f>
        <v/>
      </c>
      <c r="E16" s="28" t="str">
        <f>IF('Australian Transaction'!E16= "","",'Australian Transaction'!E16)</f>
        <v/>
      </c>
      <c r="F16" s="33"/>
      <c r="G16" s="28" t="str">
        <f t="shared" si="1"/>
        <v/>
      </c>
      <c r="H16" s="28" t="str">
        <f>IF(A16="","",COUNTIF($G$2:G16,G16))</f>
        <v/>
      </c>
      <c r="I16" s="28" t="str">
        <f t="shared" si="2"/>
        <v/>
      </c>
      <c r="J16" s="28" t="str">
        <f>IF(G16="","",IF(COUNTIF($G$2:G16,G16)&gt;1,SUMIF($A$2:A16,G16,$C$2:C16),C16))</f>
        <v/>
      </c>
      <c r="K16" s="45" t="str">
        <f>IF(G16="","",IF(COUNTIF($G$2:G16,G16)&gt;1,SUMIF($A$2:A16,G16,$D$2:D16),D16) +SUMIF($G$2:G16,G16,$M$2:M16))</f>
        <v/>
      </c>
      <c r="L16" s="45" t="str">
        <f t="shared" si="3"/>
        <v/>
      </c>
      <c r="M16" s="46" t="str">
        <f>IF(G16="","",IF(B16 = "BUY", 0,(E16-VLOOKUP(CONCATENATE(G16,(H16-1)),$I$2:L15,4,FALSE))*-C16))</f>
        <v/>
      </c>
      <c r="O16" s="27"/>
      <c r="P16" s="28" t="str">
        <f t="shared" si="4"/>
        <v/>
      </c>
      <c r="Q16" s="28" t="str">
        <f t="shared" si="5"/>
        <v/>
      </c>
      <c r="R16" s="28" t="str">
        <f t="shared" si="6"/>
        <v/>
      </c>
      <c r="S16" s="46" t="str">
        <f t="shared" si="7"/>
        <v/>
      </c>
      <c r="U16" s="27" t="str">
        <f t="shared" si="8"/>
        <v/>
      </c>
      <c r="V16" s="1" t="str">
        <f t="shared" si="0"/>
        <v/>
      </c>
      <c r="W16" s="1" t="str">
        <f t="shared" si="0"/>
        <v/>
      </c>
      <c r="X16" s="1" t="str">
        <f t="shared" si="0"/>
        <v/>
      </c>
      <c r="Y16" s="47" t="str">
        <f t="shared" si="0"/>
        <v/>
      </c>
    </row>
    <row r="17" spans="1:25" x14ac:dyDescent="0.3">
      <c r="A17" s="27" t="str">
        <f>IF('Australian Transaction'!A17= "","",'Australian Transaction'!A17)</f>
        <v/>
      </c>
      <c r="B17" s="28" t="str">
        <f>IF('Australian Transaction'!B17= "","",'Australian Transaction'!B17)</f>
        <v/>
      </c>
      <c r="C17" s="28" t="str">
        <f>IF('Australian Transaction'!C17= "","",IF(B17="BUY",'Australian Transaction'!C17,-'Australian Transaction'!C17))</f>
        <v/>
      </c>
      <c r="D17" s="28" t="str">
        <f>IF('Australian Transaction'!D17 = "","",IF($B17 = "BUY", 'Australian Transaction'!D17,-'Australian Transaction'!D17))</f>
        <v/>
      </c>
      <c r="E17" s="28" t="str">
        <f>IF('Australian Transaction'!E17= "","",'Australian Transaction'!E17)</f>
        <v/>
      </c>
      <c r="F17" s="33"/>
      <c r="G17" s="28" t="str">
        <f t="shared" si="1"/>
        <v/>
      </c>
      <c r="H17" s="28" t="str">
        <f>IF(A17="","",COUNTIF($G$2:G17,G17))</f>
        <v/>
      </c>
      <c r="I17" s="28" t="str">
        <f t="shared" si="2"/>
        <v/>
      </c>
      <c r="J17" s="28" t="str">
        <f>IF(G17="","",IF(COUNTIF($G$2:G17,G17)&gt;1,SUMIF($A$2:A17,G17,$C$2:C17),C17))</f>
        <v/>
      </c>
      <c r="K17" s="45" t="str">
        <f>IF(G17="","",IF(COUNTIF($G$2:G17,G17)&gt;1,SUMIF($A$2:A17,G17,$D$2:D17),D17) +SUMIF($G$2:G17,G17,$M$2:M17))</f>
        <v/>
      </c>
      <c r="L17" s="45" t="str">
        <f t="shared" si="3"/>
        <v/>
      </c>
      <c r="M17" s="46" t="str">
        <f>IF(G17="","",IF(B17 = "BUY", 0,(E17-VLOOKUP(CONCATENATE(G17,(H17-1)),$I$2:L16,4,FALSE))*-C17))</f>
        <v/>
      </c>
      <c r="O17" s="27"/>
      <c r="P17" s="28" t="str">
        <f t="shared" si="4"/>
        <v/>
      </c>
      <c r="Q17" s="28" t="str">
        <f t="shared" si="5"/>
        <v/>
      </c>
      <c r="R17" s="28" t="str">
        <f t="shared" si="6"/>
        <v/>
      </c>
      <c r="S17" s="46" t="str">
        <f t="shared" si="7"/>
        <v/>
      </c>
      <c r="U17" s="27" t="str">
        <f t="shared" si="8"/>
        <v/>
      </c>
      <c r="V17" s="1" t="str">
        <f t="shared" si="0"/>
        <v/>
      </c>
      <c r="W17" s="1" t="str">
        <f t="shared" si="0"/>
        <v/>
      </c>
      <c r="X17" s="1" t="str">
        <f t="shared" si="0"/>
        <v/>
      </c>
      <c r="Y17" s="47" t="str">
        <f t="shared" si="0"/>
        <v/>
      </c>
    </row>
    <row r="18" spans="1:25" x14ac:dyDescent="0.3">
      <c r="A18" s="27" t="str">
        <f>IF('Australian Transaction'!A18= "","",'Australian Transaction'!A18)</f>
        <v/>
      </c>
      <c r="B18" s="28" t="str">
        <f>IF('Australian Transaction'!B18= "","",'Australian Transaction'!B18)</f>
        <v/>
      </c>
      <c r="C18" s="28" t="str">
        <f>IF('Australian Transaction'!C18= "","",IF(B18="BUY",'Australian Transaction'!C18,-'Australian Transaction'!C18))</f>
        <v/>
      </c>
      <c r="D18" s="28" t="str">
        <f>IF('Australian Transaction'!D18 = "","",IF($B18 = "BUY", 'Australian Transaction'!D18,-'Australian Transaction'!D18))</f>
        <v/>
      </c>
      <c r="E18" s="28" t="str">
        <f>IF('Australian Transaction'!E18= "","",'Australian Transaction'!E18)</f>
        <v/>
      </c>
      <c r="F18" s="33"/>
      <c r="G18" s="28" t="str">
        <f t="shared" si="1"/>
        <v/>
      </c>
      <c r="H18" s="28" t="str">
        <f>IF(A18="","",COUNTIF($G$2:G18,G18))</f>
        <v/>
      </c>
      <c r="I18" s="28" t="str">
        <f t="shared" si="2"/>
        <v/>
      </c>
      <c r="J18" s="28" t="str">
        <f>IF(G18="","",IF(COUNTIF($G$2:G18,G18)&gt;1,SUMIF($A$2:A18,G18,$C$2:C18),C18))</f>
        <v/>
      </c>
      <c r="K18" s="45" t="str">
        <f>IF(G18="","",IF(COUNTIF($G$2:G18,G18)&gt;1,SUMIF($A$2:A18,G18,$D$2:D18),D18) +SUMIF($G$2:G18,G18,$M$2:M18))</f>
        <v/>
      </c>
      <c r="L18" s="45" t="str">
        <f t="shared" si="3"/>
        <v/>
      </c>
      <c r="M18" s="46" t="str">
        <f>IF(G18="","",IF(B18 = "BUY", 0,(E18-VLOOKUP(CONCATENATE(G18,(H18-1)),$I$2:L17,4,FALSE))*-C18))</f>
        <v/>
      </c>
      <c r="O18" s="27"/>
      <c r="P18" s="28" t="str">
        <f t="shared" si="4"/>
        <v/>
      </c>
      <c r="Q18" s="28" t="str">
        <f t="shared" si="5"/>
        <v/>
      </c>
      <c r="R18" s="28" t="str">
        <f t="shared" si="6"/>
        <v/>
      </c>
      <c r="S18" s="46" t="str">
        <f t="shared" si="7"/>
        <v/>
      </c>
      <c r="U18" s="27" t="str">
        <f t="shared" si="8"/>
        <v/>
      </c>
      <c r="V18" s="1" t="str">
        <f t="shared" si="8"/>
        <v/>
      </c>
      <c r="W18" s="1" t="str">
        <f t="shared" si="8"/>
        <v/>
      </c>
      <c r="X18" s="1" t="str">
        <f t="shared" si="8"/>
        <v/>
      </c>
      <c r="Y18" s="47" t="str">
        <f t="shared" si="8"/>
        <v/>
      </c>
    </row>
    <row r="19" spans="1:25" x14ac:dyDescent="0.3">
      <c r="A19" s="27" t="str">
        <f>IF('Australian Transaction'!A19= "","",'Australian Transaction'!A19)</f>
        <v/>
      </c>
      <c r="B19" s="28" t="str">
        <f>IF('Australian Transaction'!B19= "","",'Australian Transaction'!B19)</f>
        <v/>
      </c>
      <c r="C19" s="28" t="str">
        <f>IF('Australian Transaction'!C19= "","",IF(B19="BUY",'Australian Transaction'!C19,-'Australian Transaction'!C19))</f>
        <v/>
      </c>
      <c r="D19" s="28" t="str">
        <f>IF('Australian Transaction'!D19 = "","",IF($B19 = "BUY", 'Australian Transaction'!D19,-'Australian Transaction'!D19))</f>
        <v/>
      </c>
      <c r="E19" s="28" t="str">
        <f>IF('Australian Transaction'!E19= "","",'Australian Transaction'!E19)</f>
        <v/>
      </c>
      <c r="F19" s="33"/>
      <c r="G19" s="28" t="str">
        <f t="shared" si="1"/>
        <v/>
      </c>
      <c r="H19" s="28" t="str">
        <f>IF(A19="","",COUNTIF($G$2:G19,G19))</f>
        <v/>
      </c>
      <c r="I19" s="28" t="str">
        <f t="shared" si="2"/>
        <v/>
      </c>
      <c r="J19" s="28" t="str">
        <f>IF(G19="","",IF(COUNTIF($G$2:G19,G19)&gt;1,SUMIF($A$2:A19,G19,$C$2:C19),C19))</f>
        <v/>
      </c>
      <c r="K19" s="45" t="str">
        <f>IF(G19="","",IF(COUNTIF($G$2:G19,G19)&gt;1,SUMIF($A$2:A19,G19,$D$2:D19),D19) +SUMIF($G$2:G19,G19,$M$2:M19))</f>
        <v/>
      </c>
      <c r="L19" s="45" t="str">
        <f t="shared" si="3"/>
        <v/>
      </c>
      <c r="M19" s="46" t="str">
        <f>IF(G19="","",IF(B19 = "BUY", 0,(E19-VLOOKUP(CONCATENATE(G19,(H19-1)),$I$2:L18,4,FALSE))*-C19))</f>
        <v/>
      </c>
      <c r="O19" s="27"/>
      <c r="P19" s="28" t="str">
        <f t="shared" si="4"/>
        <v/>
      </c>
      <c r="Q19" s="28" t="str">
        <f t="shared" si="5"/>
        <v/>
      </c>
      <c r="R19" s="28" t="str">
        <f t="shared" si="6"/>
        <v/>
      </c>
      <c r="S19" s="46" t="str">
        <f t="shared" si="7"/>
        <v/>
      </c>
      <c r="U19" s="27" t="str">
        <f t="shared" ref="U19:Y21" si="9">IF($Q19="","",IF($Q19&gt;0.0001,O19,""))</f>
        <v/>
      </c>
      <c r="V19" s="1" t="str">
        <f t="shared" si="9"/>
        <v/>
      </c>
      <c r="W19" s="1" t="str">
        <f t="shared" si="9"/>
        <v/>
      </c>
      <c r="X19" s="1" t="str">
        <f t="shared" si="9"/>
        <v/>
      </c>
      <c r="Y19" s="47" t="str">
        <f t="shared" si="9"/>
        <v/>
      </c>
    </row>
    <row r="20" spans="1:25" x14ac:dyDescent="0.3">
      <c r="A20" s="27" t="str">
        <f>IF('Australian Transaction'!A20= "","",'Australian Transaction'!A20)</f>
        <v/>
      </c>
      <c r="B20" s="28" t="str">
        <f>IF('Australian Transaction'!B20= "","",'Australian Transaction'!B20)</f>
        <v/>
      </c>
      <c r="C20" s="28" t="str">
        <f>IF('Australian Transaction'!C20= "","",IF(B20="BUY",'Australian Transaction'!C20,-'Australian Transaction'!C20))</f>
        <v/>
      </c>
      <c r="D20" s="28" t="str">
        <f>IF('Australian Transaction'!D20 = "","",IF($B20 = "BUY", 'Australian Transaction'!D20,-'Australian Transaction'!D20))</f>
        <v/>
      </c>
      <c r="E20" s="28" t="str">
        <f>IF('Australian Transaction'!E20= "","",'Australian Transaction'!E20)</f>
        <v/>
      </c>
      <c r="F20" s="33"/>
      <c r="G20" s="28" t="str">
        <f t="shared" si="1"/>
        <v/>
      </c>
      <c r="H20" s="28" t="str">
        <f>IF(A20="","",COUNTIF($G$2:G20,G20))</f>
        <v/>
      </c>
      <c r="I20" s="28" t="str">
        <f t="shared" si="2"/>
        <v/>
      </c>
      <c r="J20" s="28" t="str">
        <f>IF(G20="","",IF(COUNTIF($G$2:G20,G20)&gt;1,SUMIF($A$2:A20,G20,$C$2:C20),C20))</f>
        <v/>
      </c>
      <c r="K20" s="45" t="str">
        <f>IF(G20="","",IF(COUNTIF($G$2:G20,G20)&gt;1,SUMIF($A$2:A20,G20,$D$2:D20),D20) +SUMIF($G$2:G20,G20,$M$2:M20))</f>
        <v/>
      </c>
      <c r="L20" s="45" t="str">
        <f t="shared" si="3"/>
        <v/>
      </c>
      <c r="M20" s="46" t="str">
        <f>IF(G20="","",IF(B20 = "BUY", 0,(E20-VLOOKUP(CONCATENATE(G20,(H20-1)),$I$2:L19,4,FALSE))*-C20))</f>
        <v/>
      </c>
      <c r="O20" s="27"/>
      <c r="P20" s="28" t="str">
        <f t="shared" si="4"/>
        <v/>
      </c>
      <c r="Q20" s="28" t="str">
        <f t="shared" si="5"/>
        <v/>
      </c>
      <c r="R20" s="28" t="str">
        <f t="shared" si="6"/>
        <v/>
      </c>
      <c r="S20" s="46" t="str">
        <f t="shared" si="7"/>
        <v/>
      </c>
      <c r="U20" s="27" t="str">
        <f t="shared" si="9"/>
        <v/>
      </c>
      <c r="V20" s="1" t="str">
        <f t="shared" si="9"/>
        <v/>
      </c>
      <c r="W20" s="1" t="str">
        <f t="shared" si="9"/>
        <v/>
      </c>
      <c r="X20" s="1" t="str">
        <f t="shared" si="9"/>
        <v/>
      </c>
      <c r="Y20" s="47" t="str">
        <f t="shared" si="9"/>
        <v/>
      </c>
    </row>
    <row r="21" spans="1:25" ht="15" thickBot="1" x14ac:dyDescent="0.35">
      <c r="A21" s="27" t="str">
        <f>IF('Australian Transaction'!A21= "","",'Australian Transaction'!A21)</f>
        <v/>
      </c>
      <c r="B21" s="28" t="str">
        <f>IF('Australian Transaction'!B21= "","",'Australian Transaction'!B21)</f>
        <v/>
      </c>
      <c r="C21" s="28" t="str">
        <f>IF('Australian Transaction'!C21= "","",IF(B21="BUY",'Australian Transaction'!C21,-'Australian Transaction'!C21))</f>
        <v/>
      </c>
      <c r="D21" s="28" t="str">
        <f>IF('Australian Transaction'!D21 = "","",IF($B21 = "BUY", 'Australian Transaction'!D21,-'Australian Transaction'!D21))</f>
        <v/>
      </c>
      <c r="E21" s="28" t="str">
        <f>IF('Australian Transaction'!E21= "","",'Australian Transaction'!E21)</f>
        <v/>
      </c>
      <c r="F21" s="33"/>
      <c r="G21" s="28" t="str">
        <f t="shared" si="1"/>
        <v/>
      </c>
      <c r="H21" s="28" t="str">
        <f>IF(A21="","",COUNTIF($G$2:G21,G21))</f>
        <v/>
      </c>
      <c r="I21" s="28" t="str">
        <f t="shared" si="2"/>
        <v/>
      </c>
      <c r="J21" s="28" t="str">
        <f>IF(G21="","",IF(COUNTIF($G$2:G21,G21)&gt;1,SUMIF($A$2:A21,G21,$C$2:C21),C21))</f>
        <v/>
      </c>
      <c r="K21" s="45" t="str">
        <f>IF(G21="","",IF(COUNTIF($G$2:G21,G21)&gt;1,SUMIF($A$2:A21,G21,$D$2:D21),D21) +SUMIF($G$2:G21,G21,$M$2:M21))</f>
        <v/>
      </c>
      <c r="L21" s="45" t="str">
        <f t="shared" si="3"/>
        <v/>
      </c>
      <c r="M21" s="46" t="str">
        <f>IF(G21="","",IF(B21 = "BUY", 0,(E21-VLOOKUP(CONCATENATE(G21,(H21-1)),$I$2:L20,4,FALSE))*-C21))</f>
        <v/>
      </c>
      <c r="O21" s="30"/>
      <c r="P21" s="31" t="str">
        <f t="shared" si="4"/>
        <v/>
      </c>
      <c r="Q21" s="31" t="str">
        <f t="shared" si="5"/>
        <v/>
      </c>
      <c r="R21" s="31" t="str">
        <f t="shared" si="6"/>
        <v/>
      </c>
      <c r="S21" s="48" t="str">
        <f t="shared" si="7"/>
        <v/>
      </c>
      <c r="U21" s="30" t="str">
        <f t="shared" si="9"/>
        <v/>
      </c>
      <c r="V21" s="31" t="str">
        <f t="shared" si="9"/>
        <v/>
      </c>
      <c r="W21" s="31" t="str">
        <f t="shared" si="9"/>
        <v/>
      </c>
      <c r="X21" s="31" t="str">
        <f t="shared" si="9"/>
        <v/>
      </c>
      <c r="Y21" s="49" t="str">
        <f t="shared" si="9"/>
        <v/>
      </c>
    </row>
    <row r="22" spans="1:25" x14ac:dyDescent="0.3">
      <c r="A22" s="27" t="str">
        <f>IF('Australian Transaction'!A22= "","",'Australian Transaction'!A22)</f>
        <v/>
      </c>
      <c r="B22" s="28" t="str">
        <f>IF('Australian Transaction'!B22= "","",'Australian Transaction'!B22)</f>
        <v/>
      </c>
      <c r="C22" s="28" t="str">
        <f>IF('Australian Transaction'!C22= "","",IF(B22="BUY",'Australian Transaction'!C22,-'Australian Transaction'!C22))</f>
        <v/>
      </c>
      <c r="D22" s="28" t="str">
        <f>IF('Australian Transaction'!D22 = "","",IF($B22 = "BUY", 'Australian Transaction'!D22,-'Australian Transaction'!D22))</f>
        <v/>
      </c>
      <c r="E22" s="28" t="str">
        <f>IF('Australian Transaction'!E22= "","",'Australian Transaction'!E22)</f>
        <v/>
      </c>
      <c r="F22" s="33"/>
      <c r="G22" s="28" t="str">
        <f t="shared" si="1"/>
        <v/>
      </c>
      <c r="H22" s="28" t="str">
        <f>IF(A22="","",COUNTIF($G$2:G22,G22))</f>
        <v/>
      </c>
      <c r="I22" s="28" t="str">
        <f t="shared" si="2"/>
        <v/>
      </c>
      <c r="J22" s="28" t="str">
        <f>IF(G22="","",IF(COUNTIF($G$2:G22,G22)&gt;1,SUMIF($A$2:A22,G22,$C$2:C22),C22))</f>
        <v/>
      </c>
      <c r="K22" s="45" t="str">
        <f>IF(G22="","",IF(COUNTIF($G$2:G22,G22)&gt;1,SUMIF($A$2:A22,G22,$D$2:D22),D22) +SUMIF($G$2:G22,G22,$M$2:M22))</f>
        <v/>
      </c>
      <c r="L22" s="45" t="str">
        <f t="shared" si="3"/>
        <v/>
      </c>
      <c r="M22" s="46" t="str">
        <f>IF(G22="","",IF(B22 = "BUY", 0,(E22-VLOOKUP(CONCATENATE(G22,(H22-1)),$I$2:L21,4,FALSE))*-C22))</f>
        <v/>
      </c>
      <c r="P22" s="1" t="str">
        <f t="shared" ref="P22:P51" si="10">IF(O22="","",SUMIF($G$2:$G$51,O22,$M$2:$M$51))</f>
        <v/>
      </c>
      <c r="Q22" s="1" t="str">
        <f t="shared" ref="Q22:Q51" si="11">IF(O22="","",VLOOKUP(CONCATENATE(O22,(COUNTIF($G$2:$G$51,O22))),$I$2:$L$51,2,FALSE))</f>
        <v/>
      </c>
      <c r="R22" s="1" t="str">
        <f t="shared" ref="R22:R51" si="12">IF(O22="","",VLOOKUP(CONCATENATE(O22,(COUNTIF($G$2:$G$51,O22))),$I$2:$L$51,3,FALSE))</f>
        <v/>
      </c>
      <c r="S22" s="1" t="str">
        <f t="shared" ref="S22:S51" si="13">IF(O22="","",VLOOKUP(CONCATENATE(O22,(COUNTIF($G$2:$G$51,O22))),$I$2:$L$51,4,FALSE))</f>
        <v/>
      </c>
    </row>
    <row r="23" spans="1:25" x14ac:dyDescent="0.3">
      <c r="A23" s="27" t="str">
        <f>IF('Australian Transaction'!A23= "","",'Australian Transaction'!A23)</f>
        <v/>
      </c>
      <c r="B23" s="28" t="str">
        <f>IF('Australian Transaction'!B23= "","",'Australian Transaction'!B23)</f>
        <v/>
      </c>
      <c r="C23" s="28" t="str">
        <f>IF('Australian Transaction'!C23= "","",IF(B23="BUY",'Australian Transaction'!C23,-'Australian Transaction'!C23))</f>
        <v/>
      </c>
      <c r="D23" s="28" t="str">
        <f>IF('Australian Transaction'!D23 = "","",IF($B23 = "BUY", 'Australian Transaction'!D23,-'Australian Transaction'!D23))</f>
        <v/>
      </c>
      <c r="E23" s="28" t="str">
        <f>IF('Australian Transaction'!E23= "","",'Australian Transaction'!E23)</f>
        <v/>
      </c>
      <c r="F23" s="33"/>
      <c r="G23" s="28" t="str">
        <f t="shared" si="1"/>
        <v/>
      </c>
      <c r="H23" s="28" t="str">
        <f>IF(A23="","",COUNTIF($G$2:G23,G23))</f>
        <v/>
      </c>
      <c r="I23" s="28" t="str">
        <f t="shared" si="2"/>
        <v/>
      </c>
      <c r="J23" s="28" t="str">
        <f>IF(G23="","",IF(COUNTIF($G$2:G23,G23)&gt;1,SUMIF($A$2:A23,G23,$C$2:C23),C23))</f>
        <v/>
      </c>
      <c r="K23" s="45" t="str">
        <f>IF(G23="","",IF(COUNTIF($G$2:G23,G23)&gt;1,SUMIF($A$2:A23,G23,$D$2:D23),D23) +SUMIF($G$2:G23,G23,$M$2:M23))</f>
        <v/>
      </c>
      <c r="L23" s="45" t="str">
        <f t="shared" si="3"/>
        <v/>
      </c>
      <c r="M23" s="46" t="str">
        <f>IF(G23="","",IF(B23 = "BUY", 0,(E23-VLOOKUP(CONCATENATE(G23,(H23-1)),$I$2:L22,4,FALSE))*-C23))</f>
        <v/>
      </c>
      <c r="P23" s="1" t="str">
        <f t="shared" si="10"/>
        <v/>
      </c>
      <c r="Q23" s="1" t="str">
        <f t="shared" si="11"/>
        <v/>
      </c>
      <c r="R23" s="1" t="str">
        <f t="shared" si="12"/>
        <v/>
      </c>
      <c r="S23" s="1" t="str">
        <f t="shared" si="13"/>
        <v/>
      </c>
    </row>
    <row r="24" spans="1:25" x14ac:dyDescent="0.3">
      <c r="A24" s="27" t="str">
        <f>IF('Australian Transaction'!A24= "","",'Australian Transaction'!A24)</f>
        <v/>
      </c>
      <c r="B24" s="28" t="str">
        <f>IF('Australian Transaction'!B24= "","",'Australian Transaction'!B24)</f>
        <v/>
      </c>
      <c r="C24" s="28" t="str">
        <f>IF('Australian Transaction'!C24= "","",IF(B24="BUY",'Australian Transaction'!C24,-'Australian Transaction'!C24))</f>
        <v/>
      </c>
      <c r="D24" s="28" t="str">
        <f>IF('Australian Transaction'!D24 = "","",IF($B24 = "BUY", 'Australian Transaction'!D24,-'Australian Transaction'!D24))</f>
        <v/>
      </c>
      <c r="E24" s="28" t="str">
        <f>IF('Australian Transaction'!E24= "","",'Australian Transaction'!E24)</f>
        <v/>
      </c>
      <c r="F24" s="33"/>
      <c r="G24" s="28" t="str">
        <f t="shared" si="1"/>
        <v/>
      </c>
      <c r="H24" s="28" t="str">
        <f>IF(A24="","",COUNTIF($G$2:G24,G24))</f>
        <v/>
      </c>
      <c r="I24" s="28" t="str">
        <f t="shared" si="2"/>
        <v/>
      </c>
      <c r="J24" s="28" t="str">
        <f>IF(G24="","",IF(COUNTIF($G$2:G24,G24)&gt;1,SUMIF($A$2:A24,G24,$C$2:C24),C24))</f>
        <v/>
      </c>
      <c r="K24" s="45" t="str">
        <f>IF(G24="","",IF(COUNTIF($G$2:G24,G24)&gt;1,SUMIF($A$2:A24,G24,$D$2:D24),D24) +SUMIF($G$2:G24,G24,$M$2:M24))</f>
        <v/>
      </c>
      <c r="L24" s="45" t="str">
        <f t="shared" si="3"/>
        <v/>
      </c>
      <c r="M24" s="46" t="str">
        <f>IF(G24="","",IF(B24 = "BUY", 0,(E24-VLOOKUP(CONCATENATE(G24,(H24-1)),$I$2:L23,4,FALSE))*-C24))</f>
        <v/>
      </c>
      <c r="P24" s="1" t="str">
        <f t="shared" si="10"/>
        <v/>
      </c>
      <c r="Q24" s="1" t="str">
        <f t="shared" si="11"/>
        <v/>
      </c>
      <c r="R24" s="1" t="str">
        <f t="shared" si="12"/>
        <v/>
      </c>
      <c r="S24" s="1" t="str">
        <f t="shared" si="13"/>
        <v/>
      </c>
    </row>
    <row r="25" spans="1:25" x14ac:dyDescent="0.3">
      <c r="A25" s="27" t="str">
        <f>IF('Australian Transaction'!A25= "","",'Australian Transaction'!A25)</f>
        <v/>
      </c>
      <c r="B25" s="28" t="str">
        <f>IF('Australian Transaction'!B25= "","",'Australian Transaction'!B25)</f>
        <v/>
      </c>
      <c r="C25" s="28" t="str">
        <f>IF('Australian Transaction'!C25= "","",IF(B25="BUY",'Australian Transaction'!C25,-'Australian Transaction'!C25))</f>
        <v/>
      </c>
      <c r="D25" s="28" t="str">
        <f>IF('Australian Transaction'!D25 = "","",IF($B25 = "BUY", 'Australian Transaction'!D25,-'Australian Transaction'!D25))</f>
        <v/>
      </c>
      <c r="E25" s="28" t="str">
        <f>IF('Australian Transaction'!E25= "","",'Australian Transaction'!E25)</f>
        <v/>
      </c>
      <c r="F25" s="33"/>
      <c r="G25" s="28" t="str">
        <f t="shared" si="1"/>
        <v/>
      </c>
      <c r="H25" s="28" t="str">
        <f>IF(A25="","",COUNTIF($G$2:G25,G25))</f>
        <v/>
      </c>
      <c r="I25" s="28" t="str">
        <f t="shared" si="2"/>
        <v/>
      </c>
      <c r="J25" s="28" t="str">
        <f>IF(G25="","",IF(COUNTIF($G$2:G25,G25)&gt;1,SUMIF($A$2:A25,G25,$C$2:C25),C25))</f>
        <v/>
      </c>
      <c r="K25" s="45" t="str">
        <f>IF(G25="","",IF(COUNTIF($G$2:G25,G25)&gt;1,SUMIF($A$2:A25,G25,$D$2:D25),D25) +SUMIF($G$2:G25,G25,$M$2:M25))</f>
        <v/>
      </c>
      <c r="L25" s="45" t="str">
        <f t="shared" si="3"/>
        <v/>
      </c>
      <c r="M25" s="46" t="str">
        <f>IF(G25="","",IF(B25 = "BUY", 0,(E25-VLOOKUP(CONCATENATE(G25,(H25-1)),$I$2:L24,4,FALSE))*-C25))</f>
        <v/>
      </c>
      <c r="P25" s="1" t="str">
        <f t="shared" si="10"/>
        <v/>
      </c>
      <c r="Q25" s="1" t="str">
        <f t="shared" si="11"/>
        <v/>
      </c>
      <c r="R25" s="1" t="str">
        <f t="shared" si="12"/>
        <v/>
      </c>
      <c r="S25" s="1" t="str">
        <f t="shared" si="13"/>
        <v/>
      </c>
    </row>
    <row r="26" spans="1:25" x14ac:dyDescent="0.3">
      <c r="A26" s="27" t="str">
        <f>IF('Australian Transaction'!A26= "","",'Australian Transaction'!A26)</f>
        <v/>
      </c>
      <c r="B26" s="28" t="str">
        <f>IF('Australian Transaction'!B26= "","",'Australian Transaction'!B26)</f>
        <v/>
      </c>
      <c r="C26" s="28" t="str">
        <f>IF('Australian Transaction'!C26= "","",IF(B26="BUY",'Australian Transaction'!C26,-'Australian Transaction'!C26))</f>
        <v/>
      </c>
      <c r="D26" s="28" t="str">
        <f>IF('Australian Transaction'!D26 = "","",IF($B26 = "BUY", 'Australian Transaction'!D26,-'Australian Transaction'!D26))</f>
        <v/>
      </c>
      <c r="E26" s="28" t="str">
        <f>IF('Australian Transaction'!E26= "","",'Australian Transaction'!E26)</f>
        <v/>
      </c>
      <c r="F26" s="33"/>
      <c r="G26" s="28" t="str">
        <f t="shared" si="1"/>
        <v/>
      </c>
      <c r="H26" s="28" t="str">
        <f>IF(A26="","",COUNTIF($G$2:G26,G26))</f>
        <v/>
      </c>
      <c r="I26" s="28" t="str">
        <f t="shared" si="2"/>
        <v/>
      </c>
      <c r="J26" s="28" t="str">
        <f>IF(G26="","",IF(COUNTIF($G$2:G26,G26)&gt;1,SUMIF($A$2:A26,G26,$C$2:C26),C26))</f>
        <v/>
      </c>
      <c r="K26" s="45" t="str">
        <f>IF(G26="","",IF(COUNTIF($G$2:G26,G26)&gt;1,SUMIF($A$2:A26,G26,$D$2:D26),D26) +SUMIF($G$2:G26,G26,$M$2:M26))</f>
        <v/>
      </c>
      <c r="L26" s="45" t="str">
        <f t="shared" si="3"/>
        <v/>
      </c>
      <c r="M26" s="46" t="str">
        <f>IF(G26="","",IF(B26 = "BUY", 0,(E26-VLOOKUP(CONCATENATE(G26,(H26-1)),$I$2:L25,4,FALSE))*-C26))</f>
        <v/>
      </c>
      <c r="P26" s="1" t="str">
        <f t="shared" si="10"/>
        <v/>
      </c>
      <c r="Q26" s="1" t="str">
        <f t="shared" si="11"/>
        <v/>
      </c>
      <c r="R26" s="1" t="str">
        <f t="shared" si="12"/>
        <v/>
      </c>
      <c r="S26" s="1" t="str">
        <f t="shared" si="13"/>
        <v/>
      </c>
    </row>
    <row r="27" spans="1:25" x14ac:dyDescent="0.3">
      <c r="A27" s="27" t="str">
        <f>IF('Australian Transaction'!A27= "","",'Australian Transaction'!A27)</f>
        <v/>
      </c>
      <c r="B27" s="28" t="str">
        <f>IF('Australian Transaction'!B27= "","",'Australian Transaction'!B27)</f>
        <v/>
      </c>
      <c r="C27" s="28" t="str">
        <f>IF('Australian Transaction'!C27= "","",IF(B27="BUY",'Australian Transaction'!C27,-'Australian Transaction'!C27))</f>
        <v/>
      </c>
      <c r="D27" s="28" t="str">
        <f>IF('Australian Transaction'!D27 = "","",IF($B27 = "BUY", 'Australian Transaction'!D27,-'Australian Transaction'!D27))</f>
        <v/>
      </c>
      <c r="E27" s="28" t="str">
        <f>IF('Australian Transaction'!E27= "","",'Australian Transaction'!E27)</f>
        <v/>
      </c>
      <c r="F27" s="33"/>
      <c r="G27" s="28" t="str">
        <f t="shared" si="1"/>
        <v/>
      </c>
      <c r="H27" s="28" t="str">
        <f>IF(A27="","",COUNTIF($G$2:G27,G27))</f>
        <v/>
      </c>
      <c r="I27" s="28" t="str">
        <f t="shared" si="2"/>
        <v/>
      </c>
      <c r="J27" s="28" t="str">
        <f>IF(G27="","",IF(COUNTIF($G$2:G27,G27)&gt;1,SUMIF($A$2:A27,G27,$C$2:C27),C27))</f>
        <v/>
      </c>
      <c r="K27" s="45" t="str">
        <f>IF(G27="","",IF(COUNTIF($G$2:G27,G27)&gt;1,SUMIF($A$2:A27,G27,$D$2:D27),D27) +SUMIF($G$2:G27,G27,$M$2:M27))</f>
        <v/>
      </c>
      <c r="L27" s="45" t="str">
        <f t="shared" si="3"/>
        <v/>
      </c>
      <c r="M27" s="46" t="str">
        <f>IF(G27="","",IF(B27 = "BUY", 0,(E27-VLOOKUP(CONCATENATE(G27,(H27-1)),$I$2:L26,4,FALSE))*-C27))</f>
        <v/>
      </c>
      <c r="P27" s="1" t="str">
        <f t="shared" si="10"/>
        <v/>
      </c>
      <c r="Q27" s="1" t="str">
        <f t="shared" si="11"/>
        <v/>
      </c>
      <c r="R27" s="1" t="str">
        <f t="shared" si="12"/>
        <v/>
      </c>
      <c r="S27" s="1" t="str">
        <f t="shared" si="13"/>
        <v/>
      </c>
    </row>
    <row r="28" spans="1:25" x14ac:dyDescent="0.3">
      <c r="A28" s="27" t="str">
        <f>IF('Australian Transaction'!A28= "","",'Australian Transaction'!A28)</f>
        <v/>
      </c>
      <c r="B28" s="28" t="str">
        <f>IF('Australian Transaction'!B28= "","",'Australian Transaction'!B28)</f>
        <v/>
      </c>
      <c r="C28" s="28" t="str">
        <f>IF('Australian Transaction'!C28= "","",IF(B28="BUY",'Australian Transaction'!C28,-'Australian Transaction'!C28))</f>
        <v/>
      </c>
      <c r="D28" s="28" t="str">
        <f>IF('Australian Transaction'!D28 = "","",IF($B28 = "BUY", 'Australian Transaction'!D28,-'Australian Transaction'!D28))</f>
        <v/>
      </c>
      <c r="E28" s="28" t="str">
        <f>IF('Australian Transaction'!E28= "","",'Australian Transaction'!E28)</f>
        <v/>
      </c>
      <c r="F28" s="33"/>
      <c r="G28" s="28" t="str">
        <f t="shared" si="1"/>
        <v/>
      </c>
      <c r="H28" s="28" t="str">
        <f>IF(A28="","",COUNTIF($G$2:G28,G28))</f>
        <v/>
      </c>
      <c r="I28" s="28" t="str">
        <f t="shared" si="2"/>
        <v/>
      </c>
      <c r="J28" s="28" t="str">
        <f>IF(G28="","",IF(COUNTIF($G$2:G28,G28)&gt;1,SUMIF($A$2:A28,G28,$C$2:C28),C28))</f>
        <v/>
      </c>
      <c r="K28" s="45" t="str">
        <f>IF(G28="","",IF(COUNTIF($G$2:G28,G28)&gt;1,SUMIF($A$2:A28,G28,$D$2:D28),D28) +SUMIF($G$2:G28,G28,$M$2:M28))</f>
        <v/>
      </c>
      <c r="L28" s="45" t="str">
        <f t="shared" si="3"/>
        <v/>
      </c>
      <c r="M28" s="46" t="str">
        <f>IF(G28="","",IF(B28 = "BUY", 0,(E28-VLOOKUP(CONCATENATE(G28,(H28-1)),$I$2:L27,4,FALSE))*-C28))</f>
        <v/>
      </c>
      <c r="P28" s="1" t="str">
        <f t="shared" si="10"/>
        <v/>
      </c>
      <c r="Q28" s="1" t="str">
        <f t="shared" si="11"/>
        <v/>
      </c>
      <c r="R28" s="1" t="str">
        <f t="shared" si="12"/>
        <v/>
      </c>
      <c r="S28" s="1" t="str">
        <f t="shared" si="13"/>
        <v/>
      </c>
    </row>
    <row r="29" spans="1:25" x14ac:dyDescent="0.3">
      <c r="A29" s="27" t="str">
        <f>IF('Australian Transaction'!A29= "","",'Australian Transaction'!A29)</f>
        <v/>
      </c>
      <c r="B29" s="28" t="str">
        <f>IF('Australian Transaction'!B29= "","",'Australian Transaction'!B29)</f>
        <v/>
      </c>
      <c r="C29" s="28" t="str">
        <f>IF('Australian Transaction'!C29= "","",IF(B29="BUY",'Australian Transaction'!C29,-'Australian Transaction'!C29))</f>
        <v/>
      </c>
      <c r="D29" s="28" t="str">
        <f>IF('Australian Transaction'!D29 = "","",IF($B29 = "BUY", 'Australian Transaction'!D29,-'Australian Transaction'!D29))</f>
        <v/>
      </c>
      <c r="E29" s="28" t="str">
        <f>IF('Australian Transaction'!E29= "","",'Australian Transaction'!E29)</f>
        <v/>
      </c>
      <c r="F29" s="33"/>
      <c r="G29" s="28" t="str">
        <f t="shared" si="1"/>
        <v/>
      </c>
      <c r="H29" s="28" t="str">
        <f>IF(A29="","",COUNTIF($G$2:G29,G29))</f>
        <v/>
      </c>
      <c r="I29" s="28" t="str">
        <f t="shared" si="2"/>
        <v/>
      </c>
      <c r="J29" s="28" t="str">
        <f>IF(G29="","",IF(COUNTIF($G$2:G29,G29)&gt;1,SUMIF($A$2:A29,G29,$C$2:C29),C29))</f>
        <v/>
      </c>
      <c r="K29" s="45" t="str">
        <f>IF(G29="","",IF(COUNTIF($G$2:G29,G29)&gt;1,SUMIF($A$2:A29,G29,$D$2:D29),D29) +SUMIF($G$2:G29,G29,$M$2:M29))</f>
        <v/>
      </c>
      <c r="L29" s="45" t="str">
        <f t="shared" si="3"/>
        <v/>
      </c>
      <c r="M29" s="46" t="str">
        <f>IF(G29="","",IF(B29 = "BUY", 0,(E29-VLOOKUP(CONCATENATE(G29,(H29-1)),$I$2:L28,4,FALSE))*-C29))</f>
        <v/>
      </c>
      <c r="P29" s="1" t="str">
        <f t="shared" si="10"/>
        <v/>
      </c>
      <c r="Q29" s="1" t="str">
        <f t="shared" si="11"/>
        <v/>
      </c>
      <c r="R29" s="1" t="str">
        <f t="shared" si="12"/>
        <v/>
      </c>
      <c r="S29" s="1" t="str">
        <f t="shared" si="13"/>
        <v/>
      </c>
    </row>
    <row r="30" spans="1:25" x14ac:dyDescent="0.3">
      <c r="A30" s="27" t="str">
        <f>IF('Australian Transaction'!A30= "","",'Australian Transaction'!A30)</f>
        <v/>
      </c>
      <c r="B30" s="28" t="str">
        <f>IF('Australian Transaction'!B30= "","",'Australian Transaction'!B30)</f>
        <v/>
      </c>
      <c r="C30" s="28" t="str">
        <f>IF('Australian Transaction'!C30= "","",IF(B30="BUY",'Australian Transaction'!C30,-'Australian Transaction'!C30))</f>
        <v/>
      </c>
      <c r="D30" s="28" t="str">
        <f>IF('Australian Transaction'!D30 = "","",IF($B30 = "BUY", 'Australian Transaction'!D30,-'Australian Transaction'!D30))</f>
        <v/>
      </c>
      <c r="E30" s="28" t="str">
        <f>IF('Australian Transaction'!E30= "","",'Australian Transaction'!E30)</f>
        <v/>
      </c>
      <c r="F30" s="33"/>
      <c r="G30" s="28" t="str">
        <f t="shared" si="1"/>
        <v/>
      </c>
      <c r="H30" s="28" t="str">
        <f>IF(A30="","",COUNTIF($G$2:G30,G30))</f>
        <v/>
      </c>
      <c r="I30" s="28" t="str">
        <f t="shared" si="2"/>
        <v/>
      </c>
      <c r="J30" s="28" t="str">
        <f>IF(G30="","",IF(COUNTIF($G$2:G30,G30)&gt;1,SUMIF($A$2:A30,G30,$C$2:C30),C30))</f>
        <v/>
      </c>
      <c r="K30" s="45" t="str">
        <f>IF(G30="","",IF(COUNTIF($G$2:G30,G30)&gt;1,SUMIF($A$2:A30,G30,$D$2:D30),D30) +SUMIF($G$2:G30,G30,$M$2:M30))</f>
        <v/>
      </c>
      <c r="L30" s="45" t="str">
        <f t="shared" si="3"/>
        <v/>
      </c>
      <c r="M30" s="46" t="str">
        <f>IF(G30="","",IF(B30 = "BUY", 0,(E30-VLOOKUP(CONCATENATE(G30,(H30-1)),$I$2:L29,4,FALSE))*-C30))</f>
        <v/>
      </c>
      <c r="P30" s="1" t="str">
        <f t="shared" si="10"/>
        <v/>
      </c>
      <c r="Q30" s="1" t="str">
        <f t="shared" si="11"/>
        <v/>
      </c>
      <c r="R30" s="1" t="str">
        <f t="shared" si="12"/>
        <v/>
      </c>
      <c r="S30" s="1" t="str">
        <f t="shared" si="13"/>
        <v/>
      </c>
    </row>
    <row r="31" spans="1:25" x14ac:dyDescent="0.3">
      <c r="A31" s="27" t="str">
        <f>IF('Australian Transaction'!A31= "","",'Australian Transaction'!A31)</f>
        <v/>
      </c>
      <c r="B31" s="28" t="str">
        <f>IF('Australian Transaction'!B31= "","",'Australian Transaction'!B31)</f>
        <v/>
      </c>
      <c r="C31" s="28" t="str">
        <f>IF('Australian Transaction'!C31= "","",IF(B31="BUY",'Australian Transaction'!C31,-'Australian Transaction'!C31))</f>
        <v/>
      </c>
      <c r="D31" s="28" t="str">
        <f>IF('Australian Transaction'!D31 = "","",IF($B31 = "BUY", 'Australian Transaction'!D31,-'Australian Transaction'!D31))</f>
        <v/>
      </c>
      <c r="E31" s="28" t="str">
        <f>IF('Australian Transaction'!E31= "","",'Australian Transaction'!E31)</f>
        <v/>
      </c>
      <c r="F31" s="33"/>
      <c r="G31" s="28" t="str">
        <f t="shared" si="1"/>
        <v/>
      </c>
      <c r="H31" s="28" t="str">
        <f>IF(A31="","",COUNTIF($G$2:G31,G31))</f>
        <v/>
      </c>
      <c r="I31" s="28" t="str">
        <f t="shared" si="2"/>
        <v/>
      </c>
      <c r="J31" s="28" t="str">
        <f>IF(G31="","",IF(COUNTIF($G$2:G31,G31)&gt;1,SUMIF($A$2:A31,G31,$C$2:C31),C31))</f>
        <v/>
      </c>
      <c r="K31" s="45" t="str">
        <f>IF(G31="","",IF(COUNTIF($G$2:G31,G31)&gt;1,SUMIF($A$2:A31,G31,$D$2:D31),D31) +SUMIF($G$2:G31,G31,$M$2:M31))</f>
        <v/>
      </c>
      <c r="L31" s="45" t="str">
        <f t="shared" si="3"/>
        <v/>
      </c>
      <c r="M31" s="46" t="str">
        <f>IF(G31="","",IF(B31 = "BUY", 0,(E31-VLOOKUP(CONCATENATE(G31,(H31-1)),$I$2:L30,4,FALSE))*-C31))</f>
        <v/>
      </c>
      <c r="P31" s="1" t="str">
        <f t="shared" si="10"/>
        <v/>
      </c>
      <c r="Q31" s="1" t="str">
        <f t="shared" si="11"/>
        <v/>
      </c>
      <c r="R31" s="1" t="str">
        <f t="shared" si="12"/>
        <v/>
      </c>
      <c r="S31" s="1" t="str">
        <f t="shared" si="13"/>
        <v/>
      </c>
    </row>
    <row r="32" spans="1:25" x14ac:dyDescent="0.3">
      <c r="A32" s="27" t="str">
        <f>IF('Australian Transaction'!A32= "","",'Australian Transaction'!A32)</f>
        <v/>
      </c>
      <c r="B32" s="28" t="str">
        <f>IF('Australian Transaction'!B32= "","",'Australian Transaction'!B32)</f>
        <v/>
      </c>
      <c r="C32" s="28" t="str">
        <f>IF('Australian Transaction'!C32= "","",IF(B32="BUY",'Australian Transaction'!C32,-'Australian Transaction'!C32))</f>
        <v/>
      </c>
      <c r="D32" s="28" t="str">
        <f>IF('Australian Transaction'!D32 = "","",IF($B32 = "BUY", 'Australian Transaction'!D32,-'Australian Transaction'!D32))</f>
        <v/>
      </c>
      <c r="E32" s="28" t="str">
        <f>IF('Australian Transaction'!E32= "","",'Australian Transaction'!E32)</f>
        <v/>
      </c>
      <c r="F32" s="33"/>
      <c r="G32" s="28" t="str">
        <f t="shared" si="1"/>
        <v/>
      </c>
      <c r="H32" s="28" t="str">
        <f>IF(A32="","",COUNTIF($G$2:G32,G32))</f>
        <v/>
      </c>
      <c r="I32" s="28" t="str">
        <f t="shared" si="2"/>
        <v/>
      </c>
      <c r="J32" s="28" t="str">
        <f>IF(G32="","",IF(COUNTIF($G$2:G32,G32)&gt;1,SUMIF($A$2:A32,G32,$C$2:C32),C32))</f>
        <v/>
      </c>
      <c r="K32" s="45" t="str">
        <f>IF(G32="","",IF(COUNTIF($G$2:G32,G32)&gt;1,SUMIF($A$2:A32,G32,$D$2:D32),D32) +SUMIF($G$2:G32,G32,$M$2:M32))</f>
        <v/>
      </c>
      <c r="L32" s="45" t="str">
        <f t="shared" si="3"/>
        <v/>
      </c>
      <c r="M32" s="46" t="str">
        <f>IF(G32="","",IF(B32 = "BUY", 0,(E32-VLOOKUP(CONCATENATE(G32,(H32-1)),$I$2:L31,4,FALSE))*-C32))</f>
        <v/>
      </c>
      <c r="P32" s="1" t="str">
        <f t="shared" si="10"/>
        <v/>
      </c>
      <c r="Q32" s="1" t="str">
        <f t="shared" si="11"/>
        <v/>
      </c>
      <c r="R32" s="1" t="str">
        <f t="shared" si="12"/>
        <v/>
      </c>
      <c r="S32" s="1" t="str">
        <f t="shared" si="13"/>
        <v/>
      </c>
    </row>
    <row r="33" spans="1:19" x14ac:dyDescent="0.3">
      <c r="A33" s="27" t="str">
        <f>IF('Australian Transaction'!A33= "","",'Australian Transaction'!A33)</f>
        <v/>
      </c>
      <c r="B33" s="28" t="str">
        <f>IF('Australian Transaction'!B33= "","",'Australian Transaction'!B33)</f>
        <v/>
      </c>
      <c r="C33" s="28" t="str">
        <f>IF('Australian Transaction'!C33= "","",IF(B33="BUY",'Australian Transaction'!C33,-'Australian Transaction'!C33))</f>
        <v/>
      </c>
      <c r="D33" s="28" t="str">
        <f>IF('Australian Transaction'!D33 = "","",IF($B33 = "BUY", 'Australian Transaction'!D33,-'Australian Transaction'!D33))</f>
        <v/>
      </c>
      <c r="E33" s="28" t="str">
        <f>IF('Australian Transaction'!E33= "","",'Australian Transaction'!E33)</f>
        <v/>
      </c>
      <c r="F33" s="33"/>
      <c r="G33" s="28" t="str">
        <f t="shared" si="1"/>
        <v/>
      </c>
      <c r="H33" s="28" t="str">
        <f>IF(A33="","",COUNTIF($G$2:G33,G33))</f>
        <v/>
      </c>
      <c r="I33" s="28" t="str">
        <f t="shared" si="2"/>
        <v/>
      </c>
      <c r="J33" s="28" t="str">
        <f>IF(G33="","",IF(COUNTIF($G$2:G33,G33)&gt;1,SUMIF($A$2:A33,G33,$C$2:C33),C33))</f>
        <v/>
      </c>
      <c r="K33" s="45" t="str">
        <f>IF(G33="","",IF(COUNTIF($G$2:G33,G33)&gt;1,SUMIF($A$2:A33,G33,$D$2:D33),D33) +SUMIF($G$2:G33,G33,$M$2:M33))</f>
        <v/>
      </c>
      <c r="L33" s="45" t="str">
        <f t="shared" si="3"/>
        <v/>
      </c>
      <c r="M33" s="46" t="str">
        <f>IF(G33="","",IF(B33 = "BUY", 0,(E33-VLOOKUP(CONCATENATE(G33,(H33-1)),$I$2:L32,4,FALSE))*-C33))</f>
        <v/>
      </c>
      <c r="P33" s="1" t="str">
        <f t="shared" si="10"/>
        <v/>
      </c>
      <c r="Q33" s="1" t="str">
        <f t="shared" si="11"/>
        <v/>
      </c>
      <c r="R33" s="1" t="str">
        <f t="shared" si="12"/>
        <v/>
      </c>
      <c r="S33" s="1" t="str">
        <f t="shared" si="13"/>
        <v/>
      </c>
    </row>
    <row r="34" spans="1:19" x14ac:dyDescent="0.3">
      <c r="A34" s="27" t="str">
        <f>IF('Australian Transaction'!A34= "","",'Australian Transaction'!A34)</f>
        <v/>
      </c>
      <c r="B34" s="28" t="str">
        <f>IF('Australian Transaction'!B34= "","",'Australian Transaction'!B34)</f>
        <v/>
      </c>
      <c r="C34" s="28" t="str">
        <f>IF('Australian Transaction'!C34= "","",IF(B34="BUY",'Australian Transaction'!C34,-'Australian Transaction'!C34))</f>
        <v/>
      </c>
      <c r="D34" s="28" t="str">
        <f>IF('Australian Transaction'!D34 = "","",IF($B34 = "BUY", 'Australian Transaction'!D34,-'Australian Transaction'!D34))</f>
        <v/>
      </c>
      <c r="E34" s="28" t="str">
        <f>IF('Australian Transaction'!E34= "","",'Australian Transaction'!E34)</f>
        <v/>
      </c>
      <c r="F34" s="33"/>
      <c r="G34" s="28" t="str">
        <f t="shared" si="1"/>
        <v/>
      </c>
      <c r="H34" s="28" t="str">
        <f>IF(A34="","",COUNTIF($G$2:G34,G34))</f>
        <v/>
      </c>
      <c r="I34" s="28" t="str">
        <f t="shared" si="2"/>
        <v/>
      </c>
      <c r="J34" s="28" t="str">
        <f>IF(G34="","",IF(COUNTIF($G$2:G34,G34)&gt;1,SUMIF($A$2:A34,G34,$C$2:C34),C34))</f>
        <v/>
      </c>
      <c r="K34" s="45" t="str">
        <f>IF(G34="","",IF(COUNTIF($G$2:G34,G34)&gt;1,SUMIF($A$2:A34,G34,$D$2:D34),D34) +SUMIF($G$2:G34,G34,$M$2:M34))</f>
        <v/>
      </c>
      <c r="L34" s="45" t="str">
        <f t="shared" si="3"/>
        <v/>
      </c>
      <c r="M34" s="46" t="str">
        <f>IF(G34="","",IF(B34 = "BUY", 0,(E34-VLOOKUP(CONCATENATE(G34,(H34-1)),$I$2:L33,4,FALSE))*-C34))</f>
        <v/>
      </c>
      <c r="P34" s="1" t="str">
        <f t="shared" si="10"/>
        <v/>
      </c>
      <c r="Q34" s="1" t="str">
        <f t="shared" si="11"/>
        <v/>
      </c>
      <c r="R34" s="1" t="str">
        <f t="shared" si="12"/>
        <v/>
      </c>
      <c r="S34" s="1" t="str">
        <f t="shared" si="13"/>
        <v/>
      </c>
    </row>
    <row r="35" spans="1:19" x14ac:dyDescent="0.3">
      <c r="A35" s="27" t="str">
        <f>IF('Australian Transaction'!A35= "","",'Australian Transaction'!A35)</f>
        <v/>
      </c>
      <c r="B35" s="28" t="str">
        <f>IF('Australian Transaction'!B35= "","",'Australian Transaction'!B35)</f>
        <v/>
      </c>
      <c r="C35" s="28" t="str">
        <f>IF('Australian Transaction'!C35= "","",IF(B35="BUY",'Australian Transaction'!C35,-'Australian Transaction'!C35))</f>
        <v/>
      </c>
      <c r="D35" s="28" t="str">
        <f>IF('Australian Transaction'!D35 = "","",IF($B35 = "BUY", 'Australian Transaction'!D35,-'Australian Transaction'!D35))</f>
        <v/>
      </c>
      <c r="E35" s="28" t="str">
        <f>IF('Australian Transaction'!E35= "","",'Australian Transaction'!E35)</f>
        <v/>
      </c>
      <c r="F35" s="33"/>
      <c r="G35" s="28" t="str">
        <f t="shared" si="1"/>
        <v/>
      </c>
      <c r="H35" s="28" t="str">
        <f>IF(A35="","",COUNTIF($G$2:G35,G35))</f>
        <v/>
      </c>
      <c r="I35" s="28" t="str">
        <f t="shared" si="2"/>
        <v/>
      </c>
      <c r="J35" s="28" t="str">
        <f>IF(G35="","",IF(COUNTIF($G$2:G35,G35)&gt;1,SUMIF($A$2:A35,G35,$C$2:C35),C35))</f>
        <v/>
      </c>
      <c r="K35" s="45" t="str">
        <f>IF(G35="","",IF(COUNTIF($G$2:G35,G35)&gt;1,SUMIF($A$2:A35,G35,$D$2:D35),D35) +SUMIF($G$2:G35,G35,$M$2:M35))</f>
        <v/>
      </c>
      <c r="L35" s="45" t="str">
        <f t="shared" si="3"/>
        <v/>
      </c>
      <c r="M35" s="46" t="str">
        <f>IF(G35="","",IF(B35 = "BUY", 0,(E35-VLOOKUP(CONCATENATE(G35,(H35-1)),$I$2:L34,4,FALSE))*-C35))</f>
        <v/>
      </c>
      <c r="P35" s="1" t="str">
        <f t="shared" si="10"/>
        <v/>
      </c>
      <c r="Q35" s="1" t="str">
        <f t="shared" si="11"/>
        <v/>
      </c>
      <c r="R35" s="1" t="str">
        <f t="shared" si="12"/>
        <v/>
      </c>
      <c r="S35" s="1" t="str">
        <f t="shared" si="13"/>
        <v/>
      </c>
    </row>
    <row r="36" spans="1:19" x14ac:dyDescent="0.3">
      <c r="A36" s="27" t="str">
        <f>IF('Australian Transaction'!A36= "","",'Australian Transaction'!A36)</f>
        <v/>
      </c>
      <c r="B36" s="28" t="str">
        <f>IF('Australian Transaction'!B36= "","",'Australian Transaction'!B36)</f>
        <v/>
      </c>
      <c r="C36" s="28" t="str">
        <f>IF('Australian Transaction'!C36= "","",IF(B36="BUY",'Australian Transaction'!C36,-'Australian Transaction'!C36))</f>
        <v/>
      </c>
      <c r="D36" s="28" t="str">
        <f>IF('Australian Transaction'!D36 = "","",IF($B36 = "BUY", 'Australian Transaction'!D36,-'Australian Transaction'!D36))</f>
        <v/>
      </c>
      <c r="E36" s="28" t="str">
        <f>IF('Australian Transaction'!E36= "","",'Australian Transaction'!E36)</f>
        <v/>
      </c>
      <c r="F36" s="33"/>
      <c r="G36" s="28" t="str">
        <f t="shared" si="1"/>
        <v/>
      </c>
      <c r="H36" s="28" t="str">
        <f>IF(A36="","",COUNTIF($G$2:G36,G36))</f>
        <v/>
      </c>
      <c r="I36" s="28" t="str">
        <f t="shared" si="2"/>
        <v/>
      </c>
      <c r="J36" s="28" t="str">
        <f>IF(G36="","",IF(COUNTIF($G$2:G36,G36)&gt;1,SUMIF($A$2:A36,G36,$C$2:C36),C36))</f>
        <v/>
      </c>
      <c r="K36" s="45" t="str">
        <f>IF(G36="","",IF(COUNTIF($G$2:G36,G36)&gt;1,SUMIF($A$2:A36,G36,$D$2:D36),D36) +SUMIF($G$2:G36,G36,$M$2:M36))</f>
        <v/>
      </c>
      <c r="L36" s="45" t="str">
        <f t="shared" si="3"/>
        <v/>
      </c>
      <c r="M36" s="46" t="str">
        <f>IF(G36="","",IF(B36 = "BUY", 0,(E36-VLOOKUP(CONCATENATE(G36,(H36-1)),$I$2:L35,4,FALSE))*-C36))</f>
        <v/>
      </c>
      <c r="P36" s="1" t="str">
        <f t="shared" si="10"/>
        <v/>
      </c>
      <c r="Q36" s="1" t="str">
        <f t="shared" si="11"/>
        <v/>
      </c>
      <c r="R36" s="1" t="str">
        <f t="shared" si="12"/>
        <v/>
      </c>
      <c r="S36" s="1" t="str">
        <f t="shared" si="13"/>
        <v/>
      </c>
    </row>
    <row r="37" spans="1:19" x14ac:dyDescent="0.3">
      <c r="A37" s="27" t="str">
        <f>IF('Australian Transaction'!A37= "","",'Australian Transaction'!A37)</f>
        <v/>
      </c>
      <c r="B37" s="28" t="str">
        <f>IF('Australian Transaction'!B37= "","",'Australian Transaction'!B37)</f>
        <v/>
      </c>
      <c r="C37" s="28" t="str">
        <f>IF('Australian Transaction'!C37= "","",IF(B37="BUY",'Australian Transaction'!C37,-'Australian Transaction'!C37))</f>
        <v/>
      </c>
      <c r="D37" s="28" t="str">
        <f>IF('Australian Transaction'!D37 = "","",IF($B37 = "BUY", 'Australian Transaction'!D37,-'Australian Transaction'!D37))</f>
        <v/>
      </c>
      <c r="E37" s="28" t="str">
        <f>IF('Australian Transaction'!E37= "","",'Australian Transaction'!E37)</f>
        <v/>
      </c>
      <c r="F37" s="33"/>
      <c r="G37" s="28" t="str">
        <f t="shared" si="1"/>
        <v/>
      </c>
      <c r="H37" s="28" t="str">
        <f>IF(A37="","",COUNTIF($G$2:G37,G37))</f>
        <v/>
      </c>
      <c r="I37" s="28" t="str">
        <f t="shared" si="2"/>
        <v/>
      </c>
      <c r="J37" s="28" t="str">
        <f>IF(G37="","",IF(COUNTIF($G$2:G37,G37)&gt;1,SUMIF($A$2:A37,G37,$C$2:C37),C37))</f>
        <v/>
      </c>
      <c r="K37" s="45" t="str">
        <f>IF(G37="","",IF(COUNTIF($G$2:G37,G37)&gt;1,SUMIF($A$2:A37,G37,$D$2:D37),D37) +SUMIF($G$2:G37,G37,$M$2:M37))</f>
        <v/>
      </c>
      <c r="L37" s="45" t="str">
        <f t="shared" si="3"/>
        <v/>
      </c>
      <c r="M37" s="46" t="str">
        <f>IF(G37="","",IF(B37 = "BUY", 0,(E37-VLOOKUP(CONCATENATE(G37,(H37-1)),$I$2:L36,4,FALSE))*-C37))</f>
        <v/>
      </c>
      <c r="P37" s="1" t="str">
        <f t="shared" si="10"/>
        <v/>
      </c>
      <c r="Q37" s="1" t="str">
        <f t="shared" si="11"/>
        <v/>
      </c>
      <c r="R37" s="1" t="str">
        <f t="shared" si="12"/>
        <v/>
      </c>
      <c r="S37" s="1" t="str">
        <f t="shared" si="13"/>
        <v/>
      </c>
    </row>
    <row r="38" spans="1:19" x14ac:dyDescent="0.3">
      <c r="A38" s="27" t="str">
        <f>IF('Australian Transaction'!A38= "","",'Australian Transaction'!A38)</f>
        <v/>
      </c>
      <c r="B38" s="28" t="str">
        <f>IF('Australian Transaction'!B38= "","",'Australian Transaction'!B38)</f>
        <v/>
      </c>
      <c r="C38" s="28" t="str">
        <f>IF('Australian Transaction'!C38= "","",IF(B38="BUY",'Australian Transaction'!C38,-'Australian Transaction'!C38))</f>
        <v/>
      </c>
      <c r="D38" s="28" t="str">
        <f>IF('Australian Transaction'!D38 = "","",IF($B38 = "BUY", 'Australian Transaction'!D38,-'Australian Transaction'!D38))</f>
        <v/>
      </c>
      <c r="E38" s="28" t="str">
        <f>IF('Australian Transaction'!E38= "","",'Australian Transaction'!E38)</f>
        <v/>
      </c>
      <c r="F38" s="33"/>
      <c r="G38" s="28" t="str">
        <f t="shared" si="1"/>
        <v/>
      </c>
      <c r="H38" s="28" t="str">
        <f>IF(A38="","",COUNTIF($G$2:G38,G38))</f>
        <v/>
      </c>
      <c r="I38" s="28" t="str">
        <f t="shared" si="2"/>
        <v/>
      </c>
      <c r="J38" s="28" t="str">
        <f>IF(G38="","",IF(COUNTIF($G$2:G38,G38)&gt;1,SUMIF($A$2:A38,G38,$C$2:C38),C38))</f>
        <v/>
      </c>
      <c r="K38" s="45" t="str">
        <f>IF(G38="","",IF(COUNTIF($G$2:G38,G38)&gt;1,SUMIF($A$2:A38,G38,$D$2:D38),D38) +SUMIF($G$2:G38,G38,$M$2:M38))</f>
        <v/>
      </c>
      <c r="L38" s="45" t="str">
        <f t="shared" si="3"/>
        <v/>
      </c>
      <c r="M38" s="46" t="str">
        <f>IF(G38="","",IF(B38 = "BUY", 0,(E38-VLOOKUP(CONCATENATE(G38,(H38-1)),$I$2:L37,4,FALSE))*-C38))</f>
        <v/>
      </c>
      <c r="P38" s="1" t="str">
        <f t="shared" si="10"/>
        <v/>
      </c>
      <c r="Q38" s="1" t="str">
        <f t="shared" si="11"/>
        <v/>
      </c>
      <c r="R38" s="1" t="str">
        <f t="shared" si="12"/>
        <v/>
      </c>
      <c r="S38" s="1" t="str">
        <f t="shared" si="13"/>
        <v/>
      </c>
    </row>
    <row r="39" spans="1:19" x14ac:dyDescent="0.3">
      <c r="A39" s="27" t="str">
        <f>IF('Australian Transaction'!A39= "","",'Australian Transaction'!A39)</f>
        <v/>
      </c>
      <c r="B39" s="28" t="str">
        <f>IF('Australian Transaction'!B39= "","",'Australian Transaction'!B39)</f>
        <v/>
      </c>
      <c r="C39" s="28" t="str">
        <f>IF('Australian Transaction'!C39= "","",IF(B39="BUY",'Australian Transaction'!C39,-'Australian Transaction'!C39))</f>
        <v/>
      </c>
      <c r="D39" s="28" t="str">
        <f>IF('Australian Transaction'!D39 = "","",IF($B39 = "BUY", 'Australian Transaction'!D39,-'Australian Transaction'!D39))</f>
        <v/>
      </c>
      <c r="E39" s="28" t="str">
        <f>IF('Australian Transaction'!E39= "","",'Australian Transaction'!E39)</f>
        <v/>
      </c>
      <c r="F39" s="33"/>
      <c r="G39" s="28" t="str">
        <f t="shared" si="1"/>
        <v/>
      </c>
      <c r="H39" s="28" t="str">
        <f>IF(A39="","",COUNTIF($G$2:G39,G39))</f>
        <v/>
      </c>
      <c r="I39" s="28" t="str">
        <f t="shared" si="2"/>
        <v/>
      </c>
      <c r="J39" s="28" t="str">
        <f>IF(G39="","",IF(COUNTIF($G$2:G39,G39)&gt;1,SUMIF($A$2:A39,G39,$C$2:C39),C39))</f>
        <v/>
      </c>
      <c r="K39" s="45" t="str">
        <f>IF(G39="","",IF(COUNTIF($G$2:G39,G39)&gt;1,SUMIF($A$2:A39,G39,$D$2:D39),D39) +SUMIF($G$2:G39,G39,$M$2:M39))</f>
        <v/>
      </c>
      <c r="L39" s="45" t="str">
        <f t="shared" si="3"/>
        <v/>
      </c>
      <c r="M39" s="46" t="str">
        <f>IF(G39="","",IF(B39 = "BUY", 0,(E39-VLOOKUP(CONCATENATE(G39,(H39-1)),$I$2:L38,4,FALSE))*-C39))</f>
        <v/>
      </c>
      <c r="P39" s="1" t="str">
        <f t="shared" si="10"/>
        <v/>
      </c>
      <c r="Q39" s="1" t="str">
        <f t="shared" si="11"/>
        <v/>
      </c>
      <c r="R39" s="1" t="str">
        <f t="shared" si="12"/>
        <v/>
      </c>
      <c r="S39" s="1" t="str">
        <f t="shared" si="13"/>
        <v/>
      </c>
    </row>
    <row r="40" spans="1:19" x14ac:dyDescent="0.3">
      <c r="A40" s="27" t="str">
        <f>IF('Australian Transaction'!A40= "","",'Australian Transaction'!A40)</f>
        <v/>
      </c>
      <c r="B40" s="28" t="str">
        <f>IF('Australian Transaction'!B40= "","",'Australian Transaction'!B40)</f>
        <v/>
      </c>
      <c r="C40" s="28" t="str">
        <f>IF('Australian Transaction'!C40= "","",IF(B40="BUY",'Australian Transaction'!C40,-'Australian Transaction'!C40))</f>
        <v/>
      </c>
      <c r="D40" s="28" t="str">
        <f>IF('Australian Transaction'!D40 = "","",IF($B40 = "BUY", 'Australian Transaction'!D40,-'Australian Transaction'!D40))</f>
        <v/>
      </c>
      <c r="E40" s="28" t="str">
        <f>IF('Australian Transaction'!E40= "","",'Australian Transaction'!E40)</f>
        <v/>
      </c>
      <c r="F40" s="33"/>
      <c r="G40" s="28" t="str">
        <f t="shared" si="1"/>
        <v/>
      </c>
      <c r="H40" s="28" t="str">
        <f>IF(A40="","",COUNTIF($G$2:G40,G40))</f>
        <v/>
      </c>
      <c r="I40" s="28" t="str">
        <f t="shared" si="2"/>
        <v/>
      </c>
      <c r="J40" s="28" t="str">
        <f>IF(G40="","",IF(COUNTIF($G$2:G40,G40)&gt;1,SUMIF($A$2:A40,G40,$C$2:C40),C40))</f>
        <v/>
      </c>
      <c r="K40" s="45" t="str">
        <f>IF(G40="","",IF(COUNTIF($G$2:G40,G40)&gt;1,SUMIF($A$2:A40,G40,$D$2:D40),D40) +SUMIF($G$2:G40,G40,$M$2:M40))</f>
        <v/>
      </c>
      <c r="L40" s="45" t="str">
        <f t="shared" si="3"/>
        <v/>
      </c>
      <c r="M40" s="46" t="str">
        <f>IF(G40="","",IF(B40 = "BUY", 0,(E40-VLOOKUP(CONCATENATE(G40,(H40-1)),$I$2:L39,4,FALSE))*-C40))</f>
        <v/>
      </c>
      <c r="P40" s="1" t="str">
        <f t="shared" si="10"/>
        <v/>
      </c>
      <c r="Q40" s="1" t="str">
        <f t="shared" si="11"/>
        <v/>
      </c>
      <c r="R40" s="1" t="str">
        <f t="shared" si="12"/>
        <v/>
      </c>
      <c r="S40" s="1" t="str">
        <f t="shared" si="13"/>
        <v/>
      </c>
    </row>
    <row r="41" spans="1:19" x14ac:dyDescent="0.3">
      <c r="A41" s="27" t="str">
        <f>IF('Australian Transaction'!A41= "","",'Australian Transaction'!A41)</f>
        <v/>
      </c>
      <c r="B41" s="28" t="str">
        <f>IF('Australian Transaction'!B41= "","",'Australian Transaction'!B41)</f>
        <v/>
      </c>
      <c r="C41" s="28" t="str">
        <f>IF('Australian Transaction'!C41= "","",IF(B41="BUY",'Australian Transaction'!C41,-'Australian Transaction'!C41))</f>
        <v/>
      </c>
      <c r="D41" s="28" t="str">
        <f>IF('Australian Transaction'!D41 = "","",IF($B41 = "BUY", 'Australian Transaction'!D41,-'Australian Transaction'!D41))</f>
        <v/>
      </c>
      <c r="E41" s="28" t="str">
        <f>IF('Australian Transaction'!E41= "","",'Australian Transaction'!E41)</f>
        <v/>
      </c>
      <c r="F41" s="33"/>
      <c r="G41" s="28" t="str">
        <f t="shared" si="1"/>
        <v/>
      </c>
      <c r="H41" s="28" t="str">
        <f>IF(A41="","",COUNTIF($G$2:G41,G41))</f>
        <v/>
      </c>
      <c r="I41" s="28" t="str">
        <f t="shared" si="2"/>
        <v/>
      </c>
      <c r="J41" s="28" t="str">
        <f>IF(G41="","",IF(COUNTIF($G$2:G41,G41)&gt;1,SUMIF($A$2:A41,G41,$C$2:C41),C41))</f>
        <v/>
      </c>
      <c r="K41" s="45" t="str">
        <f>IF(G41="","",IF(COUNTIF($G$2:G41,G41)&gt;1,SUMIF($A$2:A41,G41,$D$2:D41),D41) +SUMIF($G$2:G41,G41,$M$2:M41))</f>
        <v/>
      </c>
      <c r="L41" s="45" t="str">
        <f t="shared" si="3"/>
        <v/>
      </c>
      <c r="M41" s="46" t="str">
        <f>IF(G41="","",IF(B41 = "BUY", 0,(E41-VLOOKUP(CONCATENATE(G41,(H41-1)),$I$2:L40,4,FALSE))*-C41))</f>
        <v/>
      </c>
      <c r="P41" s="1" t="str">
        <f t="shared" si="10"/>
        <v/>
      </c>
      <c r="Q41" s="1" t="str">
        <f t="shared" si="11"/>
        <v/>
      </c>
      <c r="R41" s="1" t="str">
        <f t="shared" si="12"/>
        <v/>
      </c>
      <c r="S41" s="1" t="str">
        <f t="shared" si="13"/>
        <v/>
      </c>
    </row>
    <row r="42" spans="1:19" x14ac:dyDescent="0.3">
      <c r="A42" s="27" t="str">
        <f>IF('Australian Transaction'!A42= "","",'Australian Transaction'!A42)</f>
        <v/>
      </c>
      <c r="B42" s="28" t="str">
        <f>IF('Australian Transaction'!B42= "","",'Australian Transaction'!B42)</f>
        <v/>
      </c>
      <c r="C42" s="28" t="str">
        <f>IF('Australian Transaction'!C42= "","",IF(B42="BUY",'Australian Transaction'!C42,-'Australian Transaction'!C42))</f>
        <v/>
      </c>
      <c r="D42" s="28" t="str">
        <f>IF('Australian Transaction'!D42 = "","",IF($B42 = "BUY", 'Australian Transaction'!D42,-'Australian Transaction'!D42))</f>
        <v/>
      </c>
      <c r="E42" s="28" t="str">
        <f>IF('Australian Transaction'!E42= "","",'Australian Transaction'!E42)</f>
        <v/>
      </c>
      <c r="F42" s="33"/>
      <c r="G42" s="28" t="str">
        <f t="shared" si="1"/>
        <v/>
      </c>
      <c r="H42" s="28" t="str">
        <f>IF(A42="","",COUNTIF($G$2:G42,G42))</f>
        <v/>
      </c>
      <c r="I42" s="28" t="str">
        <f t="shared" si="2"/>
        <v/>
      </c>
      <c r="J42" s="28" t="str">
        <f>IF(G42="","",IF(COUNTIF($G$2:G42,G42)&gt;1,SUMIF($A$2:A42,G42,$C$2:C42),C42))</f>
        <v/>
      </c>
      <c r="K42" s="45" t="str">
        <f>IF(G42="","",IF(COUNTIF($G$2:G42,G42)&gt;1,SUMIF($A$2:A42,G42,$D$2:D42),D42) +SUMIF($G$2:G42,G42,$M$2:M42))</f>
        <v/>
      </c>
      <c r="L42" s="45" t="str">
        <f t="shared" si="3"/>
        <v/>
      </c>
      <c r="M42" s="46" t="str">
        <f>IF(G42="","",IF(B42 = "BUY", 0,(E42-VLOOKUP(CONCATENATE(G42,(H42-1)),$I$2:L41,4,FALSE))*-C42))</f>
        <v/>
      </c>
      <c r="P42" s="1" t="str">
        <f t="shared" si="10"/>
        <v/>
      </c>
      <c r="Q42" s="1" t="str">
        <f t="shared" si="11"/>
        <v/>
      </c>
      <c r="R42" s="1" t="str">
        <f t="shared" si="12"/>
        <v/>
      </c>
      <c r="S42" s="1" t="str">
        <f t="shared" si="13"/>
        <v/>
      </c>
    </row>
    <row r="43" spans="1:19" x14ac:dyDescent="0.3">
      <c r="A43" s="27" t="str">
        <f>IF('Australian Transaction'!A43= "","",'Australian Transaction'!A43)</f>
        <v/>
      </c>
      <c r="B43" s="28" t="str">
        <f>IF('Australian Transaction'!B43= "","",'Australian Transaction'!B43)</f>
        <v/>
      </c>
      <c r="C43" s="28" t="str">
        <f>IF('Australian Transaction'!C43= "","",IF(B43="BUY",'Australian Transaction'!C43,-'Australian Transaction'!C43))</f>
        <v/>
      </c>
      <c r="D43" s="28" t="str">
        <f>IF('Australian Transaction'!D43 = "","",IF($B43 = "BUY", 'Australian Transaction'!D43,-'Australian Transaction'!D43))</f>
        <v/>
      </c>
      <c r="E43" s="28" t="str">
        <f>IF('Australian Transaction'!E43= "","",'Australian Transaction'!E43)</f>
        <v/>
      </c>
      <c r="F43" s="33"/>
      <c r="G43" s="28" t="str">
        <f t="shared" si="1"/>
        <v/>
      </c>
      <c r="H43" s="28" t="str">
        <f>IF(A43="","",COUNTIF($G$2:G43,G43))</f>
        <v/>
      </c>
      <c r="I43" s="28" t="str">
        <f t="shared" si="2"/>
        <v/>
      </c>
      <c r="J43" s="28" t="str">
        <f>IF(G43="","",IF(COUNTIF($G$2:G43,G43)&gt;1,SUMIF($A$2:A43,G43,$C$2:C43),C43))</f>
        <v/>
      </c>
      <c r="K43" s="45" t="str">
        <f>IF(G43="","",IF(COUNTIF($G$2:G43,G43)&gt;1,SUMIF($A$2:A43,G43,$D$2:D43),D43) +SUMIF($G$2:G43,G43,$M$2:M43))</f>
        <v/>
      </c>
      <c r="L43" s="45" t="str">
        <f t="shared" si="3"/>
        <v/>
      </c>
      <c r="M43" s="46" t="str">
        <f>IF(G43="","",IF(B43 = "BUY", 0,(E43-VLOOKUP(CONCATENATE(G43,(H43-1)),$I$2:L42,4,FALSE))*-C43))</f>
        <v/>
      </c>
      <c r="P43" s="1" t="str">
        <f t="shared" si="10"/>
        <v/>
      </c>
      <c r="Q43" s="1" t="str">
        <f t="shared" si="11"/>
        <v/>
      </c>
      <c r="R43" s="1" t="str">
        <f t="shared" si="12"/>
        <v/>
      </c>
      <c r="S43" s="1" t="str">
        <f t="shared" si="13"/>
        <v/>
      </c>
    </row>
    <row r="44" spans="1:19" x14ac:dyDescent="0.3">
      <c r="A44" s="27" t="str">
        <f>IF('Australian Transaction'!A44= "","",'Australian Transaction'!A44)</f>
        <v/>
      </c>
      <c r="B44" s="28" t="str">
        <f>IF('Australian Transaction'!B44= "","",'Australian Transaction'!B44)</f>
        <v/>
      </c>
      <c r="C44" s="28" t="str">
        <f>IF('Australian Transaction'!C44= "","",IF(B44="BUY",'Australian Transaction'!C44,-'Australian Transaction'!C44))</f>
        <v/>
      </c>
      <c r="D44" s="28" t="str">
        <f>IF('Australian Transaction'!D44 = "","",IF($B44 = "BUY", 'Australian Transaction'!D44,-'Australian Transaction'!D44))</f>
        <v/>
      </c>
      <c r="E44" s="28" t="str">
        <f>IF('Australian Transaction'!E44= "","",'Australian Transaction'!E44)</f>
        <v/>
      </c>
      <c r="F44" s="33"/>
      <c r="G44" s="28" t="str">
        <f t="shared" si="1"/>
        <v/>
      </c>
      <c r="H44" s="28" t="str">
        <f>IF(A44="","",COUNTIF($G$2:G44,G44))</f>
        <v/>
      </c>
      <c r="I44" s="28" t="str">
        <f t="shared" si="2"/>
        <v/>
      </c>
      <c r="J44" s="28" t="str">
        <f>IF(G44="","",IF(COUNTIF($G$2:G44,G44)&gt;1,SUMIF($A$2:A44,G44,$C$2:C44),C44))</f>
        <v/>
      </c>
      <c r="K44" s="45" t="str">
        <f>IF(G44="","",IF(COUNTIF($G$2:G44,G44)&gt;1,SUMIF($A$2:A44,G44,$D$2:D44),D44) +SUMIF($G$2:G44,G44,$M$2:M44))</f>
        <v/>
      </c>
      <c r="L44" s="45" t="str">
        <f t="shared" si="3"/>
        <v/>
      </c>
      <c r="M44" s="46" t="str">
        <f>IF(G44="","",IF(B44 = "BUY", 0,(E44-VLOOKUP(CONCATENATE(G44,(H44-1)),$I$2:L43,4,FALSE))*-C44))</f>
        <v/>
      </c>
      <c r="P44" s="1" t="str">
        <f t="shared" si="10"/>
        <v/>
      </c>
      <c r="Q44" s="1" t="str">
        <f t="shared" si="11"/>
        <v/>
      </c>
      <c r="R44" s="1" t="str">
        <f t="shared" si="12"/>
        <v/>
      </c>
      <c r="S44" s="1" t="str">
        <f t="shared" si="13"/>
        <v/>
      </c>
    </row>
    <row r="45" spans="1:19" x14ac:dyDescent="0.3">
      <c r="A45" s="27" t="str">
        <f>IF('Australian Transaction'!A45= "","",'Australian Transaction'!A45)</f>
        <v/>
      </c>
      <c r="B45" s="28" t="str">
        <f>IF('Australian Transaction'!B45= "","",'Australian Transaction'!B45)</f>
        <v/>
      </c>
      <c r="C45" s="28" t="str">
        <f>IF('Australian Transaction'!C45= "","",IF(B45="BUY",'Australian Transaction'!C45,-'Australian Transaction'!C45))</f>
        <v/>
      </c>
      <c r="D45" s="28" t="str">
        <f>IF('Australian Transaction'!D45 = "","",IF($B45 = "BUY", 'Australian Transaction'!D45,-'Australian Transaction'!D45))</f>
        <v/>
      </c>
      <c r="E45" s="28" t="str">
        <f>IF('Australian Transaction'!E45= "","",'Australian Transaction'!E45)</f>
        <v/>
      </c>
      <c r="F45" s="33"/>
      <c r="G45" s="28" t="str">
        <f t="shared" si="1"/>
        <v/>
      </c>
      <c r="H45" s="28" t="str">
        <f>IF(A45="","",COUNTIF($G$2:G45,G45))</f>
        <v/>
      </c>
      <c r="I45" s="28" t="str">
        <f t="shared" si="2"/>
        <v/>
      </c>
      <c r="J45" s="28" t="str">
        <f>IF(G45="","",IF(COUNTIF($G$2:G45,G45)&gt;1,SUMIF($A$2:A45,G45,$C$2:C45),C45))</f>
        <v/>
      </c>
      <c r="K45" s="45" t="str">
        <f>IF(G45="","",IF(COUNTIF($G$2:G45,G45)&gt;1,SUMIF($A$2:A45,G45,$D$2:D45),D45) +SUMIF($G$2:G45,G45,$M$2:M45))</f>
        <v/>
      </c>
      <c r="L45" s="45" t="str">
        <f t="shared" si="3"/>
        <v/>
      </c>
      <c r="M45" s="46" t="str">
        <f>IF(G45="","",IF(B45 = "BUY", 0,(E45-VLOOKUP(CONCATENATE(G45,(H45-1)),$I$2:L44,4,FALSE))*-C45))</f>
        <v/>
      </c>
      <c r="P45" s="1" t="str">
        <f t="shared" si="10"/>
        <v/>
      </c>
      <c r="Q45" s="1" t="str">
        <f t="shared" si="11"/>
        <v/>
      </c>
      <c r="R45" s="1" t="str">
        <f t="shared" si="12"/>
        <v/>
      </c>
      <c r="S45" s="1" t="str">
        <f t="shared" si="13"/>
        <v/>
      </c>
    </row>
    <row r="46" spans="1:19" x14ac:dyDescent="0.3">
      <c r="A46" s="27" t="str">
        <f>IF('Australian Transaction'!A46= "","",'Australian Transaction'!A46)</f>
        <v/>
      </c>
      <c r="B46" s="28" t="str">
        <f>IF('Australian Transaction'!B46= "","",'Australian Transaction'!B46)</f>
        <v/>
      </c>
      <c r="C46" s="28" t="str">
        <f>IF('Australian Transaction'!C46= "","",IF(B46="BUY",'Australian Transaction'!C46,-'Australian Transaction'!C46))</f>
        <v/>
      </c>
      <c r="D46" s="28" t="str">
        <f>IF('Australian Transaction'!D46 = "","",IF($B46 = "BUY", 'Australian Transaction'!D46,-'Australian Transaction'!D46))</f>
        <v/>
      </c>
      <c r="E46" s="28" t="str">
        <f>IF('Australian Transaction'!E46= "","",'Australian Transaction'!E46)</f>
        <v/>
      </c>
      <c r="F46" s="33"/>
      <c r="G46" s="28" t="str">
        <f t="shared" si="1"/>
        <v/>
      </c>
      <c r="H46" s="28" t="str">
        <f>IF(A46="","",COUNTIF($G$2:G46,G46))</f>
        <v/>
      </c>
      <c r="I46" s="28" t="str">
        <f t="shared" si="2"/>
        <v/>
      </c>
      <c r="J46" s="28" t="str">
        <f>IF(G46="","",IF(COUNTIF($G$2:G46,G46)&gt;1,SUMIF($A$2:A46,G46,$C$2:C46),C46))</f>
        <v/>
      </c>
      <c r="K46" s="45" t="str">
        <f>IF(G46="","",IF(COUNTIF($G$2:G46,G46)&gt;1,SUMIF($A$2:A46,G46,$D$2:D46),D46) +SUMIF($G$2:G46,G46,$M$2:M46))</f>
        <v/>
      </c>
      <c r="L46" s="45" t="str">
        <f t="shared" si="3"/>
        <v/>
      </c>
      <c r="M46" s="46" t="str">
        <f>IF(G46="","",IF(B46 = "BUY", 0,(E46-VLOOKUP(CONCATENATE(G46,(H46-1)),$I$2:L45,4,FALSE))*-C46))</f>
        <v/>
      </c>
      <c r="P46" s="1" t="str">
        <f t="shared" si="10"/>
        <v/>
      </c>
      <c r="Q46" s="1" t="str">
        <f t="shared" si="11"/>
        <v/>
      </c>
      <c r="R46" s="1" t="str">
        <f t="shared" si="12"/>
        <v/>
      </c>
      <c r="S46" s="1" t="str">
        <f t="shared" si="13"/>
        <v/>
      </c>
    </row>
    <row r="47" spans="1:19" x14ac:dyDescent="0.3">
      <c r="A47" s="27" t="str">
        <f>IF('Australian Transaction'!A47= "","",'Australian Transaction'!A47)</f>
        <v/>
      </c>
      <c r="B47" s="28" t="str">
        <f>IF('Australian Transaction'!B47= "","",'Australian Transaction'!B47)</f>
        <v/>
      </c>
      <c r="C47" s="28" t="str">
        <f>IF('Australian Transaction'!C47= "","",IF(B47="BUY",'Australian Transaction'!C47,-'Australian Transaction'!C47))</f>
        <v/>
      </c>
      <c r="D47" s="28" t="str">
        <f>IF('Australian Transaction'!D47 = "","",IF($B47 = "BUY", 'Australian Transaction'!D47,-'Australian Transaction'!D47))</f>
        <v/>
      </c>
      <c r="E47" s="28" t="str">
        <f>IF('Australian Transaction'!E47= "","",'Australian Transaction'!E47)</f>
        <v/>
      </c>
      <c r="F47" s="33"/>
      <c r="G47" s="28" t="str">
        <f t="shared" si="1"/>
        <v/>
      </c>
      <c r="H47" s="28" t="str">
        <f>IF(A47="","",COUNTIF($G$2:G47,G47))</f>
        <v/>
      </c>
      <c r="I47" s="28" t="str">
        <f t="shared" si="2"/>
        <v/>
      </c>
      <c r="J47" s="28" t="str">
        <f>IF(G47="","",IF(COUNTIF($G$2:G47,G47)&gt;1,SUMIF($A$2:A47,G47,$C$2:C47),C47))</f>
        <v/>
      </c>
      <c r="K47" s="45" t="str">
        <f>IF(G47="","",IF(COUNTIF($G$2:G47,G47)&gt;1,SUMIF($A$2:A47,G47,$D$2:D47),D47) +SUMIF($G$2:G47,G47,$M$2:M47))</f>
        <v/>
      </c>
      <c r="L47" s="45" t="str">
        <f t="shared" si="3"/>
        <v/>
      </c>
      <c r="M47" s="46" t="str">
        <f>IF(G47="","",IF(B47 = "BUY", 0,(E47-VLOOKUP(CONCATENATE(G47,(H47-1)),$I$2:L46,4,FALSE))*-C47))</f>
        <v/>
      </c>
      <c r="P47" s="1" t="str">
        <f t="shared" si="10"/>
        <v/>
      </c>
      <c r="Q47" s="1" t="str">
        <f t="shared" si="11"/>
        <v/>
      </c>
      <c r="R47" s="1" t="str">
        <f t="shared" si="12"/>
        <v/>
      </c>
      <c r="S47" s="1" t="str">
        <f t="shared" si="13"/>
        <v/>
      </c>
    </row>
    <row r="48" spans="1:19" x14ac:dyDescent="0.3">
      <c r="A48" s="27" t="str">
        <f>IF('Australian Transaction'!A48= "","",'Australian Transaction'!A48)</f>
        <v/>
      </c>
      <c r="B48" s="28" t="str">
        <f>IF('Australian Transaction'!B48= "","",'Australian Transaction'!B48)</f>
        <v/>
      </c>
      <c r="C48" s="28" t="str">
        <f>IF('Australian Transaction'!C48= "","",IF(B48="BUY",'Australian Transaction'!C48,-'Australian Transaction'!C48))</f>
        <v/>
      </c>
      <c r="D48" s="28" t="str">
        <f>IF('Australian Transaction'!D48 = "","",IF($B48 = "BUY", 'Australian Transaction'!D48,-'Australian Transaction'!D48))</f>
        <v/>
      </c>
      <c r="E48" s="28" t="str">
        <f>IF('Australian Transaction'!E48= "","",'Australian Transaction'!E48)</f>
        <v/>
      </c>
      <c r="F48" s="33"/>
      <c r="G48" s="28" t="str">
        <f t="shared" si="1"/>
        <v/>
      </c>
      <c r="H48" s="28" t="str">
        <f>IF(A48="","",COUNTIF($G$2:G48,G48))</f>
        <v/>
      </c>
      <c r="I48" s="28" t="str">
        <f t="shared" si="2"/>
        <v/>
      </c>
      <c r="J48" s="28" t="str">
        <f>IF(G48="","",IF(COUNTIF($G$2:G48,G48)&gt;1,SUMIF($A$2:A48,G48,$C$2:C48),C48))</f>
        <v/>
      </c>
      <c r="K48" s="45" t="str">
        <f>IF(G48="","",IF(COUNTIF($G$2:G48,G48)&gt;1,SUMIF($A$2:A48,G48,$D$2:D48),D48) +SUMIF($G$2:G48,G48,$M$2:M48))</f>
        <v/>
      </c>
      <c r="L48" s="45" t="str">
        <f t="shared" si="3"/>
        <v/>
      </c>
      <c r="M48" s="46" t="str">
        <f>IF(G48="","",IF(B48 = "BUY", 0,(E48-VLOOKUP(CONCATENATE(G48,(H48-1)),$I$2:L47,4,FALSE))*-C48))</f>
        <v/>
      </c>
      <c r="P48" s="1" t="str">
        <f t="shared" si="10"/>
        <v/>
      </c>
      <c r="Q48" s="1" t="str">
        <f t="shared" si="11"/>
        <v/>
      </c>
      <c r="R48" s="1" t="str">
        <f t="shared" si="12"/>
        <v/>
      </c>
      <c r="S48" s="1" t="str">
        <f t="shared" si="13"/>
        <v/>
      </c>
    </row>
    <row r="49" spans="1:19" x14ac:dyDescent="0.3">
      <c r="A49" s="27" t="str">
        <f>IF('Australian Transaction'!A49= "","",'Australian Transaction'!A49)</f>
        <v/>
      </c>
      <c r="B49" s="28" t="str">
        <f>IF('Australian Transaction'!B49= "","",'Australian Transaction'!B49)</f>
        <v/>
      </c>
      <c r="C49" s="28" t="str">
        <f>IF('Australian Transaction'!C49= "","",IF(B49="BUY",'Australian Transaction'!C49,-'Australian Transaction'!C49))</f>
        <v/>
      </c>
      <c r="D49" s="28" t="str">
        <f>IF('Australian Transaction'!D49 = "","",IF($B49 = "BUY", 'Australian Transaction'!D49,-'Australian Transaction'!D49))</f>
        <v/>
      </c>
      <c r="E49" s="28" t="str">
        <f>IF('Australian Transaction'!E49= "","",'Australian Transaction'!E49)</f>
        <v/>
      </c>
      <c r="F49" s="33"/>
      <c r="G49" s="28" t="str">
        <f t="shared" si="1"/>
        <v/>
      </c>
      <c r="H49" s="28" t="str">
        <f>IF(A49="","",COUNTIF($G$2:G49,G49))</f>
        <v/>
      </c>
      <c r="I49" s="28" t="str">
        <f t="shared" si="2"/>
        <v/>
      </c>
      <c r="J49" s="28" t="str">
        <f>IF(G49="","",IF(COUNTIF($G$2:G49,G49)&gt;1,SUMIF($A$2:A49,G49,$C$2:C49),C49))</f>
        <v/>
      </c>
      <c r="K49" s="45" t="str">
        <f>IF(G49="","",IF(COUNTIF($G$2:G49,G49)&gt;1,SUMIF($A$2:A49,G49,$D$2:D49),D49) +SUMIF($G$2:G49,G49,$M$2:M49))</f>
        <v/>
      </c>
      <c r="L49" s="45" t="str">
        <f t="shared" si="3"/>
        <v/>
      </c>
      <c r="M49" s="46" t="str">
        <f>IF(G49="","",IF(B49 = "BUY", 0,(E49-VLOOKUP(CONCATENATE(G49,(H49-1)),$I$2:L48,4,FALSE))*-C49))</f>
        <v/>
      </c>
      <c r="P49" s="1" t="str">
        <f t="shared" si="10"/>
        <v/>
      </c>
      <c r="Q49" s="1" t="str">
        <f t="shared" si="11"/>
        <v/>
      </c>
      <c r="R49" s="1" t="str">
        <f t="shared" si="12"/>
        <v/>
      </c>
      <c r="S49" s="1" t="str">
        <f t="shared" si="13"/>
        <v/>
      </c>
    </row>
    <row r="50" spans="1:19" x14ac:dyDescent="0.3">
      <c r="A50" s="27" t="str">
        <f>IF('Australian Transaction'!A50= "","",'Australian Transaction'!A50)</f>
        <v/>
      </c>
      <c r="B50" s="28" t="str">
        <f>IF('Australian Transaction'!B50= "","",'Australian Transaction'!B50)</f>
        <v/>
      </c>
      <c r="C50" s="28" t="str">
        <f>IF('Australian Transaction'!C50= "","",IF(B50="BUY",'Australian Transaction'!C50,-'Australian Transaction'!C50))</f>
        <v/>
      </c>
      <c r="D50" s="28" t="str">
        <f>IF('Australian Transaction'!D50 = "","",IF($B50 = "BUY", 'Australian Transaction'!D50,-'Australian Transaction'!D50))</f>
        <v/>
      </c>
      <c r="E50" s="28" t="str">
        <f>IF('Australian Transaction'!E50= "","",'Australian Transaction'!E50)</f>
        <v/>
      </c>
      <c r="F50" s="33"/>
      <c r="G50" s="28" t="str">
        <f t="shared" si="1"/>
        <v/>
      </c>
      <c r="H50" s="28" t="str">
        <f>IF(A50="","",COUNTIF($G$2:G50,G50))</f>
        <v/>
      </c>
      <c r="I50" s="28" t="str">
        <f t="shared" si="2"/>
        <v/>
      </c>
      <c r="J50" s="28" t="str">
        <f>IF(G50="","",IF(COUNTIF($G$2:G50,G50)&gt;1,SUMIF($A$2:A50,G50,$C$2:C50),C50))</f>
        <v/>
      </c>
      <c r="K50" s="45" t="str">
        <f>IF(G50="","",IF(COUNTIF($G$2:G50,G50)&gt;1,SUMIF($A$2:A50,G50,$D$2:D50),D50) +SUMIF($G$2:G50,G50,$M$2:M50))</f>
        <v/>
      </c>
      <c r="L50" s="45" t="str">
        <f t="shared" si="3"/>
        <v/>
      </c>
      <c r="M50" s="46" t="str">
        <f>IF(G50="","",IF(B50 = "BUY", 0,(E50-VLOOKUP(CONCATENATE(G50,(H50-1)),$I$2:L49,4,FALSE))*-C50))</f>
        <v/>
      </c>
      <c r="P50" s="1" t="str">
        <f t="shared" si="10"/>
        <v/>
      </c>
      <c r="Q50" s="1" t="str">
        <f t="shared" si="11"/>
        <v/>
      </c>
      <c r="R50" s="1" t="str">
        <f t="shared" si="12"/>
        <v/>
      </c>
      <c r="S50" s="1" t="str">
        <f t="shared" si="13"/>
        <v/>
      </c>
    </row>
    <row r="51" spans="1:19" ht="15" thickBot="1" x14ac:dyDescent="0.35">
      <c r="A51" s="27" t="str">
        <f>IF('Australian Transaction'!A51= "","",'Australian Transaction'!A51)</f>
        <v/>
      </c>
      <c r="B51" s="28" t="str">
        <f>IF('Australian Transaction'!B51= "","",'Australian Transaction'!B51)</f>
        <v/>
      </c>
      <c r="C51" s="28" t="str">
        <f>IF('Australian Transaction'!C51= "","",IF(B51="BUY",'Australian Transaction'!C51,-'Australian Transaction'!C51))</f>
        <v/>
      </c>
      <c r="D51" s="28" t="str">
        <f>IF('Australian Transaction'!D51 = "","",IF($B51 = "BUY", 'Australian Transaction'!D51,-'Australian Transaction'!D51))</f>
        <v/>
      </c>
      <c r="E51" s="28" t="str">
        <f>IF('Australian Transaction'!E51= "","",'Australian Transaction'!E51)</f>
        <v/>
      </c>
      <c r="F51" s="23"/>
      <c r="G51" s="28" t="str">
        <f t="shared" si="1"/>
        <v/>
      </c>
      <c r="H51" s="28" t="str">
        <f>IF(A51="","",COUNTIF($G$2:G51,G51))</f>
        <v/>
      </c>
      <c r="I51" s="28" t="str">
        <f t="shared" si="2"/>
        <v/>
      </c>
      <c r="J51" s="28" t="str">
        <f>IF(G51="","",IF(COUNTIF($G$2:G51,G51)&gt;1,SUMIF($A$2:A51,G51,$C$2:C51),C51))</f>
        <v/>
      </c>
      <c r="K51" s="45" t="str">
        <f>IF(G51="","",IF(COUNTIF($G$2:G51,G51)&gt;1,SUMIF($A$2:A51,G51,$D$2:D51),D51) +SUMIF($G$2:G51,G51,$M$2:M51))</f>
        <v/>
      </c>
      <c r="L51" s="45" t="str">
        <f t="shared" si="3"/>
        <v/>
      </c>
      <c r="M51" s="46" t="str">
        <f>IF(G51="","",IF(B51 = "BUY", 0,(E51-VLOOKUP(CONCATENATE(G51,(H51-1)),$I$2:L50,4,FALSE))*-C51))</f>
        <v/>
      </c>
      <c r="P51" s="1" t="str">
        <f t="shared" si="10"/>
        <v/>
      </c>
      <c r="Q51" s="1" t="str">
        <f t="shared" si="11"/>
        <v/>
      </c>
      <c r="R51" s="1" t="str">
        <f t="shared" si="12"/>
        <v/>
      </c>
      <c r="S51" s="1" t="str">
        <f t="shared" si="13"/>
        <v/>
      </c>
    </row>
    <row r="52" spans="1:19" ht="15" thickBot="1" x14ac:dyDescent="0.35">
      <c r="A52" s="27" t="str">
        <f>IF('Australian Transaction'!A52= "","",'Australian Transaction'!A52)</f>
        <v/>
      </c>
      <c r="B52" s="28" t="str">
        <f>IF('Australian Transaction'!B52= "","",'Australian Transaction'!B52)</f>
        <v/>
      </c>
      <c r="C52" s="28" t="str">
        <f>IF('Australian Transaction'!C52= "","",IF(B52="BUY",'Australian Transaction'!C52,-'Australian Transaction'!C52))</f>
        <v/>
      </c>
      <c r="D52" s="28" t="str">
        <f>IF('Australian Transaction'!D52 = "","",IF($B52 = "BUY", 'Australian Transaction'!D52,-'Australian Transaction'!D52))</f>
        <v/>
      </c>
      <c r="E52" s="28" t="str">
        <f>IF('Australian Transaction'!E52= "","",'Australian Transaction'!E52)</f>
        <v/>
      </c>
      <c r="F52" s="23"/>
      <c r="G52" s="28" t="str">
        <f t="shared" si="1"/>
        <v/>
      </c>
      <c r="H52" s="28" t="str">
        <f>IF(A52="","",COUNTIF($G$2:G52,G52))</f>
        <v/>
      </c>
      <c r="I52" s="28" t="str">
        <f t="shared" si="2"/>
        <v/>
      </c>
      <c r="J52" s="28" t="str">
        <f>IF(G52="","",IF(COUNTIF($G$2:G52,G52)&gt;1,SUMIF($A$2:A52,G52,$C$2:C52),C52))</f>
        <v/>
      </c>
      <c r="K52" s="45" t="str">
        <f>IF(G52="","",IF(COUNTIF($G$2:G52,G52)&gt;1,SUMIF($A$2:A52,G52,$D$2:D52),D52) +SUMIF($G$2:G52,G52,$M$2:M52))</f>
        <v/>
      </c>
      <c r="L52" s="45" t="str">
        <f t="shared" si="3"/>
        <v/>
      </c>
      <c r="M52" s="46" t="str">
        <f>IF(G52="","",IF(B52 = "BUY", 0,(E52-VLOOKUP(CONCATENATE(G52,(H52-1)),$I$2:L51,4,FALSE))*-C52))</f>
        <v/>
      </c>
    </row>
    <row r="53" spans="1:19" ht="15" thickBot="1" x14ac:dyDescent="0.35">
      <c r="A53" s="27" t="str">
        <f>IF('Australian Transaction'!A53= "","",'Australian Transaction'!A53)</f>
        <v/>
      </c>
      <c r="B53" s="28" t="str">
        <f>IF('Australian Transaction'!B53= "","",'Australian Transaction'!B53)</f>
        <v/>
      </c>
      <c r="C53" s="28" t="str">
        <f>IF('Australian Transaction'!C53= "","",IF(B53="BUY",'Australian Transaction'!C53,-'Australian Transaction'!C53))</f>
        <v/>
      </c>
      <c r="D53" s="28" t="str">
        <f>IF('Australian Transaction'!D53 = "","",IF($B53 = "BUY", 'Australian Transaction'!D53,-'Australian Transaction'!D53))</f>
        <v/>
      </c>
      <c r="E53" s="28" t="str">
        <f>IF('Australian Transaction'!E53= "","",'Australian Transaction'!E53)</f>
        <v/>
      </c>
      <c r="F53" s="23"/>
      <c r="G53" s="28" t="str">
        <f t="shared" si="1"/>
        <v/>
      </c>
      <c r="H53" s="28" t="str">
        <f>IF(A53="","",COUNTIF($G$2:G53,G53))</f>
        <v/>
      </c>
      <c r="I53" s="28" t="str">
        <f t="shared" si="2"/>
        <v/>
      </c>
      <c r="J53" s="28" t="str">
        <f>IF(G53="","",IF(COUNTIF($G$2:G53,G53)&gt;1,SUMIF($A$2:A53,G53,$C$2:C53),C53))</f>
        <v/>
      </c>
      <c r="K53" s="45" t="str">
        <f>IF(G53="","",IF(COUNTIF($G$2:G53,G53)&gt;1,SUMIF($A$2:A53,G53,$D$2:D53),D53) +SUMIF($G$2:G53,G53,$M$2:M53))</f>
        <v/>
      </c>
      <c r="L53" s="45" t="str">
        <f t="shared" si="3"/>
        <v/>
      </c>
      <c r="M53" s="46" t="str">
        <f>IF(G53="","",IF(B53 = "BUY", 0,(E53-VLOOKUP(CONCATENATE(G53,(H53-1)),$I$2:L52,4,FALSE))*-C53))</f>
        <v/>
      </c>
    </row>
    <row r="54" spans="1:19" ht="15" thickBot="1" x14ac:dyDescent="0.35">
      <c r="A54" s="27" t="str">
        <f>IF('Australian Transaction'!A54= "","",'Australian Transaction'!A54)</f>
        <v/>
      </c>
      <c r="B54" s="28" t="str">
        <f>IF('Australian Transaction'!B54= "","",'Australian Transaction'!B54)</f>
        <v/>
      </c>
      <c r="C54" s="28" t="str">
        <f>IF('Australian Transaction'!C54= "","",IF(B54="BUY",'Australian Transaction'!C54,-'Australian Transaction'!C54))</f>
        <v/>
      </c>
      <c r="D54" s="28" t="str">
        <f>IF('Australian Transaction'!D54 = "","",IF($B54 = "BUY", 'Australian Transaction'!D54,-'Australian Transaction'!D54))</f>
        <v/>
      </c>
      <c r="E54" s="28" t="str">
        <f>IF('Australian Transaction'!E54= "","",'Australian Transaction'!E54)</f>
        <v/>
      </c>
      <c r="F54" s="23"/>
      <c r="G54" s="28" t="str">
        <f t="shared" si="1"/>
        <v/>
      </c>
      <c r="H54" s="28" t="str">
        <f>IF(A54="","",COUNTIF($G$2:G54,G54))</f>
        <v/>
      </c>
      <c r="I54" s="28" t="str">
        <f t="shared" si="2"/>
        <v/>
      </c>
      <c r="J54" s="28" t="str">
        <f>IF(G54="","",IF(COUNTIF($G$2:G54,G54)&gt;1,SUMIF($A$2:A54,G54,$C$2:C54),C54))</f>
        <v/>
      </c>
      <c r="K54" s="45" t="str">
        <f>IF(G54="","",IF(COUNTIF($G$2:G54,G54)&gt;1,SUMIF($A$2:A54,G54,$D$2:D54),D54) +SUMIF($G$2:G54,G54,$M$2:M54))</f>
        <v/>
      </c>
      <c r="L54" s="45" t="str">
        <f t="shared" si="3"/>
        <v/>
      </c>
      <c r="M54" s="46" t="str">
        <f>IF(G54="","",IF(B54 = "BUY", 0,(E54-VLOOKUP(CONCATENATE(G54,(H54-1)),$I$2:L53,4,FALSE))*-C54))</f>
        <v/>
      </c>
    </row>
    <row r="55" spans="1:19" ht="15" thickBot="1" x14ac:dyDescent="0.35">
      <c r="A55" s="27" t="str">
        <f>IF('Australian Transaction'!A55= "","",'Australian Transaction'!A55)</f>
        <v/>
      </c>
      <c r="B55" s="28" t="str">
        <f>IF('Australian Transaction'!B55= "","",'Australian Transaction'!B55)</f>
        <v/>
      </c>
      <c r="C55" s="28" t="str">
        <f>IF('Australian Transaction'!C55= "","",IF(B55="BUY",'Australian Transaction'!C55,-'Australian Transaction'!C55))</f>
        <v/>
      </c>
      <c r="D55" s="28" t="str">
        <f>IF('Australian Transaction'!D55 = "","",IF($B55 = "BUY", 'Australian Transaction'!D55,-'Australian Transaction'!D55))</f>
        <v/>
      </c>
      <c r="E55" s="28" t="str">
        <f>IF('Australian Transaction'!E55= "","",'Australian Transaction'!E55)</f>
        <v/>
      </c>
      <c r="F55" s="23"/>
      <c r="G55" s="28" t="str">
        <f t="shared" si="1"/>
        <v/>
      </c>
      <c r="H55" s="28" t="str">
        <f>IF(A55="","",COUNTIF($G$2:G55,G55))</f>
        <v/>
      </c>
      <c r="I55" s="28" t="str">
        <f t="shared" si="2"/>
        <v/>
      </c>
      <c r="J55" s="28" t="str">
        <f>IF(G55="","",IF(COUNTIF($G$2:G55,G55)&gt;1,SUMIF($A$2:A55,G55,$C$2:C55),C55))</f>
        <v/>
      </c>
      <c r="K55" s="45" t="str">
        <f>IF(G55="","",IF(COUNTIF($G$2:G55,G55)&gt;1,SUMIF($A$2:A55,G55,$D$2:D55),D55) +SUMIF($G$2:G55,G55,$M$2:M55))</f>
        <v/>
      </c>
      <c r="L55" s="45" t="str">
        <f t="shared" si="3"/>
        <v/>
      </c>
      <c r="M55" s="46" t="str">
        <f>IF(G55="","",IF(B55 = "BUY", 0,(E55-VLOOKUP(CONCATENATE(G55,(H55-1)),$I$2:L54,4,FALSE))*-C55))</f>
        <v/>
      </c>
    </row>
    <row r="56" spans="1:19" ht="15" thickBot="1" x14ac:dyDescent="0.35">
      <c r="A56" s="27" t="str">
        <f>IF('Australian Transaction'!A56= "","",'Australian Transaction'!A56)</f>
        <v/>
      </c>
      <c r="B56" s="28" t="str">
        <f>IF('Australian Transaction'!B56= "","",'Australian Transaction'!B56)</f>
        <v/>
      </c>
      <c r="C56" s="28" t="str">
        <f>IF('Australian Transaction'!C56= "","",IF(B56="BUY",'Australian Transaction'!C56,-'Australian Transaction'!C56))</f>
        <v/>
      </c>
      <c r="D56" s="28" t="str">
        <f>IF('Australian Transaction'!D56 = "","",IF($B56 = "BUY", 'Australian Transaction'!D56,-'Australian Transaction'!D56))</f>
        <v/>
      </c>
      <c r="E56" s="28" t="str">
        <f>IF('Australian Transaction'!E56= "","",'Australian Transaction'!E56)</f>
        <v/>
      </c>
      <c r="F56" s="23"/>
      <c r="G56" s="28" t="str">
        <f t="shared" si="1"/>
        <v/>
      </c>
      <c r="H56" s="28" t="str">
        <f>IF(A56="","",COUNTIF($G$2:G56,G56))</f>
        <v/>
      </c>
      <c r="I56" s="28" t="str">
        <f t="shared" si="2"/>
        <v/>
      </c>
      <c r="J56" s="28" t="str">
        <f>IF(G56="","",IF(COUNTIF($G$2:G56,G56)&gt;1,SUMIF($A$2:A56,G56,$C$2:C56),C56))</f>
        <v/>
      </c>
      <c r="K56" s="45" t="str">
        <f>IF(G56="","",IF(COUNTIF($G$2:G56,G56)&gt;1,SUMIF($A$2:A56,G56,$D$2:D56),D56) +SUMIF($G$2:G56,G56,$M$2:M56))</f>
        <v/>
      </c>
      <c r="L56" s="45" t="str">
        <f t="shared" si="3"/>
        <v/>
      </c>
      <c r="M56" s="46" t="str">
        <f>IF(G56="","",IF(B56 = "BUY", 0,(E56-VLOOKUP(CONCATENATE(G56,(H56-1)),$I$2:L55,4,FALSE))*-C56))</f>
        <v/>
      </c>
    </row>
    <row r="57" spans="1:19" ht="15" thickBot="1" x14ac:dyDescent="0.35">
      <c r="A57" s="27" t="str">
        <f>IF('Australian Transaction'!A57= "","",'Australian Transaction'!A57)</f>
        <v/>
      </c>
      <c r="B57" s="28" t="str">
        <f>IF('Australian Transaction'!B57= "","",'Australian Transaction'!B57)</f>
        <v/>
      </c>
      <c r="C57" s="28" t="str">
        <f>IF('Australian Transaction'!C57= "","",IF(B57="BUY",'Australian Transaction'!C57,-'Australian Transaction'!C57))</f>
        <v/>
      </c>
      <c r="D57" s="28" t="str">
        <f>IF('Australian Transaction'!D57 = "","",IF($B57 = "BUY", 'Australian Transaction'!D57,-'Australian Transaction'!D57))</f>
        <v/>
      </c>
      <c r="E57" s="28" t="str">
        <f>IF('Australian Transaction'!E57= "","",'Australian Transaction'!E57)</f>
        <v/>
      </c>
      <c r="F57" s="23"/>
      <c r="G57" s="28" t="str">
        <f t="shared" si="1"/>
        <v/>
      </c>
      <c r="H57" s="28" t="str">
        <f>IF(A57="","",COUNTIF($G$2:G57,G57))</f>
        <v/>
      </c>
      <c r="I57" s="28" t="str">
        <f t="shared" si="2"/>
        <v/>
      </c>
      <c r="J57" s="28" t="str">
        <f>IF(G57="","",IF(COUNTIF($G$2:G57,G57)&gt;1,SUMIF($A$2:A57,G57,$C$2:C57),C57))</f>
        <v/>
      </c>
      <c r="K57" s="45" t="str">
        <f>IF(G57="","",IF(COUNTIF($G$2:G57,G57)&gt;1,SUMIF($A$2:A57,G57,$D$2:D57),D57) +SUMIF($G$2:G57,G57,$M$2:M57))</f>
        <v/>
      </c>
      <c r="L57" s="45" t="str">
        <f t="shared" si="3"/>
        <v/>
      </c>
      <c r="M57" s="46" t="str">
        <f>IF(G57="","",IF(B57 = "BUY", 0,(E57-VLOOKUP(CONCATENATE(G57,(H57-1)),$I$2:L56,4,FALSE))*-C57))</f>
        <v/>
      </c>
    </row>
    <row r="58" spans="1:19" ht="15" thickBot="1" x14ac:dyDescent="0.35">
      <c r="A58" s="27" t="str">
        <f>IF('Australian Transaction'!A58= "","",'Australian Transaction'!A58)</f>
        <v/>
      </c>
      <c r="B58" s="28" t="str">
        <f>IF('Australian Transaction'!B58= "","",'Australian Transaction'!B58)</f>
        <v/>
      </c>
      <c r="C58" s="28" t="str">
        <f>IF('Australian Transaction'!C58= "","",IF(B58="BUY",'Australian Transaction'!C58,-'Australian Transaction'!C58))</f>
        <v/>
      </c>
      <c r="D58" s="28" t="str">
        <f>IF('Australian Transaction'!D58 = "","",IF($B58 = "BUY", 'Australian Transaction'!D58,-'Australian Transaction'!D58))</f>
        <v/>
      </c>
      <c r="E58" s="28" t="str">
        <f>IF('Australian Transaction'!E58= "","",'Australian Transaction'!E58)</f>
        <v/>
      </c>
      <c r="F58" s="23"/>
      <c r="G58" s="28" t="str">
        <f t="shared" si="1"/>
        <v/>
      </c>
      <c r="H58" s="28" t="str">
        <f>IF(A58="","",COUNTIF($G$2:G58,G58))</f>
        <v/>
      </c>
      <c r="I58" s="28" t="str">
        <f t="shared" si="2"/>
        <v/>
      </c>
      <c r="J58" s="28" t="str">
        <f>IF(G58="","",IF(COUNTIF($G$2:G58,G58)&gt;1,SUMIF($A$2:A58,G58,$C$2:C58),C58))</f>
        <v/>
      </c>
      <c r="K58" s="45" t="str">
        <f>IF(G58="","",IF(COUNTIF($G$2:G58,G58)&gt;1,SUMIF($A$2:A58,G58,$D$2:D58),D58) +SUMIF($G$2:G58,G58,$M$2:M58))</f>
        <v/>
      </c>
      <c r="L58" s="45" t="str">
        <f t="shared" si="3"/>
        <v/>
      </c>
      <c r="M58" s="46" t="str">
        <f>IF(G58="","",IF(B58 = "BUY", 0,(E58-VLOOKUP(CONCATENATE(G58,(H58-1)),$I$2:L57,4,FALSE))*-C58))</f>
        <v/>
      </c>
    </row>
    <row r="59" spans="1:19" ht="15" thickBot="1" x14ac:dyDescent="0.35">
      <c r="A59" s="27" t="str">
        <f>IF('Australian Transaction'!A59= "","",'Australian Transaction'!A59)</f>
        <v/>
      </c>
      <c r="B59" s="28" t="str">
        <f>IF('Australian Transaction'!B59= "","",'Australian Transaction'!B59)</f>
        <v/>
      </c>
      <c r="C59" s="28" t="str">
        <f>IF('Australian Transaction'!C59= "","",IF(B59="BUY",'Australian Transaction'!C59,-'Australian Transaction'!C59))</f>
        <v/>
      </c>
      <c r="D59" s="28" t="str">
        <f>IF('Australian Transaction'!D59 = "","",IF($B59 = "BUY", 'Australian Transaction'!D59,-'Australian Transaction'!D59))</f>
        <v/>
      </c>
      <c r="E59" s="28" t="str">
        <f>IF('Australian Transaction'!E59= "","",'Australian Transaction'!E59)</f>
        <v/>
      </c>
      <c r="F59" s="23"/>
      <c r="G59" s="28" t="str">
        <f t="shared" si="1"/>
        <v/>
      </c>
      <c r="H59" s="28" t="str">
        <f>IF(A59="","",COUNTIF($G$2:G59,G59))</f>
        <v/>
      </c>
      <c r="I59" s="28" t="str">
        <f t="shared" si="2"/>
        <v/>
      </c>
      <c r="J59" s="28" t="str">
        <f>IF(G59="","",IF(COUNTIF($G$2:G59,G59)&gt;1,SUMIF($A$2:A59,G59,$C$2:C59),C59))</f>
        <v/>
      </c>
      <c r="K59" s="45" t="str">
        <f>IF(G59="","",IF(COUNTIF($G$2:G59,G59)&gt;1,SUMIF($A$2:A59,G59,$D$2:D59),D59) +SUMIF($G$2:G59,G59,$M$2:M59))</f>
        <v/>
      </c>
      <c r="L59" s="45" t="str">
        <f t="shared" si="3"/>
        <v/>
      </c>
      <c r="M59" s="46" t="str">
        <f>IF(G59="","",IF(B59 = "BUY", 0,(E59-VLOOKUP(CONCATENATE(G59,(H59-1)),$I$2:L58,4,FALSE))*-C59))</f>
        <v/>
      </c>
    </row>
    <row r="60" spans="1:19" ht="15" thickBot="1" x14ac:dyDescent="0.35">
      <c r="A60" s="27" t="str">
        <f>IF('Australian Transaction'!A60= "","",'Australian Transaction'!A60)</f>
        <v/>
      </c>
      <c r="B60" s="28" t="str">
        <f>IF('Australian Transaction'!B60= "","",'Australian Transaction'!B60)</f>
        <v/>
      </c>
      <c r="C60" s="28" t="str">
        <f>IF('Australian Transaction'!C60= "","",IF(B60="BUY",'Australian Transaction'!C60,-'Australian Transaction'!C60))</f>
        <v/>
      </c>
      <c r="D60" s="28" t="str">
        <f>IF('Australian Transaction'!D60 = "","",IF($B60 = "BUY", 'Australian Transaction'!D60,-'Australian Transaction'!D60))</f>
        <v/>
      </c>
      <c r="E60" s="28" t="str">
        <f>IF('Australian Transaction'!E60= "","",'Australian Transaction'!E60)</f>
        <v/>
      </c>
      <c r="F60" s="23"/>
      <c r="G60" s="28" t="str">
        <f t="shared" si="1"/>
        <v/>
      </c>
      <c r="H60" s="28" t="str">
        <f>IF(A60="","",COUNTIF($G$2:G60,G60))</f>
        <v/>
      </c>
      <c r="I60" s="28" t="str">
        <f t="shared" si="2"/>
        <v/>
      </c>
      <c r="J60" s="28" t="str">
        <f>IF(G60="","",IF(COUNTIF($G$2:G60,G60)&gt;1,SUMIF($A$2:A60,G60,$C$2:C60),C60))</f>
        <v/>
      </c>
      <c r="K60" s="45" t="str">
        <f>IF(G60="","",IF(COUNTIF($G$2:G60,G60)&gt;1,SUMIF($A$2:A60,G60,$D$2:D60),D60) +SUMIF($G$2:G60,G60,$M$2:M60))</f>
        <v/>
      </c>
      <c r="L60" s="45" t="str">
        <f t="shared" si="3"/>
        <v/>
      </c>
      <c r="M60" s="46" t="str">
        <f>IF(G60="","",IF(B60 = "BUY", 0,(E60-VLOOKUP(CONCATENATE(G60,(H60-1)),$I$2:L59,4,FALSE))*-C60))</f>
        <v/>
      </c>
    </row>
    <row r="61" spans="1:19" ht="15" thickBot="1" x14ac:dyDescent="0.35">
      <c r="A61" s="27" t="str">
        <f>IF('Australian Transaction'!A61= "","",'Australian Transaction'!A61)</f>
        <v/>
      </c>
      <c r="B61" s="28" t="str">
        <f>IF('Australian Transaction'!B61= "","",'Australian Transaction'!B61)</f>
        <v/>
      </c>
      <c r="C61" s="28" t="str">
        <f>IF('Australian Transaction'!C61= "","",IF(B61="BUY",'Australian Transaction'!C61,-'Australian Transaction'!C61))</f>
        <v/>
      </c>
      <c r="D61" s="28" t="str">
        <f>IF('Australian Transaction'!D61 = "","",IF($B61 = "BUY", 'Australian Transaction'!D61,-'Australian Transaction'!D61))</f>
        <v/>
      </c>
      <c r="E61" s="28" t="str">
        <f>IF('Australian Transaction'!E61= "","",'Australian Transaction'!E61)</f>
        <v/>
      </c>
      <c r="F61" s="23"/>
      <c r="G61" s="28" t="str">
        <f t="shared" si="1"/>
        <v/>
      </c>
      <c r="H61" s="28" t="str">
        <f>IF(A61="","",COUNTIF($G$2:G61,G61))</f>
        <v/>
      </c>
      <c r="I61" s="28" t="str">
        <f t="shared" si="2"/>
        <v/>
      </c>
      <c r="J61" s="28" t="str">
        <f>IF(G61="","",IF(COUNTIF($G$2:G61,G61)&gt;1,SUMIF($A$2:A61,G61,$C$2:C61),C61))</f>
        <v/>
      </c>
      <c r="K61" s="45" t="str">
        <f>IF(G61="","",IF(COUNTIF($G$2:G61,G61)&gt;1,SUMIF($A$2:A61,G61,$D$2:D61),D61) +SUMIF($G$2:G61,G61,$M$2:M61))</f>
        <v/>
      </c>
      <c r="L61" s="45" t="str">
        <f t="shared" si="3"/>
        <v/>
      </c>
      <c r="M61" s="46" t="str">
        <f>IF(G61="","",IF(B61 = "BUY", 0,(E61-VLOOKUP(CONCATENATE(G61,(H61-1)),$I$2:L60,4,FALSE))*-C61))</f>
        <v/>
      </c>
    </row>
    <row r="62" spans="1:19" ht="15" thickBot="1" x14ac:dyDescent="0.35">
      <c r="A62" s="27" t="str">
        <f>IF('Australian Transaction'!A62= "","",'Australian Transaction'!A62)</f>
        <v/>
      </c>
      <c r="B62" s="28" t="str">
        <f>IF('Australian Transaction'!B62= "","",'Australian Transaction'!B62)</f>
        <v/>
      </c>
      <c r="C62" s="28" t="str">
        <f>IF('Australian Transaction'!C62= "","",IF(B62="BUY",'Australian Transaction'!C62,-'Australian Transaction'!C62))</f>
        <v/>
      </c>
      <c r="D62" s="28" t="str">
        <f>IF('Australian Transaction'!D62 = "","",IF($B62 = "BUY", 'Australian Transaction'!D62,-'Australian Transaction'!D62))</f>
        <v/>
      </c>
      <c r="E62" s="28" t="str">
        <f>IF('Australian Transaction'!E62= "","",'Australian Transaction'!E62)</f>
        <v/>
      </c>
      <c r="F62" s="23"/>
      <c r="G62" s="28" t="str">
        <f t="shared" si="1"/>
        <v/>
      </c>
      <c r="H62" s="28" t="str">
        <f>IF(A62="","",COUNTIF($G$2:G62,G62))</f>
        <v/>
      </c>
      <c r="I62" s="28" t="str">
        <f t="shared" si="2"/>
        <v/>
      </c>
      <c r="J62" s="28" t="str">
        <f>IF(G62="","",IF(COUNTIF($G$2:G62,G62)&gt;1,SUMIF($A$2:A62,G62,$C$2:C62),C62))</f>
        <v/>
      </c>
      <c r="K62" s="45" t="str">
        <f>IF(G62="","",IF(COUNTIF($G$2:G62,G62)&gt;1,SUMIF($A$2:A62,G62,$D$2:D62),D62) +SUMIF($G$2:G62,G62,$M$2:M62))</f>
        <v/>
      </c>
      <c r="L62" s="45" t="str">
        <f t="shared" si="3"/>
        <v/>
      </c>
      <c r="M62" s="46" t="str">
        <f>IF(G62="","",IF(B62 = "BUY", 0,(E62-VLOOKUP(CONCATENATE(G62,(H62-1)),$I$2:L61,4,FALSE))*-C62))</f>
        <v/>
      </c>
    </row>
    <row r="63" spans="1:19" ht="15" thickBot="1" x14ac:dyDescent="0.35">
      <c r="A63" s="27" t="str">
        <f>IF('Australian Transaction'!A63= "","",'Australian Transaction'!A63)</f>
        <v/>
      </c>
      <c r="B63" s="28" t="str">
        <f>IF('Australian Transaction'!B63= "","",'Australian Transaction'!B63)</f>
        <v/>
      </c>
      <c r="C63" s="28" t="str">
        <f>IF('Australian Transaction'!C63= "","",IF(B63="BUY",'Australian Transaction'!C63,-'Australian Transaction'!C63))</f>
        <v/>
      </c>
      <c r="D63" s="28" t="str">
        <f>IF('Australian Transaction'!D63 = "","",IF($B63 = "BUY", 'Australian Transaction'!D63,-'Australian Transaction'!D63))</f>
        <v/>
      </c>
      <c r="E63" s="28" t="str">
        <f>IF('Australian Transaction'!E63= "","",'Australian Transaction'!E63)</f>
        <v/>
      </c>
      <c r="F63" s="23"/>
      <c r="G63" s="28" t="str">
        <f t="shared" si="1"/>
        <v/>
      </c>
      <c r="H63" s="28" t="str">
        <f>IF(A63="","",COUNTIF($G$2:G63,G63))</f>
        <v/>
      </c>
      <c r="I63" s="28" t="str">
        <f t="shared" si="2"/>
        <v/>
      </c>
      <c r="J63" s="28" t="str">
        <f>IF(G63="","",IF(COUNTIF($G$2:G63,G63)&gt;1,SUMIF($A$2:A63,G63,$C$2:C63),C63))</f>
        <v/>
      </c>
      <c r="K63" s="45" t="str">
        <f>IF(G63="","",IF(COUNTIF($G$2:G63,G63)&gt;1,SUMIF($A$2:A63,G63,$D$2:D63),D63) +SUMIF($G$2:G63,G63,$M$2:M63))</f>
        <v/>
      </c>
      <c r="L63" s="45" t="str">
        <f t="shared" si="3"/>
        <v/>
      </c>
      <c r="M63" s="46" t="str">
        <f>IF(G63="","",IF(B63 = "BUY", 0,(E63-VLOOKUP(CONCATENATE(G63,(H63-1)),$I$2:L62,4,FALSE))*-C63))</f>
        <v/>
      </c>
    </row>
    <row r="64" spans="1:19" ht="15" thickBot="1" x14ac:dyDescent="0.35">
      <c r="A64" s="27" t="str">
        <f>IF('Australian Transaction'!A64= "","",'Australian Transaction'!A64)</f>
        <v/>
      </c>
      <c r="B64" s="28" t="str">
        <f>IF('Australian Transaction'!B64= "","",'Australian Transaction'!B64)</f>
        <v/>
      </c>
      <c r="C64" s="28" t="str">
        <f>IF('Australian Transaction'!C64= "","",IF(B64="BUY",'Australian Transaction'!C64,-'Australian Transaction'!C64))</f>
        <v/>
      </c>
      <c r="D64" s="28" t="str">
        <f>IF('Australian Transaction'!D64 = "","",IF($B64 = "BUY", 'Australian Transaction'!D64,-'Australian Transaction'!D64))</f>
        <v/>
      </c>
      <c r="E64" s="28" t="str">
        <f>IF('Australian Transaction'!E64= "","",'Australian Transaction'!E64)</f>
        <v/>
      </c>
      <c r="F64" s="23"/>
      <c r="G64" s="28" t="str">
        <f t="shared" si="1"/>
        <v/>
      </c>
      <c r="H64" s="28" t="str">
        <f>IF(A64="","",COUNTIF($G$2:G64,G64))</f>
        <v/>
      </c>
      <c r="I64" s="28" t="str">
        <f t="shared" si="2"/>
        <v/>
      </c>
      <c r="J64" s="28" t="str">
        <f>IF(G64="","",IF(COUNTIF($G$2:G64,G64)&gt;1,SUMIF($A$2:A64,G64,$C$2:C64),C64))</f>
        <v/>
      </c>
      <c r="K64" s="45" t="str">
        <f>IF(G64="","",IF(COUNTIF($G$2:G64,G64)&gt;1,SUMIF($A$2:A64,G64,$D$2:D64),D64) +SUMIF($G$2:G64,G64,$M$2:M64))</f>
        <v/>
      </c>
      <c r="L64" s="45" t="str">
        <f t="shared" si="3"/>
        <v/>
      </c>
      <c r="M64" s="46" t="str">
        <f>IF(G64="","",IF(B64 = "BUY", 0,(E64-VLOOKUP(CONCATENATE(G64,(H64-1)),$I$2:L63,4,FALSE))*-C64))</f>
        <v/>
      </c>
    </row>
    <row r="65" spans="1:13" ht="15" thickBot="1" x14ac:dyDescent="0.35">
      <c r="A65" s="27" t="str">
        <f>IF('Australian Transaction'!A65= "","",'Australian Transaction'!A65)</f>
        <v/>
      </c>
      <c r="B65" s="28" t="str">
        <f>IF('Australian Transaction'!B65= "","",'Australian Transaction'!B65)</f>
        <v/>
      </c>
      <c r="C65" s="28" t="str">
        <f>IF('Australian Transaction'!C65= "","",IF(B65="BUY",'Australian Transaction'!C65,-'Australian Transaction'!C65))</f>
        <v/>
      </c>
      <c r="D65" s="28" t="str">
        <f>IF('Australian Transaction'!D65 = "","",IF($B65 = "BUY", 'Australian Transaction'!D65,-'Australian Transaction'!D65))</f>
        <v/>
      </c>
      <c r="E65" s="28" t="str">
        <f>IF('Australian Transaction'!E65= "","",'Australian Transaction'!E65)</f>
        <v/>
      </c>
      <c r="F65" s="23"/>
      <c r="G65" s="28" t="str">
        <f t="shared" si="1"/>
        <v/>
      </c>
      <c r="H65" s="28" t="str">
        <f>IF(A65="","",COUNTIF($G$2:G65,G65))</f>
        <v/>
      </c>
      <c r="I65" s="28" t="str">
        <f t="shared" si="2"/>
        <v/>
      </c>
      <c r="J65" s="28" t="str">
        <f>IF(G65="","",IF(COUNTIF($G$2:G65,G65)&gt;1,SUMIF($A$2:A65,G65,$C$2:C65),C65))</f>
        <v/>
      </c>
      <c r="K65" s="45" t="str">
        <f>IF(G65="","",IF(COUNTIF($G$2:G65,G65)&gt;1,SUMIF($A$2:A65,G65,$D$2:D65),D65) +SUMIF($G$2:G65,G65,$M$2:M65))</f>
        <v/>
      </c>
      <c r="L65" s="45" t="str">
        <f t="shared" si="3"/>
        <v/>
      </c>
      <c r="M65" s="46" t="str">
        <f>IF(G65="","",IF(B65 = "BUY", 0,(E65-VLOOKUP(CONCATENATE(G65,(H65-1)),$I$2:L64,4,FALSE))*-C65))</f>
        <v/>
      </c>
    </row>
    <row r="66" spans="1:13" ht="15" thickBot="1" x14ac:dyDescent="0.35">
      <c r="A66" s="27" t="str">
        <f>IF('Australian Transaction'!A66= "","",'Australian Transaction'!A66)</f>
        <v/>
      </c>
      <c r="B66" s="28" t="str">
        <f>IF('Australian Transaction'!B66= "","",'Australian Transaction'!B66)</f>
        <v/>
      </c>
      <c r="C66" s="28" t="str">
        <f>IF('Australian Transaction'!C66= "","",IF(B66="BUY",'Australian Transaction'!C66,-'Australian Transaction'!C66))</f>
        <v/>
      </c>
      <c r="D66" s="28" t="str">
        <f>IF('Australian Transaction'!D66 = "","",IF($B66 = "BUY", 'Australian Transaction'!D66,-'Australian Transaction'!D66))</f>
        <v/>
      </c>
      <c r="E66" s="28" t="str">
        <f>IF('Australian Transaction'!E66= "","",'Australian Transaction'!E66)</f>
        <v/>
      </c>
      <c r="F66" s="23"/>
      <c r="G66" s="28" t="str">
        <f t="shared" si="1"/>
        <v/>
      </c>
      <c r="H66" s="28" t="str">
        <f>IF(A66="","",COUNTIF($G$2:G66,G66))</f>
        <v/>
      </c>
      <c r="I66" s="28" t="str">
        <f t="shared" si="2"/>
        <v/>
      </c>
      <c r="J66" s="28" t="str">
        <f>IF(G66="","",IF(COUNTIF($G$2:G66,G66)&gt;1,SUMIF($A$2:A66,G66,$C$2:C66),C66))</f>
        <v/>
      </c>
      <c r="K66" s="45" t="str">
        <f>IF(G66="","",IF(COUNTIF($G$2:G66,G66)&gt;1,SUMIF($A$2:A66,G66,$D$2:D66),D66) +SUMIF($G$2:G66,G66,$M$2:M66))</f>
        <v/>
      </c>
      <c r="L66" s="45" t="str">
        <f t="shared" si="3"/>
        <v/>
      </c>
      <c r="M66" s="46" t="str">
        <f>IF(G66="","",IF(B66 = "BUY", 0,(E66-VLOOKUP(CONCATENATE(G66,(H66-1)),$I$2:L65,4,FALSE))*-C66))</f>
        <v/>
      </c>
    </row>
    <row r="67" spans="1:13" ht="15" thickBot="1" x14ac:dyDescent="0.35">
      <c r="A67" s="27" t="str">
        <f>IF('Australian Transaction'!A67= "","",'Australian Transaction'!A67)</f>
        <v/>
      </c>
      <c r="B67" s="28" t="str">
        <f>IF('Australian Transaction'!B67= "","",'Australian Transaction'!B67)</f>
        <v/>
      </c>
      <c r="C67" s="28" t="str">
        <f>IF('Australian Transaction'!C67= "","",IF(B67="BUY",'Australian Transaction'!C67,-'Australian Transaction'!C67))</f>
        <v/>
      </c>
      <c r="D67" s="28" t="str">
        <f>IF('Australian Transaction'!D67 = "","",IF($B67 = "BUY", 'Australian Transaction'!D67,-'Australian Transaction'!D67))</f>
        <v/>
      </c>
      <c r="E67" s="28" t="str">
        <f>IF('Australian Transaction'!E67= "","",'Australian Transaction'!E67)</f>
        <v/>
      </c>
      <c r="F67" s="23"/>
      <c r="G67" s="28" t="str">
        <f t="shared" ref="G67:G130" si="14">A67</f>
        <v/>
      </c>
      <c r="H67" s="28" t="str">
        <f>IF(A67="","",COUNTIF($G$2:G67,G67))</f>
        <v/>
      </c>
      <c r="I67" s="28" t="str">
        <f t="shared" ref="I67:I130" si="15">_xlfn.CONCAT(G67,H67)</f>
        <v/>
      </c>
      <c r="J67" s="28" t="str">
        <f>IF(G67="","",IF(COUNTIF($G$2:G67,G67)&gt;1,SUMIF($A$2:A67,G67,$C$2:C67),C67))</f>
        <v/>
      </c>
      <c r="K67" s="45" t="str">
        <f>IF(G67="","",IF(COUNTIF($G$2:G67,G67)&gt;1,SUMIF($A$2:A67,G67,$D$2:D67),D67) +SUMIF($G$2:G67,G67,$M$2:M67))</f>
        <v/>
      </c>
      <c r="L67" s="45" t="str">
        <f t="shared" ref="L67:L130" si="16">IF(G67="","",IFERROR(K67/J67,0))</f>
        <v/>
      </c>
      <c r="M67" s="46" t="str">
        <f>IF(G67="","",IF(B67 = "BUY", 0,(E67-VLOOKUP(CONCATENATE(G67,(H67-1)),$I$2:L66,4,FALSE))*-C67))</f>
        <v/>
      </c>
    </row>
    <row r="68" spans="1:13" ht="15" thickBot="1" x14ac:dyDescent="0.35">
      <c r="A68" s="27" t="str">
        <f>IF('Australian Transaction'!A68= "","",'Australian Transaction'!A68)</f>
        <v/>
      </c>
      <c r="B68" s="28" t="str">
        <f>IF('Australian Transaction'!B68= "","",'Australian Transaction'!B68)</f>
        <v/>
      </c>
      <c r="C68" s="28" t="str">
        <f>IF('Australian Transaction'!C68= "","",IF(B68="BUY",'Australian Transaction'!C68,-'Australian Transaction'!C68))</f>
        <v/>
      </c>
      <c r="D68" s="28" t="str">
        <f>IF('Australian Transaction'!D68 = "","",IF($B68 = "BUY", 'Australian Transaction'!D68,-'Australian Transaction'!D68))</f>
        <v/>
      </c>
      <c r="E68" s="28" t="str">
        <f>IF('Australian Transaction'!E68= "","",'Australian Transaction'!E68)</f>
        <v/>
      </c>
      <c r="F68" s="23"/>
      <c r="G68" s="28" t="str">
        <f t="shared" si="14"/>
        <v/>
      </c>
      <c r="H68" s="28" t="str">
        <f>IF(A68="","",COUNTIF($G$2:G68,G68))</f>
        <v/>
      </c>
      <c r="I68" s="28" t="str">
        <f t="shared" si="15"/>
        <v/>
      </c>
      <c r="J68" s="28" t="str">
        <f>IF(G68="","",IF(COUNTIF($G$2:G68,G68)&gt;1,SUMIF($A$2:A68,G68,$C$2:C68),C68))</f>
        <v/>
      </c>
      <c r="K68" s="45" t="str">
        <f>IF(G68="","",IF(COUNTIF($G$2:G68,G68)&gt;1,SUMIF($A$2:A68,G68,$D$2:D68),D68) +SUMIF($G$2:G68,G68,$M$2:M68))</f>
        <v/>
      </c>
      <c r="L68" s="45" t="str">
        <f t="shared" si="16"/>
        <v/>
      </c>
      <c r="M68" s="46" t="str">
        <f>IF(G68="","",IF(B68 = "BUY", 0,(E68-VLOOKUP(CONCATENATE(G68,(H68-1)),$I$2:L67,4,FALSE))*-C68))</f>
        <v/>
      </c>
    </row>
    <row r="69" spans="1:13" ht="15" thickBot="1" x14ac:dyDescent="0.35">
      <c r="A69" s="27" t="str">
        <f>IF('Australian Transaction'!A69= "","",'Australian Transaction'!A69)</f>
        <v/>
      </c>
      <c r="B69" s="28" t="str">
        <f>IF('Australian Transaction'!B69= "","",'Australian Transaction'!B69)</f>
        <v/>
      </c>
      <c r="C69" s="28" t="str">
        <f>IF('Australian Transaction'!C69= "","",IF(B69="BUY",'Australian Transaction'!C69,-'Australian Transaction'!C69))</f>
        <v/>
      </c>
      <c r="D69" s="28" t="str">
        <f>IF('Australian Transaction'!D69 = "","",IF($B69 = "BUY", 'Australian Transaction'!D69,-'Australian Transaction'!D69))</f>
        <v/>
      </c>
      <c r="E69" s="28" t="str">
        <f>IF('Australian Transaction'!E69= "","",'Australian Transaction'!E69)</f>
        <v/>
      </c>
      <c r="F69" s="23"/>
      <c r="G69" s="28" t="str">
        <f t="shared" si="14"/>
        <v/>
      </c>
      <c r="H69" s="28" t="str">
        <f>IF(A69="","",COUNTIF($G$2:G69,G69))</f>
        <v/>
      </c>
      <c r="I69" s="28" t="str">
        <f t="shared" si="15"/>
        <v/>
      </c>
      <c r="J69" s="28" t="str">
        <f>IF(G69="","",IF(COUNTIF($G$2:G69,G69)&gt;1,SUMIF($A$2:A69,G69,$C$2:C69),C69))</f>
        <v/>
      </c>
      <c r="K69" s="45" t="str">
        <f>IF(G69="","",IF(COUNTIF($G$2:G69,G69)&gt;1,SUMIF($A$2:A69,G69,$D$2:D69),D69) +SUMIF($G$2:G69,G69,$M$2:M69))</f>
        <v/>
      </c>
      <c r="L69" s="45" t="str">
        <f t="shared" si="16"/>
        <v/>
      </c>
      <c r="M69" s="46" t="str">
        <f>IF(G69="","",IF(B69 = "BUY", 0,(E69-VLOOKUP(CONCATENATE(G69,(H69-1)),$I$2:L68,4,FALSE))*-C69))</f>
        <v/>
      </c>
    </row>
    <row r="70" spans="1:13" ht="15" thickBot="1" x14ac:dyDescent="0.35">
      <c r="A70" s="27" t="str">
        <f>IF('Australian Transaction'!A70= "","",'Australian Transaction'!A70)</f>
        <v/>
      </c>
      <c r="B70" s="28" t="str">
        <f>IF('Australian Transaction'!B70= "","",'Australian Transaction'!B70)</f>
        <v/>
      </c>
      <c r="C70" s="28" t="str">
        <f>IF('Australian Transaction'!C70= "","",IF(B70="BUY",'Australian Transaction'!C70,-'Australian Transaction'!C70))</f>
        <v/>
      </c>
      <c r="D70" s="28" t="str">
        <f>IF('Australian Transaction'!D70 = "","",IF($B70 = "BUY", 'Australian Transaction'!D70,-'Australian Transaction'!D70))</f>
        <v/>
      </c>
      <c r="E70" s="28" t="str">
        <f>IF('Australian Transaction'!E70= "","",'Australian Transaction'!E70)</f>
        <v/>
      </c>
      <c r="F70" s="23"/>
      <c r="G70" s="28" t="str">
        <f t="shared" si="14"/>
        <v/>
      </c>
      <c r="H70" s="28" t="str">
        <f>IF(A70="","",COUNTIF($G$2:G70,G70))</f>
        <v/>
      </c>
      <c r="I70" s="28" t="str">
        <f t="shared" si="15"/>
        <v/>
      </c>
      <c r="J70" s="28" t="str">
        <f>IF(G70="","",IF(COUNTIF($G$2:G70,G70)&gt;1,SUMIF($A$2:A70,G70,$C$2:C70),C70))</f>
        <v/>
      </c>
      <c r="K70" s="45" t="str">
        <f>IF(G70="","",IF(COUNTIF($G$2:G70,G70)&gt;1,SUMIF($A$2:A70,G70,$D$2:D70),D70) +SUMIF($G$2:G70,G70,$M$2:M70))</f>
        <v/>
      </c>
      <c r="L70" s="45" t="str">
        <f t="shared" si="16"/>
        <v/>
      </c>
      <c r="M70" s="46" t="str">
        <f>IF(G70="","",IF(B70 = "BUY", 0,(E70-VLOOKUP(CONCATENATE(G70,(H70-1)),$I$2:L69,4,FALSE))*-C70))</f>
        <v/>
      </c>
    </row>
    <row r="71" spans="1:13" ht="15" thickBot="1" x14ac:dyDescent="0.35">
      <c r="A71" s="27" t="str">
        <f>IF('Australian Transaction'!A71= "","",'Australian Transaction'!A71)</f>
        <v/>
      </c>
      <c r="B71" s="28" t="str">
        <f>IF('Australian Transaction'!B71= "","",'Australian Transaction'!B71)</f>
        <v/>
      </c>
      <c r="C71" s="28" t="str">
        <f>IF('Australian Transaction'!C71= "","",IF(B71="BUY",'Australian Transaction'!C71,-'Australian Transaction'!C71))</f>
        <v/>
      </c>
      <c r="D71" s="28" t="str">
        <f>IF('Australian Transaction'!D71 = "","",IF($B71 = "BUY", 'Australian Transaction'!D71,-'Australian Transaction'!D71))</f>
        <v/>
      </c>
      <c r="E71" s="28" t="str">
        <f>IF('Australian Transaction'!E71= "","",'Australian Transaction'!E71)</f>
        <v/>
      </c>
      <c r="F71" s="23"/>
      <c r="G71" s="28" t="str">
        <f t="shared" si="14"/>
        <v/>
      </c>
      <c r="H71" s="28" t="str">
        <f>IF(A71="","",COUNTIF($G$2:G71,G71))</f>
        <v/>
      </c>
      <c r="I71" s="28" t="str">
        <f t="shared" si="15"/>
        <v/>
      </c>
      <c r="J71" s="28" t="str">
        <f>IF(G71="","",IF(COUNTIF($G$2:G71,G71)&gt;1,SUMIF($A$2:A71,G71,$C$2:C71),C71))</f>
        <v/>
      </c>
      <c r="K71" s="45" t="str">
        <f>IF(G71="","",IF(COUNTIF($G$2:G71,G71)&gt;1,SUMIF($A$2:A71,G71,$D$2:D71),D71) +SUMIF($G$2:G71,G71,$M$2:M71))</f>
        <v/>
      </c>
      <c r="L71" s="45" t="str">
        <f t="shared" si="16"/>
        <v/>
      </c>
      <c r="M71" s="46" t="str">
        <f>IF(G71="","",IF(B71 = "BUY", 0,(E71-VLOOKUP(CONCATENATE(G71,(H71-1)),$I$2:L70,4,FALSE))*-C71))</f>
        <v/>
      </c>
    </row>
    <row r="72" spans="1:13" ht="15" thickBot="1" x14ac:dyDescent="0.35">
      <c r="A72" s="27" t="str">
        <f>IF('Australian Transaction'!A72= "","",'Australian Transaction'!A72)</f>
        <v/>
      </c>
      <c r="B72" s="28" t="str">
        <f>IF('Australian Transaction'!B72= "","",'Australian Transaction'!B72)</f>
        <v/>
      </c>
      <c r="C72" s="28" t="str">
        <f>IF('Australian Transaction'!C72= "","",IF(B72="BUY",'Australian Transaction'!C72,-'Australian Transaction'!C72))</f>
        <v/>
      </c>
      <c r="D72" s="28" t="str">
        <f>IF('Australian Transaction'!D72 = "","",IF($B72 = "BUY", 'Australian Transaction'!D72,-'Australian Transaction'!D72))</f>
        <v/>
      </c>
      <c r="E72" s="28" t="str">
        <f>IF('Australian Transaction'!E72= "","",'Australian Transaction'!E72)</f>
        <v/>
      </c>
      <c r="F72" s="23"/>
      <c r="G72" s="28" t="str">
        <f t="shared" si="14"/>
        <v/>
      </c>
      <c r="H72" s="28" t="str">
        <f>IF(A72="","",COUNTIF($G$2:G72,G72))</f>
        <v/>
      </c>
      <c r="I72" s="28" t="str">
        <f t="shared" si="15"/>
        <v/>
      </c>
      <c r="J72" s="28" t="str">
        <f>IF(G72="","",IF(COUNTIF($G$2:G72,G72)&gt;1,SUMIF($A$2:A72,G72,$C$2:C72),C72))</f>
        <v/>
      </c>
      <c r="K72" s="45" t="str">
        <f>IF(G72="","",IF(COUNTIF($G$2:G72,G72)&gt;1,SUMIF($A$2:A72,G72,$D$2:D72),D72) +SUMIF($G$2:G72,G72,$M$2:M72))</f>
        <v/>
      </c>
      <c r="L72" s="45" t="str">
        <f t="shared" si="16"/>
        <v/>
      </c>
      <c r="M72" s="46" t="str">
        <f>IF(G72="","",IF(B72 = "BUY", 0,(E72-VLOOKUP(CONCATENATE(G72,(H72-1)),$I$2:L71,4,FALSE))*-C72))</f>
        <v/>
      </c>
    </row>
    <row r="73" spans="1:13" ht="15" thickBot="1" x14ac:dyDescent="0.35">
      <c r="A73" s="27" t="str">
        <f>IF('Australian Transaction'!A73= "","",'Australian Transaction'!A73)</f>
        <v/>
      </c>
      <c r="B73" s="28" t="str">
        <f>IF('Australian Transaction'!B73= "","",'Australian Transaction'!B73)</f>
        <v/>
      </c>
      <c r="C73" s="28" t="str">
        <f>IF('Australian Transaction'!C73= "","",IF(B73="BUY",'Australian Transaction'!C73,-'Australian Transaction'!C73))</f>
        <v/>
      </c>
      <c r="D73" s="28" t="str">
        <f>IF('Australian Transaction'!D73 = "","",IF($B73 = "BUY", 'Australian Transaction'!D73,-'Australian Transaction'!D73))</f>
        <v/>
      </c>
      <c r="E73" s="28" t="str">
        <f>IF('Australian Transaction'!E73= "","",'Australian Transaction'!E73)</f>
        <v/>
      </c>
      <c r="F73" s="23"/>
      <c r="G73" s="28" t="str">
        <f t="shared" si="14"/>
        <v/>
      </c>
      <c r="H73" s="28" t="str">
        <f>IF(A73="","",COUNTIF($G$2:G73,G73))</f>
        <v/>
      </c>
      <c r="I73" s="28" t="str">
        <f t="shared" si="15"/>
        <v/>
      </c>
      <c r="J73" s="28" t="str">
        <f>IF(G73="","",IF(COUNTIF($G$2:G73,G73)&gt;1,SUMIF($A$2:A73,G73,$C$2:C73),C73))</f>
        <v/>
      </c>
      <c r="K73" s="45" t="str">
        <f>IF(G73="","",IF(COUNTIF($G$2:G73,G73)&gt;1,SUMIF($A$2:A73,G73,$D$2:D73),D73) +SUMIF($G$2:G73,G73,$M$2:M73))</f>
        <v/>
      </c>
      <c r="L73" s="45" t="str">
        <f t="shared" si="16"/>
        <v/>
      </c>
      <c r="M73" s="46" t="str">
        <f>IF(G73="","",IF(B73 = "BUY", 0,(E73-VLOOKUP(CONCATENATE(G73,(H73-1)),$I$2:L72,4,FALSE))*-C73))</f>
        <v/>
      </c>
    </row>
    <row r="74" spans="1:13" ht="15" thickBot="1" x14ac:dyDescent="0.35">
      <c r="A74" s="27" t="str">
        <f>IF('Australian Transaction'!A74= "","",'Australian Transaction'!A74)</f>
        <v/>
      </c>
      <c r="B74" s="28" t="str">
        <f>IF('Australian Transaction'!B74= "","",'Australian Transaction'!B74)</f>
        <v/>
      </c>
      <c r="C74" s="28" t="str">
        <f>IF('Australian Transaction'!C74= "","",IF(B74="BUY",'Australian Transaction'!C74,-'Australian Transaction'!C74))</f>
        <v/>
      </c>
      <c r="D74" s="28" t="str">
        <f>IF('Australian Transaction'!D74 = "","",IF($B74 = "BUY", 'Australian Transaction'!D74,-'Australian Transaction'!D74))</f>
        <v/>
      </c>
      <c r="E74" s="28" t="str">
        <f>IF('Australian Transaction'!E74= "","",'Australian Transaction'!E74)</f>
        <v/>
      </c>
      <c r="F74" s="23"/>
      <c r="G74" s="28" t="str">
        <f t="shared" si="14"/>
        <v/>
      </c>
      <c r="H74" s="28" t="str">
        <f>IF(A74="","",COUNTIF($G$2:G74,G74))</f>
        <v/>
      </c>
      <c r="I74" s="28" t="str">
        <f t="shared" si="15"/>
        <v/>
      </c>
      <c r="J74" s="28" t="str">
        <f>IF(G74="","",IF(COUNTIF($G$2:G74,G74)&gt;1,SUMIF($A$2:A74,G74,$C$2:C74),C74))</f>
        <v/>
      </c>
      <c r="K74" s="45" t="str">
        <f>IF(G74="","",IF(COUNTIF($G$2:G74,G74)&gt;1,SUMIF($A$2:A74,G74,$D$2:D74),D74) +SUMIF($G$2:G74,G74,$M$2:M74))</f>
        <v/>
      </c>
      <c r="L74" s="45" t="str">
        <f t="shared" si="16"/>
        <v/>
      </c>
      <c r="M74" s="46" t="str">
        <f>IF(G74="","",IF(B74 = "BUY", 0,(E74-VLOOKUP(CONCATENATE(G74,(H74-1)),$I$2:L73,4,FALSE))*-C74))</f>
        <v/>
      </c>
    </row>
    <row r="75" spans="1:13" ht="15" thickBot="1" x14ac:dyDescent="0.35">
      <c r="A75" s="27" t="str">
        <f>IF('Australian Transaction'!A75= "","",'Australian Transaction'!A75)</f>
        <v/>
      </c>
      <c r="B75" s="28" t="str">
        <f>IF('Australian Transaction'!B75= "","",'Australian Transaction'!B75)</f>
        <v/>
      </c>
      <c r="C75" s="28" t="str">
        <f>IF('Australian Transaction'!C75= "","",IF(B75="BUY",'Australian Transaction'!C75,-'Australian Transaction'!C75))</f>
        <v/>
      </c>
      <c r="D75" s="28" t="str">
        <f>IF('Australian Transaction'!D75 = "","",IF($B75 = "BUY", 'Australian Transaction'!D75,-'Australian Transaction'!D75))</f>
        <v/>
      </c>
      <c r="E75" s="28" t="str">
        <f>IF('Australian Transaction'!E75= "","",'Australian Transaction'!E75)</f>
        <v/>
      </c>
      <c r="F75" s="23"/>
      <c r="G75" s="28" t="str">
        <f t="shared" si="14"/>
        <v/>
      </c>
      <c r="H75" s="28" t="str">
        <f>IF(A75="","",COUNTIF($G$2:G75,G75))</f>
        <v/>
      </c>
      <c r="I75" s="28" t="str">
        <f t="shared" si="15"/>
        <v/>
      </c>
      <c r="J75" s="28" t="str">
        <f>IF(G75="","",IF(COUNTIF($G$2:G75,G75)&gt;1,SUMIF($A$2:A75,G75,$C$2:C75),C75))</f>
        <v/>
      </c>
      <c r="K75" s="45" t="str">
        <f>IF(G75="","",IF(COUNTIF($G$2:G75,G75)&gt;1,SUMIF($A$2:A75,G75,$D$2:D75),D75) +SUMIF($G$2:G75,G75,$M$2:M75))</f>
        <v/>
      </c>
      <c r="L75" s="45" t="str">
        <f t="shared" si="16"/>
        <v/>
      </c>
      <c r="M75" s="46" t="str">
        <f>IF(G75="","",IF(B75 = "BUY", 0,(E75-VLOOKUP(CONCATENATE(G75,(H75-1)),$I$2:L74,4,FALSE))*-C75))</f>
        <v/>
      </c>
    </row>
    <row r="76" spans="1:13" ht="15" thickBot="1" x14ac:dyDescent="0.35">
      <c r="A76" s="27" t="str">
        <f>IF('Australian Transaction'!A76= "","",'Australian Transaction'!A76)</f>
        <v/>
      </c>
      <c r="B76" s="28" t="str">
        <f>IF('Australian Transaction'!B76= "","",'Australian Transaction'!B76)</f>
        <v/>
      </c>
      <c r="C76" s="28" t="str">
        <f>IF('Australian Transaction'!C76= "","",IF(B76="BUY",'Australian Transaction'!C76,-'Australian Transaction'!C76))</f>
        <v/>
      </c>
      <c r="D76" s="28" t="str">
        <f>IF('Australian Transaction'!D76 = "","",IF($B76 = "BUY", 'Australian Transaction'!D76,-'Australian Transaction'!D76))</f>
        <v/>
      </c>
      <c r="E76" s="28" t="str">
        <f>IF('Australian Transaction'!E76= "","",'Australian Transaction'!E76)</f>
        <v/>
      </c>
      <c r="F76" s="23"/>
      <c r="G76" s="28" t="str">
        <f t="shared" si="14"/>
        <v/>
      </c>
      <c r="H76" s="28" t="str">
        <f>IF(A76="","",COUNTIF($G$2:G76,G76))</f>
        <v/>
      </c>
      <c r="I76" s="28" t="str">
        <f t="shared" si="15"/>
        <v/>
      </c>
      <c r="J76" s="28" t="str">
        <f>IF(G76="","",IF(COUNTIF($G$2:G76,G76)&gt;1,SUMIF($A$2:A76,G76,$C$2:C76),C76))</f>
        <v/>
      </c>
      <c r="K76" s="45" t="str">
        <f>IF(G76="","",IF(COUNTIF($G$2:G76,G76)&gt;1,SUMIF($A$2:A76,G76,$D$2:D76),D76) +SUMIF($G$2:G76,G76,$M$2:M76))</f>
        <v/>
      </c>
      <c r="L76" s="45" t="str">
        <f t="shared" si="16"/>
        <v/>
      </c>
      <c r="M76" s="46" t="str">
        <f>IF(G76="","",IF(B76 = "BUY", 0,(E76-VLOOKUP(CONCATENATE(G76,(H76-1)),$I$2:L75,4,FALSE))*-C76))</f>
        <v/>
      </c>
    </row>
    <row r="77" spans="1:13" ht="15" thickBot="1" x14ac:dyDescent="0.35">
      <c r="A77" s="27" t="str">
        <f>IF('Australian Transaction'!A77= "","",'Australian Transaction'!A77)</f>
        <v/>
      </c>
      <c r="B77" s="28" t="str">
        <f>IF('Australian Transaction'!B77= "","",'Australian Transaction'!B77)</f>
        <v/>
      </c>
      <c r="C77" s="28" t="str">
        <f>IF('Australian Transaction'!C77= "","",IF(B77="BUY",'Australian Transaction'!C77,-'Australian Transaction'!C77))</f>
        <v/>
      </c>
      <c r="D77" s="28" t="str">
        <f>IF('Australian Transaction'!D77 = "","",IF($B77 = "BUY", 'Australian Transaction'!D77,-'Australian Transaction'!D77))</f>
        <v/>
      </c>
      <c r="E77" s="28" t="str">
        <f>IF('Australian Transaction'!E77= "","",'Australian Transaction'!E77)</f>
        <v/>
      </c>
      <c r="F77" s="23"/>
      <c r="G77" s="28" t="str">
        <f t="shared" si="14"/>
        <v/>
      </c>
      <c r="H77" s="28" t="str">
        <f>IF(A77="","",COUNTIF($G$2:G77,G77))</f>
        <v/>
      </c>
      <c r="I77" s="28" t="str">
        <f t="shared" si="15"/>
        <v/>
      </c>
      <c r="J77" s="28" t="str">
        <f>IF(G77="","",IF(COUNTIF($G$2:G77,G77)&gt;1,SUMIF($A$2:A77,G77,$C$2:C77),C77))</f>
        <v/>
      </c>
      <c r="K77" s="45" t="str">
        <f>IF(G77="","",IF(COUNTIF($G$2:G77,G77)&gt;1,SUMIF($A$2:A77,G77,$D$2:D77),D77) +SUMIF($G$2:G77,G77,$M$2:M77))</f>
        <v/>
      </c>
      <c r="L77" s="45" t="str">
        <f t="shared" si="16"/>
        <v/>
      </c>
      <c r="M77" s="46" t="str">
        <f>IF(G77="","",IF(B77 = "BUY", 0,(E77-VLOOKUP(CONCATENATE(G77,(H77-1)),$I$2:L76,4,FALSE))*-C77))</f>
        <v/>
      </c>
    </row>
    <row r="78" spans="1:13" ht="15" thickBot="1" x14ac:dyDescent="0.35">
      <c r="A78" s="27" t="str">
        <f>IF('Australian Transaction'!A78= "","",'Australian Transaction'!A78)</f>
        <v/>
      </c>
      <c r="B78" s="28" t="str">
        <f>IF('Australian Transaction'!B78= "","",'Australian Transaction'!B78)</f>
        <v/>
      </c>
      <c r="C78" s="28" t="str">
        <f>IF('Australian Transaction'!C78= "","",IF(B78="BUY",'Australian Transaction'!C78,-'Australian Transaction'!C78))</f>
        <v/>
      </c>
      <c r="D78" s="28" t="str">
        <f>IF('Australian Transaction'!D78 = "","",IF($B78 = "BUY", 'Australian Transaction'!D78,-'Australian Transaction'!D78))</f>
        <v/>
      </c>
      <c r="E78" s="28" t="str">
        <f>IF('Australian Transaction'!E78= "","",'Australian Transaction'!E78)</f>
        <v/>
      </c>
      <c r="F78" s="23"/>
      <c r="G78" s="28" t="str">
        <f t="shared" si="14"/>
        <v/>
      </c>
      <c r="H78" s="28" t="str">
        <f>IF(A78="","",COUNTIF($G$2:G78,G78))</f>
        <v/>
      </c>
      <c r="I78" s="28" t="str">
        <f t="shared" si="15"/>
        <v/>
      </c>
      <c r="J78" s="28" t="str">
        <f>IF(G78="","",IF(COUNTIF($G$2:G78,G78)&gt;1,SUMIF($A$2:A78,G78,$C$2:C78),C78))</f>
        <v/>
      </c>
      <c r="K78" s="45" t="str">
        <f>IF(G78="","",IF(COUNTIF($G$2:G78,G78)&gt;1,SUMIF($A$2:A78,G78,$D$2:D78),D78) +SUMIF($G$2:G78,G78,$M$2:M78))</f>
        <v/>
      </c>
      <c r="L78" s="45" t="str">
        <f t="shared" si="16"/>
        <v/>
      </c>
      <c r="M78" s="46" t="str">
        <f>IF(G78="","",IF(B78 = "BUY", 0,(E78-VLOOKUP(CONCATENATE(G78,(H78-1)),$I$2:L77,4,FALSE))*-C78))</f>
        <v/>
      </c>
    </row>
    <row r="79" spans="1:13" ht="15" thickBot="1" x14ac:dyDescent="0.35">
      <c r="A79" s="27" t="str">
        <f>IF('Australian Transaction'!A79= "","",'Australian Transaction'!A79)</f>
        <v/>
      </c>
      <c r="B79" s="28" t="str">
        <f>IF('Australian Transaction'!B79= "","",'Australian Transaction'!B79)</f>
        <v/>
      </c>
      <c r="C79" s="28" t="str">
        <f>IF('Australian Transaction'!C79= "","",IF(B79="BUY",'Australian Transaction'!C79,-'Australian Transaction'!C79))</f>
        <v/>
      </c>
      <c r="D79" s="28" t="str">
        <f>IF('Australian Transaction'!D79 = "","",IF($B79 = "BUY", 'Australian Transaction'!D79,-'Australian Transaction'!D79))</f>
        <v/>
      </c>
      <c r="E79" s="28" t="str">
        <f>IF('Australian Transaction'!E79= "","",'Australian Transaction'!E79)</f>
        <v/>
      </c>
      <c r="F79" s="23"/>
      <c r="G79" s="28" t="str">
        <f t="shared" si="14"/>
        <v/>
      </c>
      <c r="H79" s="28" t="str">
        <f>IF(A79="","",COUNTIF($G$2:G79,G79))</f>
        <v/>
      </c>
      <c r="I79" s="28" t="str">
        <f t="shared" si="15"/>
        <v/>
      </c>
      <c r="J79" s="28" t="str">
        <f>IF(G79="","",IF(COUNTIF($G$2:G79,G79)&gt;1,SUMIF($A$2:A79,G79,$C$2:C79),C79))</f>
        <v/>
      </c>
      <c r="K79" s="45" t="str">
        <f>IF(G79="","",IF(COUNTIF($G$2:G79,G79)&gt;1,SUMIF($A$2:A79,G79,$D$2:D79),D79) +SUMIF($G$2:G79,G79,$M$2:M79))</f>
        <v/>
      </c>
      <c r="L79" s="45" t="str">
        <f t="shared" si="16"/>
        <v/>
      </c>
      <c r="M79" s="46" t="str">
        <f>IF(G79="","",IF(B79 = "BUY", 0,(E79-VLOOKUP(CONCATENATE(G79,(H79-1)),$I$2:L78,4,FALSE))*-C79))</f>
        <v/>
      </c>
    </row>
    <row r="80" spans="1:13" ht="15" thickBot="1" x14ac:dyDescent="0.35">
      <c r="A80" s="27" t="str">
        <f>IF('Australian Transaction'!A80= "","",'Australian Transaction'!A80)</f>
        <v/>
      </c>
      <c r="B80" s="28" t="str">
        <f>IF('Australian Transaction'!B80= "","",'Australian Transaction'!B80)</f>
        <v/>
      </c>
      <c r="C80" s="28" t="str">
        <f>IF('Australian Transaction'!C80= "","",IF(B80="BUY",'Australian Transaction'!C80,-'Australian Transaction'!C80))</f>
        <v/>
      </c>
      <c r="D80" s="28" t="str">
        <f>IF('Australian Transaction'!D80 = "","",IF($B80 = "BUY", 'Australian Transaction'!D80,-'Australian Transaction'!D80))</f>
        <v/>
      </c>
      <c r="E80" s="28" t="str">
        <f>IF('Australian Transaction'!E80= "","",'Australian Transaction'!E80)</f>
        <v/>
      </c>
      <c r="F80" s="23"/>
      <c r="G80" s="28" t="str">
        <f t="shared" si="14"/>
        <v/>
      </c>
      <c r="H80" s="28" t="str">
        <f>IF(A80="","",COUNTIF($G$2:G80,G80))</f>
        <v/>
      </c>
      <c r="I80" s="28" t="str">
        <f t="shared" si="15"/>
        <v/>
      </c>
      <c r="J80" s="28" t="str">
        <f>IF(G80="","",IF(COUNTIF($G$2:G80,G80)&gt;1,SUMIF($A$2:A80,G80,$C$2:C80),C80))</f>
        <v/>
      </c>
      <c r="K80" s="45" t="str">
        <f>IF(G80="","",IF(COUNTIF($G$2:G80,G80)&gt;1,SUMIF($A$2:A80,G80,$D$2:D80),D80) +SUMIF($G$2:G80,G80,$M$2:M80))</f>
        <v/>
      </c>
      <c r="L80" s="45" t="str">
        <f t="shared" si="16"/>
        <v/>
      </c>
      <c r="M80" s="46" t="str">
        <f>IF(G80="","",IF(B80 = "BUY", 0,(E80-VLOOKUP(CONCATENATE(G80,(H80-1)),$I$2:L79,4,FALSE))*-C80))</f>
        <v/>
      </c>
    </row>
    <row r="81" spans="1:13" ht="15" thickBot="1" x14ac:dyDescent="0.35">
      <c r="A81" s="27" t="str">
        <f>IF('Australian Transaction'!A81= "","",'Australian Transaction'!A81)</f>
        <v/>
      </c>
      <c r="B81" s="28" t="str">
        <f>IF('Australian Transaction'!B81= "","",'Australian Transaction'!B81)</f>
        <v/>
      </c>
      <c r="C81" s="28" t="str">
        <f>IF('Australian Transaction'!C81= "","",IF(B81="BUY",'Australian Transaction'!C81,-'Australian Transaction'!C81))</f>
        <v/>
      </c>
      <c r="D81" s="28" t="str">
        <f>IF('Australian Transaction'!D81 = "","",IF($B81 = "BUY", 'Australian Transaction'!D81,-'Australian Transaction'!D81))</f>
        <v/>
      </c>
      <c r="E81" s="28" t="str">
        <f>IF('Australian Transaction'!E81= "","",'Australian Transaction'!E81)</f>
        <v/>
      </c>
      <c r="F81" s="23"/>
      <c r="G81" s="28" t="str">
        <f t="shared" si="14"/>
        <v/>
      </c>
      <c r="H81" s="28" t="str">
        <f>IF(A81="","",COUNTIF($G$2:G81,G81))</f>
        <v/>
      </c>
      <c r="I81" s="28" t="str">
        <f t="shared" si="15"/>
        <v/>
      </c>
      <c r="J81" s="28" t="str">
        <f>IF(G81="","",IF(COUNTIF($G$2:G81,G81)&gt;1,SUMIF($A$2:A81,G81,$C$2:C81),C81))</f>
        <v/>
      </c>
      <c r="K81" s="45" t="str">
        <f>IF(G81="","",IF(COUNTIF($G$2:G81,G81)&gt;1,SUMIF($A$2:A81,G81,$D$2:D81),D81) +SUMIF($G$2:G81,G81,$M$2:M81))</f>
        <v/>
      </c>
      <c r="L81" s="45" t="str">
        <f t="shared" si="16"/>
        <v/>
      </c>
      <c r="M81" s="46" t="str">
        <f>IF(G81="","",IF(B81 = "BUY", 0,(E81-VLOOKUP(CONCATENATE(G81,(H81-1)),$I$2:L80,4,FALSE))*-C81))</f>
        <v/>
      </c>
    </row>
    <row r="82" spans="1:13" ht="15" thickBot="1" x14ac:dyDescent="0.35">
      <c r="A82" s="27" t="str">
        <f>IF('Australian Transaction'!A82= "","",'Australian Transaction'!A82)</f>
        <v/>
      </c>
      <c r="B82" s="28" t="str">
        <f>IF('Australian Transaction'!B82= "","",'Australian Transaction'!B82)</f>
        <v/>
      </c>
      <c r="C82" s="28" t="str">
        <f>IF('Australian Transaction'!C82= "","",IF(B82="BUY",'Australian Transaction'!C82,-'Australian Transaction'!C82))</f>
        <v/>
      </c>
      <c r="D82" s="28" t="str">
        <f>IF('Australian Transaction'!D82 = "","",IF($B82 = "BUY", 'Australian Transaction'!D82,-'Australian Transaction'!D82))</f>
        <v/>
      </c>
      <c r="E82" s="28" t="str">
        <f>IF('Australian Transaction'!E82= "","",'Australian Transaction'!E82)</f>
        <v/>
      </c>
      <c r="F82" s="23"/>
      <c r="G82" s="28" t="str">
        <f t="shared" si="14"/>
        <v/>
      </c>
      <c r="H82" s="28" t="str">
        <f>IF(A82="","",COUNTIF($G$2:G82,G82))</f>
        <v/>
      </c>
      <c r="I82" s="28" t="str">
        <f t="shared" si="15"/>
        <v/>
      </c>
      <c r="J82" s="28" t="str">
        <f>IF(G82="","",IF(COUNTIF($G$2:G82,G82)&gt;1,SUMIF($A$2:A82,G82,$C$2:C82),C82))</f>
        <v/>
      </c>
      <c r="K82" s="45" t="str">
        <f>IF(G82="","",IF(COUNTIF($G$2:G82,G82)&gt;1,SUMIF($A$2:A82,G82,$D$2:D82),D82) +SUMIF($G$2:G82,G82,$M$2:M82))</f>
        <v/>
      </c>
      <c r="L82" s="45" t="str">
        <f t="shared" si="16"/>
        <v/>
      </c>
      <c r="M82" s="46" t="str">
        <f>IF(G82="","",IF(B82 = "BUY", 0,(E82-VLOOKUP(CONCATENATE(G82,(H82-1)),$I$2:L81,4,FALSE))*-C82))</f>
        <v/>
      </c>
    </row>
    <row r="83" spans="1:13" ht="15" thickBot="1" x14ac:dyDescent="0.35">
      <c r="A83" s="27" t="str">
        <f>IF('Australian Transaction'!A83= "","",'Australian Transaction'!A83)</f>
        <v/>
      </c>
      <c r="B83" s="28" t="str">
        <f>IF('Australian Transaction'!B83= "","",'Australian Transaction'!B83)</f>
        <v/>
      </c>
      <c r="C83" s="28" t="str">
        <f>IF('Australian Transaction'!C83= "","",IF(B83="BUY",'Australian Transaction'!C83,-'Australian Transaction'!C83))</f>
        <v/>
      </c>
      <c r="D83" s="28" t="str">
        <f>IF('Australian Transaction'!D83 = "","",IF($B83 = "BUY", 'Australian Transaction'!D83,-'Australian Transaction'!D83))</f>
        <v/>
      </c>
      <c r="E83" s="28" t="str">
        <f>IF('Australian Transaction'!E83= "","",'Australian Transaction'!E83)</f>
        <v/>
      </c>
      <c r="F83" s="23"/>
      <c r="G83" s="28" t="str">
        <f t="shared" si="14"/>
        <v/>
      </c>
      <c r="H83" s="28" t="str">
        <f>IF(A83="","",COUNTIF($G$2:G83,G83))</f>
        <v/>
      </c>
      <c r="I83" s="28" t="str">
        <f t="shared" si="15"/>
        <v/>
      </c>
      <c r="J83" s="28" t="str">
        <f>IF(G83="","",IF(COUNTIF($G$2:G83,G83)&gt;1,SUMIF($A$2:A83,G83,$C$2:C83),C83))</f>
        <v/>
      </c>
      <c r="K83" s="45" t="str">
        <f>IF(G83="","",IF(COUNTIF($G$2:G83,G83)&gt;1,SUMIF($A$2:A83,G83,$D$2:D83),D83) +SUMIF($G$2:G83,G83,$M$2:M83))</f>
        <v/>
      </c>
      <c r="L83" s="45" t="str">
        <f t="shared" si="16"/>
        <v/>
      </c>
      <c r="M83" s="46" t="str">
        <f>IF(G83="","",IF(B83 = "BUY", 0,(E83-VLOOKUP(CONCATENATE(G83,(H83-1)),$I$2:L82,4,FALSE))*-C83))</f>
        <v/>
      </c>
    </row>
    <row r="84" spans="1:13" ht="15" thickBot="1" x14ac:dyDescent="0.35">
      <c r="A84" s="27" t="str">
        <f>IF('Australian Transaction'!A84= "","",'Australian Transaction'!A84)</f>
        <v/>
      </c>
      <c r="B84" s="28" t="str">
        <f>IF('Australian Transaction'!B84= "","",'Australian Transaction'!B84)</f>
        <v/>
      </c>
      <c r="C84" s="28" t="str">
        <f>IF('Australian Transaction'!C84= "","",IF(B84="BUY",'Australian Transaction'!C84,-'Australian Transaction'!C84))</f>
        <v/>
      </c>
      <c r="D84" s="28" t="str">
        <f>IF('Australian Transaction'!D84 = "","",IF($B84 = "BUY", 'Australian Transaction'!D84,-'Australian Transaction'!D84))</f>
        <v/>
      </c>
      <c r="E84" s="28" t="str">
        <f>IF('Australian Transaction'!E84= "","",'Australian Transaction'!E84)</f>
        <v/>
      </c>
      <c r="F84" s="23"/>
      <c r="G84" s="28" t="str">
        <f t="shared" si="14"/>
        <v/>
      </c>
      <c r="H84" s="28" t="str">
        <f>IF(A84="","",COUNTIF($G$2:G84,G84))</f>
        <v/>
      </c>
      <c r="I84" s="28" t="str">
        <f t="shared" si="15"/>
        <v/>
      </c>
      <c r="J84" s="28" t="str">
        <f>IF(G84="","",IF(COUNTIF($G$2:G84,G84)&gt;1,SUMIF($A$2:A84,G84,$C$2:C84),C84))</f>
        <v/>
      </c>
      <c r="K84" s="45" t="str">
        <f>IF(G84="","",IF(COUNTIF($G$2:G84,G84)&gt;1,SUMIF($A$2:A84,G84,$D$2:D84),D84) +SUMIF($G$2:G84,G84,$M$2:M84))</f>
        <v/>
      </c>
      <c r="L84" s="45" t="str">
        <f t="shared" si="16"/>
        <v/>
      </c>
      <c r="M84" s="46" t="str">
        <f>IF(G84="","",IF(B84 = "BUY", 0,(E84-VLOOKUP(CONCATENATE(G84,(H84-1)),$I$2:L83,4,FALSE))*-C84))</f>
        <v/>
      </c>
    </row>
    <row r="85" spans="1:13" ht="15" thickBot="1" x14ac:dyDescent="0.35">
      <c r="A85" s="27" t="str">
        <f>IF('Australian Transaction'!A85= "","",'Australian Transaction'!A85)</f>
        <v/>
      </c>
      <c r="B85" s="28" t="str">
        <f>IF('Australian Transaction'!B85= "","",'Australian Transaction'!B85)</f>
        <v/>
      </c>
      <c r="C85" s="28" t="str">
        <f>IF('Australian Transaction'!C85= "","",IF(B85="BUY",'Australian Transaction'!C85,-'Australian Transaction'!C85))</f>
        <v/>
      </c>
      <c r="D85" s="28" t="str">
        <f>IF('Australian Transaction'!D85 = "","",IF($B85 = "BUY", 'Australian Transaction'!D85,-'Australian Transaction'!D85))</f>
        <v/>
      </c>
      <c r="E85" s="28" t="str">
        <f>IF('Australian Transaction'!E85= "","",'Australian Transaction'!E85)</f>
        <v/>
      </c>
      <c r="F85" s="23"/>
      <c r="G85" s="28" t="str">
        <f t="shared" si="14"/>
        <v/>
      </c>
      <c r="H85" s="28" t="str">
        <f>IF(A85="","",COUNTIF($G$2:G85,G85))</f>
        <v/>
      </c>
      <c r="I85" s="28" t="str">
        <f t="shared" si="15"/>
        <v/>
      </c>
      <c r="J85" s="28" t="str">
        <f>IF(G85="","",IF(COUNTIF($G$2:G85,G85)&gt;1,SUMIF($A$2:A85,G85,$C$2:C85),C85))</f>
        <v/>
      </c>
      <c r="K85" s="45" t="str">
        <f>IF(G85="","",IF(COUNTIF($G$2:G85,G85)&gt;1,SUMIF($A$2:A85,G85,$D$2:D85),D85) +SUMIF($G$2:G85,G85,$M$2:M85))</f>
        <v/>
      </c>
      <c r="L85" s="45" t="str">
        <f t="shared" si="16"/>
        <v/>
      </c>
      <c r="M85" s="46" t="str">
        <f>IF(G85="","",IF(B85 = "BUY", 0,(E85-VLOOKUP(CONCATENATE(G85,(H85-1)),$I$2:L84,4,FALSE))*-C85))</f>
        <v/>
      </c>
    </row>
    <row r="86" spans="1:13" ht="15" thickBot="1" x14ac:dyDescent="0.35">
      <c r="A86" s="27" t="str">
        <f>IF('Australian Transaction'!A86= "","",'Australian Transaction'!A86)</f>
        <v/>
      </c>
      <c r="B86" s="28" t="str">
        <f>IF('Australian Transaction'!B86= "","",'Australian Transaction'!B86)</f>
        <v/>
      </c>
      <c r="C86" s="28" t="str">
        <f>IF('Australian Transaction'!C86= "","",IF(B86="BUY",'Australian Transaction'!C86,-'Australian Transaction'!C86))</f>
        <v/>
      </c>
      <c r="D86" s="28" t="str">
        <f>IF('Australian Transaction'!D86 = "","",IF($B86 = "BUY", 'Australian Transaction'!D86,-'Australian Transaction'!D86))</f>
        <v/>
      </c>
      <c r="E86" s="28" t="str">
        <f>IF('Australian Transaction'!E86= "","",'Australian Transaction'!E86)</f>
        <v/>
      </c>
      <c r="F86" s="23"/>
      <c r="G86" s="28" t="str">
        <f t="shared" si="14"/>
        <v/>
      </c>
      <c r="H86" s="28" t="str">
        <f>IF(A86="","",COUNTIF($G$2:G86,G86))</f>
        <v/>
      </c>
      <c r="I86" s="28" t="str">
        <f t="shared" si="15"/>
        <v/>
      </c>
      <c r="J86" s="28" t="str">
        <f>IF(G86="","",IF(COUNTIF($G$2:G86,G86)&gt;1,SUMIF($A$2:A86,G86,$C$2:C86),C86))</f>
        <v/>
      </c>
      <c r="K86" s="45" t="str">
        <f>IF(G86="","",IF(COUNTIF($G$2:G86,G86)&gt;1,SUMIF($A$2:A86,G86,$D$2:D86),D86) +SUMIF($G$2:G86,G86,$M$2:M86))</f>
        <v/>
      </c>
      <c r="L86" s="45" t="str">
        <f t="shared" si="16"/>
        <v/>
      </c>
      <c r="M86" s="46" t="str">
        <f>IF(G86="","",IF(B86 = "BUY", 0,(E86-VLOOKUP(CONCATENATE(G86,(H86-1)),$I$2:L85,4,FALSE))*-C86))</f>
        <v/>
      </c>
    </row>
    <row r="87" spans="1:13" ht="15" thickBot="1" x14ac:dyDescent="0.35">
      <c r="A87" s="27" t="str">
        <f>IF('Australian Transaction'!A87= "","",'Australian Transaction'!A87)</f>
        <v/>
      </c>
      <c r="B87" s="28" t="str">
        <f>IF('Australian Transaction'!B87= "","",'Australian Transaction'!B87)</f>
        <v/>
      </c>
      <c r="C87" s="28" t="str">
        <f>IF('Australian Transaction'!C87= "","",IF(B87="BUY",'Australian Transaction'!C87,-'Australian Transaction'!C87))</f>
        <v/>
      </c>
      <c r="D87" s="28" t="str">
        <f>IF('Australian Transaction'!D87 = "","",IF($B87 = "BUY", 'Australian Transaction'!D87,-'Australian Transaction'!D87))</f>
        <v/>
      </c>
      <c r="E87" s="28" t="str">
        <f>IF('Australian Transaction'!E87= "","",'Australian Transaction'!E87)</f>
        <v/>
      </c>
      <c r="F87" s="23"/>
      <c r="G87" s="28" t="str">
        <f t="shared" si="14"/>
        <v/>
      </c>
      <c r="H87" s="28" t="str">
        <f>IF(A87="","",COUNTIF($G$2:G87,G87))</f>
        <v/>
      </c>
      <c r="I87" s="28" t="str">
        <f t="shared" si="15"/>
        <v/>
      </c>
      <c r="J87" s="28" t="str">
        <f>IF(G87="","",IF(COUNTIF($G$2:G87,G87)&gt;1,SUMIF($A$2:A87,G87,$C$2:C87),C87))</f>
        <v/>
      </c>
      <c r="K87" s="45" t="str">
        <f>IF(G87="","",IF(COUNTIF($G$2:G87,G87)&gt;1,SUMIF($A$2:A87,G87,$D$2:D87),D87) +SUMIF($G$2:G87,G87,$M$2:M87))</f>
        <v/>
      </c>
      <c r="L87" s="45" t="str">
        <f t="shared" si="16"/>
        <v/>
      </c>
      <c r="M87" s="46" t="str">
        <f>IF(G87="","",IF(B87 = "BUY", 0,(E87-VLOOKUP(CONCATENATE(G87,(H87-1)),$I$2:L86,4,FALSE))*-C87))</f>
        <v/>
      </c>
    </row>
    <row r="88" spans="1:13" ht="15" thickBot="1" x14ac:dyDescent="0.35">
      <c r="A88" s="27" t="str">
        <f>IF('Australian Transaction'!A88= "","",'Australian Transaction'!A88)</f>
        <v/>
      </c>
      <c r="B88" s="28" t="str">
        <f>IF('Australian Transaction'!B88= "","",'Australian Transaction'!B88)</f>
        <v/>
      </c>
      <c r="C88" s="28" t="str">
        <f>IF('Australian Transaction'!C88= "","",IF(B88="BUY",'Australian Transaction'!C88,-'Australian Transaction'!C88))</f>
        <v/>
      </c>
      <c r="D88" s="28" t="str">
        <f>IF('Australian Transaction'!D88 = "","",IF($B88 = "BUY", 'Australian Transaction'!D88,-'Australian Transaction'!D88))</f>
        <v/>
      </c>
      <c r="E88" s="28" t="str">
        <f>IF('Australian Transaction'!E88= "","",'Australian Transaction'!E88)</f>
        <v/>
      </c>
      <c r="F88" s="23"/>
      <c r="G88" s="28" t="str">
        <f t="shared" si="14"/>
        <v/>
      </c>
      <c r="H88" s="28" t="str">
        <f>IF(A88="","",COUNTIF($G$2:G88,G88))</f>
        <v/>
      </c>
      <c r="I88" s="28" t="str">
        <f t="shared" si="15"/>
        <v/>
      </c>
      <c r="J88" s="28" t="str">
        <f>IF(G88="","",IF(COUNTIF($G$2:G88,G88)&gt;1,SUMIF($A$2:A88,G88,$C$2:C88),C88))</f>
        <v/>
      </c>
      <c r="K88" s="45" t="str">
        <f>IF(G88="","",IF(COUNTIF($G$2:G88,G88)&gt;1,SUMIF($A$2:A88,G88,$D$2:D88),D88) +SUMIF($G$2:G88,G88,$M$2:M88))</f>
        <v/>
      </c>
      <c r="L88" s="45" t="str">
        <f t="shared" si="16"/>
        <v/>
      </c>
      <c r="M88" s="46" t="str">
        <f>IF(G88="","",IF(B88 = "BUY", 0,(E88-VLOOKUP(CONCATENATE(G88,(H88-1)),$I$2:L87,4,FALSE))*-C88))</f>
        <v/>
      </c>
    </row>
    <row r="89" spans="1:13" ht="15" thickBot="1" x14ac:dyDescent="0.35">
      <c r="A89" s="27" t="str">
        <f>IF('Australian Transaction'!A89= "","",'Australian Transaction'!A89)</f>
        <v/>
      </c>
      <c r="B89" s="28" t="str">
        <f>IF('Australian Transaction'!B89= "","",'Australian Transaction'!B89)</f>
        <v/>
      </c>
      <c r="C89" s="28" t="str">
        <f>IF('Australian Transaction'!C89= "","",IF(B89="BUY",'Australian Transaction'!C89,-'Australian Transaction'!C89))</f>
        <v/>
      </c>
      <c r="D89" s="28" t="str">
        <f>IF('Australian Transaction'!D89 = "","",IF($B89 = "BUY", 'Australian Transaction'!D89,-'Australian Transaction'!D89))</f>
        <v/>
      </c>
      <c r="E89" s="28" t="str">
        <f>IF('Australian Transaction'!E89= "","",'Australian Transaction'!E89)</f>
        <v/>
      </c>
      <c r="F89" s="23"/>
      <c r="G89" s="28" t="str">
        <f t="shared" si="14"/>
        <v/>
      </c>
      <c r="H89" s="28" t="str">
        <f>IF(A89="","",COUNTIF($G$2:G89,G89))</f>
        <v/>
      </c>
      <c r="I89" s="28" t="str">
        <f t="shared" si="15"/>
        <v/>
      </c>
      <c r="J89" s="28" t="str">
        <f>IF(G89="","",IF(COUNTIF($G$2:G89,G89)&gt;1,SUMIF($A$2:A89,G89,$C$2:C89),C89))</f>
        <v/>
      </c>
      <c r="K89" s="45" t="str">
        <f>IF(G89="","",IF(COUNTIF($G$2:G89,G89)&gt;1,SUMIF($A$2:A89,G89,$D$2:D89),D89) +SUMIF($G$2:G89,G89,$M$2:M89))</f>
        <v/>
      </c>
      <c r="L89" s="45" t="str">
        <f t="shared" si="16"/>
        <v/>
      </c>
      <c r="M89" s="46" t="str">
        <f>IF(G89="","",IF(B89 = "BUY", 0,(E89-VLOOKUP(CONCATENATE(G89,(H89-1)),$I$2:L88,4,FALSE))*-C89))</f>
        <v/>
      </c>
    </row>
    <row r="90" spans="1:13" ht="15" thickBot="1" x14ac:dyDescent="0.35">
      <c r="A90" s="27" t="str">
        <f>IF('Australian Transaction'!A90= "","",'Australian Transaction'!A90)</f>
        <v/>
      </c>
      <c r="B90" s="28" t="str">
        <f>IF('Australian Transaction'!B90= "","",'Australian Transaction'!B90)</f>
        <v/>
      </c>
      <c r="C90" s="28" t="str">
        <f>IF('Australian Transaction'!C90= "","",IF(B90="BUY",'Australian Transaction'!C90,-'Australian Transaction'!C90))</f>
        <v/>
      </c>
      <c r="D90" s="28" t="str">
        <f>IF('Australian Transaction'!D90 = "","",IF($B90 = "BUY", 'Australian Transaction'!D90,-'Australian Transaction'!D90))</f>
        <v/>
      </c>
      <c r="E90" s="28" t="str">
        <f>IF('Australian Transaction'!E90= "","",'Australian Transaction'!E90)</f>
        <v/>
      </c>
      <c r="F90" s="23"/>
      <c r="G90" s="28" t="str">
        <f t="shared" si="14"/>
        <v/>
      </c>
      <c r="H90" s="28" t="str">
        <f>IF(A90="","",COUNTIF($G$2:G90,G90))</f>
        <v/>
      </c>
      <c r="I90" s="28" t="str">
        <f t="shared" si="15"/>
        <v/>
      </c>
      <c r="J90" s="28" t="str">
        <f>IF(G90="","",IF(COUNTIF($G$2:G90,G90)&gt;1,SUMIF($A$2:A90,G90,$C$2:C90),C90))</f>
        <v/>
      </c>
      <c r="K90" s="45" t="str">
        <f>IF(G90="","",IF(COUNTIF($G$2:G90,G90)&gt;1,SUMIF($A$2:A90,G90,$D$2:D90),D90) +SUMIF($G$2:G90,G90,$M$2:M90))</f>
        <v/>
      </c>
      <c r="L90" s="45" t="str">
        <f t="shared" si="16"/>
        <v/>
      </c>
      <c r="M90" s="46" t="str">
        <f>IF(G90="","",IF(B90 = "BUY", 0,(E90-VLOOKUP(CONCATENATE(G90,(H90-1)),$I$2:L89,4,FALSE))*-C90))</f>
        <v/>
      </c>
    </row>
    <row r="91" spans="1:13" ht="15" thickBot="1" x14ac:dyDescent="0.35">
      <c r="A91" s="27" t="str">
        <f>IF('Australian Transaction'!A91= "","",'Australian Transaction'!A91)</f>
        <v/>
      </c>
      <c r="B91" s="28" t="str">
        <f>IF('Australian Transaction'!B91= "","",'Australian Transaction'!B91)</f>
        <v/>
      </c>
      <c r="C91" s="28" t="str">
        <f>IF('Australian Transaction'!C91= "","",IF(B91="BUY",'Australian Transaction'!C91,-'Australian Transaction'!C91))</f>
        <v/>
      </c>
      <c r="D91" s="28" t="str">
        <f>IF('Australian Transaction'!D91 = "","",IF($B91 = "BUY", 'Australian Transaction'!D91,-'Australian Transaction'!D91))</f>
        <v/>
      </c>
      <c r="E91" s="28" t="str">
        <f>IF('Australian Transaction'!E91= "","",'Australian Transaction'!E91)</f>
        <v/>
      </c>
      <c r="F91" s="23"/>
      <c r="G91" s="28" t="str">
        <f t="shared" si="14"/>
        <v/>
      </c>
      <c r="H91" s="28" t="str">
        <f>IF(A91="","",COUNTIF($G$2:G91,G91))</f>
        <v/>
      </c>
      <c r="I91" s="28" t="str">
        <f t="shared" si="15"/>
        <v/>
      </c>
      <c r="J91" s="28" t="str">
        <f>IF(G91="","",IF(COUNTIF($G$2:G91,G91)&gt;1,SUMIF($A$2:A91,G91,$C$2:C91),C91))</f>
        <v/>
      </c>
      <c r="K91" s="45" t="str">
        <f>IF(G91="","",IF(COUNTIF($G$2:G91,G91)&gt;1,SUMIF($A$2:A91,G91,$D$2:D91),D91) +SUMIF($G$2:G91,G91,$M$2:M91))</f>
        <v/>
      </c>
      <c r="L91" s="45" t="str">
        <f t="shared" si="16"/>
        <v/>
      </c>
      <c r="M91" s="46" t="str">
        <f>IF(G91="","",IF(B91 = "BUY", 0,(E91-VLOOKUP(CONCATENATE(G91,(H91-1)),$I$2:L90,4,FALSE))*-C91))</f>
        <v/>
      </c>
    </row>
    <row r="92" spans="1:13" ht="15" thickBot="1" x14ac:dyDescent="0.35">
      <c r="A92" s="27" t="str">
        <f>IF('Australian Transaction'!A92= "","",'Australian Transaction'!A92)</f>
        <v/>
      </c>
      <c r="B92" s="28" t="str">
        <f>IF('Australian Transaction'!B92= "","",'Australian Transaction'!B92)</f>
        <v/>
      </c>
      <c r="C92" s="28" t="str">
        <f>IF('Australian Transaction'!C92= "","",IF(B92="BUY",'Australian Transaction'!C92,-'Australian Transaction'!C92))</f>
        <v/>
      </c>
      <c r="D92" s="28" t="str">
        <f>IF('Australian Transaction'!D92 = "","",IF($B92 = "BUY", 'Australian Transaction'!D92,-'Australian Transaction'!D92))</f>
        <v/>
      </c>
      <c r="E92" s="28" t="str">
        <f>IF('Australian Transaction'!E92= "","",'Australian Transaction'!E92)</f>
        <v/>
      </c>
      <c r="F92" s="23"/>
      <c r="G92" s="28" t="str">
        <f t="shared" si="14"/>
        <v/>
      </c>
      <c r="H92" s="28" t="str">
        <f>IF(A92="","",COUNTIF($G$2:G92,G92))</f>
        <v/>
      </c>
      <c r="I92" s="28" t="str">
        <f t="shared" si="15"/>
        <v/>
      </c>
      <c r="J92" s="28" t="str">
        <f>IF(G92="","",IF(COUNTIF($G$2:G92,G92)&gt;1,SUMIF($A$2:A92,G92,$C$2:C92),C92))</f>
        <v/>
      </c>
      <c r="K92" s="45" t="str">
        <f>IF(G92="","",IF(COUNTIF($G$2:G92,G92)&gt;1,SUMIF($A$2:A92,G92,$D$2:D92),D92) +SUMIF($G$2:G92,G92,$M$2:M92))</f>
        <v/>
      </c>
      <c r="L92" s="45" t="str">
        <f t="shared" si="16"/>
        <v/>
      </c>
      <c r="M92" s="46" t="str">
        <f>IF(G92="","",IF(B92 = "BUY", 0,(E92-VLOOKUP(CONCATENATE(G92,(H92-1)),$I$2:L91,4,FALSE))*-C92))</f>
        <v/>
      </c>
    </row>
    <row r="93" spans="1:13" ht="15" thickBot="1" x14ac:dyDescent="0.35">
      <c r="A93" s="27" t="str">
        <f>IF('Australian Transaction'!A93= "","",'Australian Transaction'!A93)</f>
        <v/>
      </c>
      <c r="B93" s="28" t="str">
        <f>IF('Australian Transaction'!B93= "","",'Australian Transaction'!B93)</f>
        <v/>
      </c>
      <c r="C93" s="28" t="str">
        <f>IF('Australian Transaction'!C93= "","",IF(B93="BUY",'Australian Transaction'!C93,-'Australian Transaction'!C93))</f>
        <v/>
      </c>
      <c r="D93" s="28" t="str">
        <f>IF('Australian Transaction'!D93 = "","",IF($B93 = "BUY", 'Australian Transaction'!D93,-'Australian Transaction'!D93))</f>
        <v/>
      </c>
      <c r="E93" s="28" t="str">
        <f>IF('Australian Transaction'!E93= "","",'Australian Transaction'!E93)</f>
        <v/>
      </c>
      <c r="F93" s="23"/>
      <c r="G93" s="28" t="str">
        <f t="shared" si="14"/>
        <v/>
      </c>
      <c r="H93" s="28" t="str">
        <f>IF(A93="","",COUNTIF($G$2:G93,G93))</f>
        <v/>
      </c>
      <c r="I93" s="28" t="str">
        <f t="shared" si="15"/>
        <v/>
      </c>
      <c r="J93" s="28" t="str">
        <f>IF(G93="","",IF(COUNTIF($G$2:G93,G93)&gt;1,SUMIF($A$2:A93,G93,$C$2:C93),C93))</f>
        <v/>
      </c>
      <c r="K93" s="45" t="str">
        <f>IF(G93="","",IF(COUNTIF($G$2:G93,G93)&gt;1,SUMIF($A$2:A93,G93,$D$2:D93),D93) +SUMIF($G$2:G93,G93,$M$2:M93))</f>
        <v/>
      </c>
      <c r="L93" s="45" t="str">
        <f t="shared" si="16"/>
        <v/>
      </c>
      <c r="M93" s="46" t="str">
        <f>IF(G93="","",IF(B93 = "BUY", 0,(E93-VLOOKUP(CONCATENATE(G93,(H93-1)),$I$2:L92,4,FALSE))*-C93))</f>
        <v/>
      </c>
    </row>
    <row r="94" spans="1:13" ht="15" thickBot="1" x14ac:dyDescent="0.35">
      <c r="A94" s="27" t="str">
        <f>IF('Australian Transaction'!A94= "","",'Australian Transaction'!A94)</f>
        <v/>
      </c>
      <c r="B94" s="28" t="str">
        <f>IF('Australian Transaction'!B94= "","",'Australian Transaction'!B94)</f>
        <v/>
      </c>
      <c r="C94" s="28" t="str">
        <f>IF('Australian Transaction'!C94= "","",IF(B94="BUY",'Australian Transaction'!C94,-'Australian Transaction'!C94))</f>
        <v/>
      </c>
      <c r="D94" s="28" t="str">
        <f>IF('Australian Transaction'!D94 = "","",IF($B94 = "BUY", 'Australian Transaction'!D94,-'Australian Transaction'!D94))</f>
        <v/>
      </c>
      <c r="E94" s="28" t="str">
        <f>IF('Australian Transaction'!E94= "","",'Australian Transaction'!E94)</f>
        <v/>
      </c>
      <c r="F94" s="23"/>
      <c r="G94" s="28" t="str">
        <f t="shared" si="14"/>
        <v/>
      </c>
      <c r="H94" s="28" t="str">
        <f>IF(A94="","",COUNTIF($G$2:G94,G94))</f>
        <v/>
      </c>
      <c r="I94" s="28" t="str">
        <f t="shared" si="15"/>
        <v/>
      </c>
      <c r="J94" s="28" t="str">
        <f>IF(G94="","",IF(COUNTIF($G$2:G94,G94)&gt;1,SUMIF($A$2:A94,G94,$C$2:C94),C94))</f>
        <v/>
      </c>
      <c r="K94" s="45" t="str">
        <f>IF(G94="","",IF(COUNTIF($G$2:G94,G94)&gt;1,SUMIF($A$2:A94,G94,$D$2:D94),D94) +SUMIF($G$2:G94,G94,$M$2:M94))</f>
        <v/>
      </c>
      <c r="L94" s="45" t="str">
        <f t="shared" si="16"/>
        <v/>
      </c>
      <c r="M94" s="46" t="str">
        <f>IF(G94="","",IF(B94 = "BUY", 0,(E94-VLOOKUP(CONCATENATE(G94,(H94-1)),$I$2:L93,4,FALSE))*-C94))</f>
        <v/>
      </c>
    </row>
    <row r="95" spans="1:13" ht="15" thickBot="1" x14ac:dyDescent="0.35">
      <c r="A95" s="27" t="str">
        <f>IF('Australian Transaction'!A95= "","",'Australian Transaction'!A95)</f>
        <v/>
      </c>
      <c r="B95" s="28" t="str">
        <f>IF('Australian Transaction'!B95= "","",'Australian Transaction'!B95)</f>
        <v/>
      </c>
      <c r="C95" s="28" t="str">
        <f>IF('Australian Transaction'!C95= "","",IF(B95="BUY",'Australian Transaction'!C95,-'Australian Transaction'!C95))</f>
        <v/>
      </c>
      <c r="D95" s="28" t="str">
        <f>IF('Australian Transaction'!D95 = "","",IF($B95 = "BUY", 'Australian Transaction'!D95,-'Australian Transaction'!D95))</f>
        <v/>
      </c>
      <c r="E95" s="28" t="str">
        <f>IF('Australian Transaction'!E95= "","",'Australian Transaction'!E95)</f>
        <v/>
      </c>
      <c r="F95" s="23"/>
      <c r="G95" s="28" t="str">
        <f t="shared" si="14"/>
        <v/>
      </c>
      <c r="H95" s="28" t="str">
        <f>IF(A95="","",COUNTIF($G$2:G95,G95))</f>
        <v/>
      </c>
      <c r="I95" s="28" t="str">
        <f t="shared" si="15"/>
        <v/>
      </c>
      <c r="J95" s="28" t="str">
        <f>IF(G95="","",IF(COUNTIF($G$2:G95,G95)&gt;1,SUMIF($A$2:A95,G95,$C$2:C95),C95))</f>
        <v/>
      </c>
      <c r="K95" s="45" t="str">
        <f>IF(G95="","",IF(COUNTIF($G$2:G95,G95)&gt;1,SUMIF($A$2:A95,G95,$D$2:D95),D95) +SUMIF($G$2:G95,G95,$M$2:M95))</f>
        <v/>
      </c>
      <c r="L95" s="45" t="str">
        <f t="shared" si="16"/>
        <v/>
      </c>
      <c r="M95" s="46" t="str">
        <f>IF(G95="","",IF(B95 = "BUY", 0,(E95-VLOOKUP(CONCATENATE(G95,(H95-1)),$I$2:L94,4,FALSE))*-C95))</f>
        <v/>
      </c>
    </row>
    <row r="96" spans="1:13" ht="15" thickBot="1" x14ac:dyDescent="0.35">
      <c r="A96" s="27" t="str">
        <f>IF('Australian Transaction'!A96= "","",'Australian Transaction'!A96)</f>
        <v/>
      </c>
      <c r="B96" s="28" t="str">
        <f>IF('Australian Transaction'!B96= "","",'Australian Transaction'!B96)</f>
        <v/>
      </c>
      <c r="C96" s="28" t="str">
        <f>IF('Australian Transaction'!C96= "","",IF(B96="BUY",'Australian Transaction'!C96,-'Australian Transaction'!C96))</f>
        <v/>
      </c>
      <c r="D96" s="28" t="str">
        <f>IF('Australian Transaction'!D96 = "","",IF($B96 = "BUY", 'Australian Transaction'!D96,-'Australian Transaction'!D96))</f>
        <v/>
      </c>
      <c r="E96" s="28" t="str">
        <f>IF('Australian Transaction'!E96= "","",'Australian Transaction'!E96)</f>
        <v/>
      </c>
      <c r="F96" s="23"/>
      <c r="G96" s="28" t="str">
        <f t="shared" si="14"/>
        <v/>
      </c>
      <c r="H96" s="28" t="str">
        <f>IF(A96="","",COUNTIF($G$2:G96,G96))</f>
        <v/>
      </c>
      <c r="I96" s="28" t="str">
        <f t="shared" si="15"/>
        <v/>
      </c>
      <c r="J96" s="28" t="str">
        <f>IF(G96="","",IF(COUNTIF($G$2:G96,G96)&gt;1,SUMIF($A$2:A96,G96,$C$2:C96),C96))</f>
        <v/>
      </c>
      <c r="K96" s="45" t="str">
        <f>IF(G96="","",IF(COUNTIF($G$2:G96,G96)&gt;1,SUMIF($A$2:A96,G96,$D$2:D96),D96) +SUMIF($G$2:G96,G96,$M$2:M96))</f>
        <v/>
      </c>
      <c r="L96" s="45" t="str">
        <f t="shared" si="16"/>
        <v/>
      </c>
      <c r="M96" s="46" t="str">
        <f>IF(G96="","",IF(B96 = "BUY", 0,(E96-VLOOKUP(CONCATENATE(G96,(H96-1)),$I$2:L95,4,FALSE))*-C96))</f>
        <v/>
      </c>
    </row>
    <row r="97" spans="1:13" ht="15" thickBot="1" x14ac:dyDescent="0.35">
      <c r="A97" s="27" t="str">
        <f>IF('Australian Transaction'!A97= "","",'Australian Transaction'!A97)</f>
        <v/>
      </c>
      <c r="B97" s="28" t="str">
        <f>IF('Australian Transaction'!B97= "","",'Australian Transaction'!B97)</f>
        <v/>
      </c>
      <c r="C97" s="28" t="str">
        <f>IF('Australian Transaction'!C97= "","",IF(B97="BUY",'Australian Transaction'!C97,-'Australian Transaction'!C97))</f>
        <v/>
      </c>
      <c r="D97" s="28" t="str">
        <f>IF('Australian Transaction'!D97 = "","",IF($B97 = "BUY", 'Australian Transaction'!D97,-'Australian Transaction'!D97))</f>
        <v/>
      </c>
      <c r="E97" s="28" t="str">
        <f>IF('Australian Transaction'!E97= "","",'Australian Transaction'!E97)</f>
        <v/>
      </c>
      <c r="F97" s="23"/>
      <c r="G97" s="28" t="str">
        <f t="shared" si="14"/>
        <v/>
      </c>
      <c r="H97" s="28" t="str">
        <f>IF(A97="","",COUNTIF($G$2:G97,G97))</f>
        <v/>
      </c>
      <c r="I97" s="28" t="str">
        <f t="shared" si="15"/>
        <v/>
      </c>
      <c r="J97" s="28" t="str">
        <f>IF(G97="","",IF(COUNTIF($G$2:G97,G97)&gt;1,SUMIF($A$2:A97,G97,$C$2:C97),C97))</f>
        <v/>
      </c>
      <c r="K97" s="45" t="str">
        <f>IF(G97="","",IF(COUNTIF($G$2:G97,G97)&gt;1,SUMIF($A$2:A97,G97,$D$2:D97),D97) +SUMIF($G$2:G97,G97,$M$2:M97))</f>
        <v/>
      </c>
      <c r="L97" s="45" t="str">
        <f t="shared" si="16"/>
        <v/>
      </c>
      <c r="M97" s="46" t="str">
        <f>IF(G97="","",IF(B97 = "BUY", 0,(E97-VLOOKUP(CONCATENATE(G97,(H97-1)),$I$2:L96,4,FALSE))*-C97))</f>
        <v/>
      </c>
    </row>
    <row r="98" spans="1:13" ht="15" thickBot="1" x14ac:dyDescent="0.35">
      <c r="A98" s="27" t="str">
        <f>IF('Australian Transaction'!A98= "","",'Australian Transaction'!A98)</f>
        <v/>
      </c>
      <c r="B98" s="28" t="str">
        <f>IF('Australian Transaction'!B98= "","",'Australian Transaction'!B98)</f>
        <v/>
      </c>
      <c r="C98" s="28" t="str">
        <f>IF('Australian Transaction'!C98= "","",IF(B98="BUY",'Australian Transaction'!C98,-'Australian Transaction'!C98))</f>
        <v/>
      </c>
      <c r="D98" s="28" t="str">
        <f>IF('Australian Transaction'!D98 = "","",IF($B98 = "BUY", 'Australian Transaction'!D98,-'Australian Transaction'!D98))</f>
        <v/>
      </c>
      <c r="E98" s="28" t="str">
        <f>IF('Australian Transaction'!E98= "","",'Australian Transaction'!E98)</f>
        <v/>
      </c>
      <c r="F98" s="23"/>
      <c r="G98" s="28" t="str">
        <f t="shared" si="14"/>
        <v/>
      </c>
      <c r="H98" s="28" t="str">
        <f>IF(A98="","",COUNTIF($G$2:G98,G98))</f>
        <v/>
      </c>
      <c r="I98" s="28" t="str">
        <f t="shared" si="15"/>
        <v/>
      </c>
      <c r="J98" s="28" t="str">
        <f>IF(G98="","",IF(COUNTIF($G$2:G98,G98)&gt;1,SUMIF($A$2:A98,G98,$C$2:C98),C98))</f>
        <v/>
      </c>
      <c r="K98" s="45" t="str">
        <f>IF(G98="","",IF(COUNTIF($G$2:G98,G98)&gt;1,SUMIF($A$2:A98,G98,$D$2:D98),D98) +SUMIF($G$2:G98,G98,$M$2:M98))</f>
        <v/>
      </c>
      <c r="L98" s="45" t="str">
        <f t="shared" si="16"/>
        <v/>
      </c>
      <c r="M98" s="46" t="str">
        <f>IF(G98="","",IF(B98 = "BUY", 0,(E98-VLOOKUP(CONCATENATE(G98,(H98-1)),$I$2:L97,4,FALSE))*-C98))</f>
        <v/>
      </c>
    </row>
    <row r="99" spans="1:13" ht="15" thickBot="1" x14ac:dyDescent="0.35">
      <c r="A99" s="27" t="str">
        <f>IF('Australian Transaction'!A99= "","",'Australian Transaction'!A99)</f>
        <v/>
      </c>
      <c r="B99" s="28" t="str">
        <f>IF('Australian Transaction'!B99= "","",'Australian Transaction'!B99)</f>
        <v/>
      </c>
      <c r="C99" s="28" t="str">
        <f>IF('Australian Transaction'!C99= "","",IF(B99="BUY",'Australian Transaction'!C99,-'Australian Transaction'!C99))</f>
        <v/>
      </c>
      <c r="D99" s="28" t="str">
        <f>IF('Australian Transaction'!D99 = "","",IF($B99 = "BUY", 'Australian Transaction'!D99,-'Australian Transaction'!D99))</f>
        <v/>
      </c>
      <c r="E99" s="28" t="str">
        <f>IF('Australian Transaction'!E99= "","",'Australian Transaction'!E99)</f>
        <v/>
      </c>
      <c r="F99" s="23"/>
      <c r="G99" s="28" t="str">
        <f t="shared" si="14"/>
        <v/>
      </c>
      <c r="H99" s="28" t="str">
        <f>IF(A99="","",COUNTIF($G$2:G99,G99))</f>
        <v/>
      </c>
      <c r="I99" s="28" t="str">
        <f t="shared" si="15"/>
        <v/>
      </c>
      <c r="J99" s="28" t="str">
        <f>IF(G99="","",IF(COUNTIF($G$2:G99,G99)&gt;1,SUMIF($A$2:A99,G99,$C$2:C99),C99))</f>
        <v/>
      </c>
      <c r="K99" s="45" t="str">
        <f>IF(G99="","",IF(COUNTIF($G$2:G99,G99)&gt;1,SUMIF($A$2:A99,G99,$D$2:D99),D99) +SUMIF($G$2:G99,G99,$M$2:M99))</f>
        <v/>
      </c>
      <c r="L99" s="45" t="str">
        <f t="shared" si="16"/>
        <v/>
      </c>
      <c r="M99" s="46" t="str">
        <f>IF(G99="","",IF(B99 = "BUY", 0,(E99-VLOOKUP(CONCATENATE(G99,(H99-1)),$I$2:L98,4,FALSE))*-C99))</f>
        <v/>
      </c>
    </row>
    <row r="100" spans="1:13" ht="15" thickBot="1" x14ac:dyDescent="0.35">
      <c r="A100" s="27" t="str">
        <f>IF('Australian Transaction'!A100= "","",'Australian Transaction'!A100)</f>
        <v/>
      </c>
      <c r="B100" s="28" t="str">
        <f>IF('Australian Transaction'!B100= "","",'Australian Transaction'!B100)</f>
        <v/>
      </c>
      <c r="C100" s="28" t="str">
        <f>IF('Australian Transaction'!C100= "","",IF(B100="BUY",'Australian Transaction'!C100,-'Australian Transaction'!C100))</f>
        <v/>
      </c>
      <c r="D100" s="28" t="str">
        <f>IF('Australian Transaction'!D100 = "","",IF($B100 = "BUY", 'Australian Transaction'!D100,-'Australian Transaction'!D100))</f>
        <v/>
      </c>
      <c r="E100" s="28" t="str">
        <f>IF('Australian Transaction'!E100= "","",'Australian Transaction'!E100)</f>
        <v/>
      </c>
      <c r="F100" s="23"/>
      <c r="G100" s="28" t="str">
        <f t="shared" si="14"/>
        <v/>
      </c>
      <c r="H100" s="28" t="str">
        <f>IF(A100="","",COUNTIF($G$2:G100,G100))</f>
        <v/>
      </c>
      <c r="I100" s="28" t="str">
        <f t="shared" si="15"/>
        <v/>
      </c>
      <c r="J100" s="28" t="str">
        <f>IF(G100="","",IF(COUNTIF($G$2:G100,G100)&gt;1,SUMIF($A$2:A100,G100,$C$2:C100),C100))</f>
        <v/>
      </c>
      <c r="K100" s="45" t="str">
        <f>IF(G100="","",IF(COUNTIF($G$2:G100,G100)&gt;1,SUMIF($A$2:A100,G100,$D$2:D100),D100) +SUMIF($G$2:G100,G100,$M$2:M100))</f>
        <v/>
      </c>
      <c r="L100" s="45" t="str">
        <f t="shared" si="16"/>
        <v/>
      </c>
      <c r="M100" s="46" t="str">
        <f>IF(G100="","",IF(B100 = "BUY", 0,(E100-VLOOKUP(CONCATENATE(G100,(H100-1)),$I$2:L99,4,FALSE))*-C100))</f>
        <v/>
      </c>
    </row>
    <row r="101" spans="1:13" ht="15" thickBot="1" x14ac:dyDescent="0.35">
      <c r="A101" s="27" t="str">
        <f>IF('Australian Transaction'!A101= "","",'Australian Transaction'!A101)</f>
        <v/>
      </c>
      <c r="B101" s="28" t="str">
        <f>IF('Australian Transaction'!B101= "","",'Australian Transaction'!B101)</f>
        <v/>
      </c>
      <c r="C101" s="28" t="str">
        <f>IF('Australian Transaction'!C101= "","",IF(B101="BUY",'Australian Transaction'!C101,-'Australian Transaction'!C101))</f>
        <v/>
      </c>
      <c r="D101" s="28" t="str">
        <f>IF('Australian Transaction'!D101 = "","",IF($B101 = "BUY", 'Australian Transaction'!D101,-'Australian Transaction'!D101))</f>
        <v/>
      </c>
      <c r="E101" s="28" t="str">
        <f>IF('Australian Transaction'!E101= "","",'Australian Transaction'!E101)</f>
        <v/>
      </c>
      <c r="F101" s="23"/>
      <c r="G101" s="28" t="str">
        <f t="shared" si="14"/>
        <v/>
      </c>
      <c r="H101" s="28" t="str">
        <f>IF(A101="","",COUNTIF($G$2:G101,G101))</f>
        <v/>
      </c>
      <c r="I101" s="28" t="str">
        <f t="shared" si="15"/>
        <v/>
      </c>
      <c r="J101" s="28" t="str">
        <f>IF(G101="","",IF(COUNTIF($G$2:G101,G101)&gt;1,SUMIF($A$2:A101,G101,$C$2:C101),C101))</f>
        <v/>
      </c>
      <c r="K101" s="45" t="str">
        <f>IF(G101="","",IF(COUNTIF($G$2:G101,G101)&gt;1,SUMIF($A$2:A101,G101,$D$2:D101),D101) +SUMIF($G$2:G101,G101,$M$2:M101))</f>
        <v/>
      </c>
      <c r="L101" s="45" t="str">
        <f t="shared" si="16"/>
        <v/>
      </c>
      <c r="M101" s="46" t="str">
        <f>IF(G101="","",IF(B101 = "BUY", 0,(E101-VLOOKUP(CONCATENATE(G101,(H101-1)),$I$2:L100,4,FALSE))*-C101))</f>
        <v/>
      </c>
    </row>
    <row r="102" spans="1:13" ht="15" thickBot="1" x14ac:dyDescent="0.35">
      <c r="A102" s="27" t="str">
        <f>IF('Australian Transaction'!A102= "","",'Australian Transaction'!A102)</f>
        <v/>
      </c>
      <c r="B102" s="28" t="str">
        <f>IF('Australian Transaction'!B102= "","",'Australian Transaction'!B102)</f>
        <v/>
      </c>
      <c r="C102" s="28" t="str">
        <f>IF('Australian Transaction'!C102= "","",IF(B102="BUY",'Australian Transaction'!C102,-'Australian Transaction'!C102))</f>
        <v/>
      </c>
      <c r="D102" s="28" t="str">
        <f>IF('Australian Transaction'!D102 = "","",IF($B102 = "BUY", 'Australian Transaction'!D102,-'Australian Transaction'!D102))</f>
        <v/>
      </c>
      <c r="E102" s="28" t="str">
        <f>IF('Australian Transaction'!E102= "","",'Australian Transaction'!E102)</f>
        <v/>
      </c>
      <c r="F102" s="23"/>
      <c r="G102" s="28" t="str">
        <f t="shared" si="14"/>
        <v/>
      </c>
      <c r="H102" s="28" t="str">
        <f>IF(A102="","",COUNTIF($G$2:G102,G102))</f>
        <v/>
      </c>
      <c r="I102" s="28" t="str">
        <f t="shared" si="15"/>
        <v/>
      </c>
      <c r="J102" s="28" t="str">
        <f>IF(G102="","",IF(COUNTIF($G$2:G102,G102)&gt;1,SUMIF($A$2:A102,G102,$C$2:C102),C102))</f>
        <v/>
      </c>
      <c r="K102" s="45" t="str">
        <f>IF(G102="","",IF(COUNTIF($G$2:G102,G102)&gt;1,SUMIF($A$2:A102,G102,$D$2:D102),D102) +SUMIF($G$2:G102,G102,$M$2:M102))</f>
        <v/>
      </c>
      <c r="L102" s="45" t="str">
        <f t="shared" si="16"/>
        <v/>
      </c>
      <c r="M102" s="46" t="str">
        <f>IF(G102="","",IF(B102 = "BUY", 0,(E102-VLOOKUP(CONCATENATE(G102,(H102-1)),$I$2:L101,4,FALSE))*-C102))</f>
        <v/>
      </c>
    </row>
    <row r="103" spans="1:13" ht="15" thickBot="1" x14ac:dyDescent="0.35">
      <c r="A103" s="27" t="str">
        <f>IF('Australian Transaction'!A103= "","",'Australian Transaction'!A103)</f>
        <v/>
      </c>
      <c r="B103" s="28" t="str">
        <f>IF('Australian Transaction'!B103= "","",'Australian Transaction'!B103)</f>
        <v/>
      </c>
      <c r="C103" s="28" t="str">
        <f>IF('Australian Transaction'!C103= "","",IF(B103="BUY",'Australian Transaction'!C103,-'Australian Transaction'!C103))</f>
        <v/>
      </c>
      <c r="D103" s="28" t="str">
        <f>IF('Australian Transaction'!D103 = "","",IF($B103 = "BUY", 'Australian Transaction'!D103,-'Australian Transaction'!D103))</f>
        <v/>
      </c>
      <c r="E103" s="28" t="str">
        <f>IF('Australian Transaction'!E103= "","",'Australian Transaction'!E103)</f>
        <v/>
      </c>
      <c r="F103" s="23"/>
      <c r="G103" s="28" t="str">
        <f t="shared" si="14"/>
        <v/>
      </c>
      <c r="H103" s="28" t="str">
        <f>IF(A103="","",COUNTIF($G$2:G103,G103))</f>
        <v/>
      </c>
      <c r="I103" s="28" t="str">
        <f t="shared" si="15"/>
        <v/>
      </c>
      <c r="J103" s="28" t="str">
        <f>IF(G103="","",IF(COUNTIF($G$2:G103,G103)&gt;1,SUMIF($A$2:A103,G103,$C$2:C103),C103))</f>
        <v/>
      </c>
      <c r="K103" s="45" t="str">
        <f>IF(G103="","",IF(COUNTIF($G$2:G103,G103)&gt;1,SUMIF($A$2:A103,G103,$D$2:D103),D103) +SUMIF($G$2:G103,G103,$M$2:M103))</f>
        <v/>
      </c>
      <c r="L103" s="45" t="str">
        <f t="shared" si="16"/>
        <v/>
      </c>
      <c r="M103" s="46" t="str">
        <f>IF(G103="","",IF(B103 = "BUY", 0,(E103-VLOOKUP(CONCATENATE(G103,(H103-1)),$I$2:L102,4,FALSE))*-C103))</f>
        <v/>
      </c>
    </row>
    <row r="104" spans="1:13" ht="15" thickBot="1" x14ac:dyDescent="0.35">
      <c r="A104" s="27" t="str">
        <f>IF('Australian Transaction'!A104= "","",'Australian Transaction'!A104)</f>
        <v/>
      </c>
      <c r="B104" s="28" t="str">
        <f>IF('Australian Transaction'!B104= "","",'Australian Transaction'!B104)</f>
        <v/>
      </c>
      <c r="C104" s="28" t="str">
        <f>IF('Australian Transaction'!C104= "","",IF(B104="BUY",'Australian Transaction'!C104,-'Australian Transaction'!C104))</f>
        <v/>
      </c>
      <c r="D104" s="28" t="str">
        <f>IF('Australian Transaction'!D104 = "","",IF($B104 = "BUY", 'Australian Transaction'!D104,-'Australian Transaction'!D104))</f>
        <v/>
      </c>
      <c r="E104" s="28" t="str">
        <f>IF('Australian Transaction'!E104= "","",'Australian Transaction'!E104)</f>
        <v/>
      </c>
      <c r="F104" s="23"/>
      <c r="G104" s="28" t="str">
        <f t="shared" si="14"/>
        <v/>
      </c>
      <c r="H104" s="28" t="str">
        <f>IF(A104="","",COUNTIF($G$2:G104,G104))</f>
        <v/>
      </c>
      <c r="I104" s="28" t="str">
        <f t="shared" si="15"/>
        <v/>
      </c>
      <c r="J104" s="28" t="str">
        <f>IF(G104="","",IF(COUNTIF($G$2:G104,G104)&gt;1,SUMIF($A$2:A104,G104,$C$2:C104),C104))</f>
        <v/>
      </c>
      <c r="K104" s="45" t="str">
        <f>IF(G104="","",IF(COUNTIF($G$2:G104,G104)&gt;1,SUMIF($A$2:A104,G104,$D$2:D104),D104) +SUMIF($G$2:G104,G104,$M$2:M104))</f>
        <v/>
      </c>
      <c r="L104" s="45" t="str">
        <f t="shared" si="16"/>
        <v/>
      </c>
      <c r="M104" s="46" t="str">
        <f>IF(G104="","",IF(B104 = "BUY", 0,(E104-VLOOKUP(CONCATENATE(G104,(H104-1)),$I$2:L103,4,FALSE))*-C104))</f>
        <v/>
      </c>
    </row>
    <row r="105" spans="1:13" ht="15" thickBot="1" x14ac:dyDescent="0.35">
      <c r="A105" s="27" t="str">
        <f>IF('Australian Transaction'!A105= "","",'Australian Transaction'!A105)</f>
        <v/>
      </c>
      <c r="B105" s="28" t="str">
        <f>IF('Australian Transaction'!B105= "","",'Australian Transaction'!B105)</f>
        <v/>
      </c>
      <c r="C105" s="28" t="str">
        <f>IF('Australian Transaction'!C105= "","",IF(B105="BUY",'Australian Transaction'!C105,-'Australian Transaction'!C105))</f>
        <v/>
      </c>
      <c r="D105" s="28" t="str">
        <f>IF('Australian Transaction'!D105 = "","",IF($B105 = "BUY", 'Australian Transaction'!D105,-'Australian Transaction'!D105))</f>
        <v/>
      </c>
      <c r="E105" s="28" t="str">
        <f>IF('Australian Transaction'!E105= "","",'Australian Transaction'!E105)</f>
        <v/>
      </c>
      <c r="F105" s="23"/>
      <c r="G105" s="28" t="str">
        <f t="shared" si="14"/>
        <v/>
      </c>
      <c r="H105" s="28" t="str">
        <f>IF(A105="","",COUNTIF($G$2:G105,G105))</f>
        <v/>
      </c>
      <c r="I105" s="28" t="str">
        <f t="shared" si="15"/>
        <v/>
      </c>
      <c r="J105" s="28" t="str">
        <f>IF(G105="","",IF(COUNTIF($G$2:G105,G105)&gt;1,SUMIF($A$2:A105,G105,$C$2:C105),C105))</f>
        <v/>
      </c>
      <c r="K105" s="45" t="str">
        <f>IF(G105="","",IF(COUNTIF($G$2:G105,G105)&gt;1,SUMIF($A$2:A105,G105,$D$2:D105),D105) +SUMIF($G$2:G105,G105,$M$2:M105))</f>
        <v/>
      </c>
      <c r="L105" s="45" t="str">
        <f t="shared" si="16"/>
        <v/>
      </c>
      <c r="M105" s="46" t="str">
        <f>IF(G105="","",IF(B105 = "BUY", 0,(E105-VLOOKUP(CONCATENATE(G105,(H105-1)),$I$2:L104,4,FALSE))*-C105))</f>
        <v/>
      </c>
    </row>
    <row r="106" spans="1:13" ht="15" thickBot="1" x14ac:dyDescent="0.35">
      <c r="A106" s="27" t="str">
        <f>IF('Australian Transaction'!A106= "","",'Australian Transaction'!A106)</f>
        <v/>
      </c>
      <c r="B106" s="28" t="str">
        <f>IF('Australian Transaction'!B106= "","",'Australian Transaction'!B106)</f>
        <v/>
      </c>
      <c r="C106" s="28" t="str">
        <f>IF('Australian Transaction'!C106= "","",IF(B106="BUY",'Australian Transaction'!C106,-'Australian Transaction'!C106))</f>
        <v/>
      </c>
      <c r="D106" s="28" t="str">
        <f>IF('Australian Transaction'!D106 = "","",IF($B106 = "BUY", 'Australian Transaction'!D106,-'Australian Transaction'!D106))</f>
        <v/>
      </c>
      <c r="E106" s="28" t="str">
        <f>IF('Australian Transaction'!E106= "","",'Australian Transaction'!E106)</f>
        <v/>
      </c>
      <c r="F106" s="23"/>
      <c r="G106" s="28" t="str">
        <f t="shared" si="14"/>
        <v/>
      </c>
      <c r="H106" s="28" t="str">
        <f>IF(A106="","",COUNTIF($G$2:G106,G106))</f>
        <v/>
      </c>
      <c r="I106" s="28" t="str">
        <f t="shared" si="15"/>
        <v/>
      </c>
      <c r="J106" s="28" t="str">
        <f>IF(G106="","",IF(COUNTIF($G$2:G106,G106)&gt;1,SUMIF($A$2:A106,G106,$C$2:C106),C106))</f>
        <v/>
      </c>
      <c r="K106" s="45" t="str">
        <f>IF(G106="","",IF(COUNTIF($G$2:G106,G106)&gt;1,SUMIF($A$2:A106,G106,$D$2:D106),D106) +SUMIF($G$2:G106,G106,$M$2:M106))</f>
        <v/>
      </c>
      <c r="L106" s="45" t="str">
        <f t="shared" si="16"/>
        <v/>
      </c>
      <c r="M106" s="46" t="str">
        <f>IF(G106="","",IF(B106 = "BUY", 0,(E106-VLOOKUP(CONCATENATE(G106,(H106-1)),$I$2:L105,4,FALSE))*-C106))</f>
        <v/>
      </c>
    </row>
    <row r="107" spans="1:13" ht="15" thickBot="1" x14ac:dyDescent="0.35">
      <c r="A107" s="27" t="str">
        <f>IF('Australian Transaction'!A107= "","",'Australian Transaction'!A107)</f>
        <v/>
      </c>
      <c r="B107" s="28" t="str">
        <f>IF('Australian Transaction'!B107= "","",'Australian Transaction'!B107)</f>
        <v/>
      </c>
      <c r="C107" s="28" t="str">
        <f>IF('Australian Transaction'!C107= "","",IF(B107="BUY",'Australian Transaction'!C107,-'Australian Transaction'!C107))</f>
        <v/>
      </c>
      <c r="D107" s="28" t="str">
        <f>IF('Australian Transaction'!D107 = "","",IF($B107 = "BUY", 'Australian Transaction'!D107,-'Australian Transaction'!D107))</f>
        <v/>
      </c>
      <c r="E107" s="28" t="str">
        <f>IF('Australian Transaction'!E107= "","",'Australian Transaction'!E107)</f>
        <v/>
      </c>
      <c r="F107" s="23"/>
      <c r="G107" s="28" t="str">
        <f t="shared" si="14"/>
        <v/>
      </c>
      <c r="H107" s="28" t="str">
        <f>IF(A107="","",COUNTIF($G$2:G107,G107))</f>
        <v/>
      </c>
      <c r="I107" s="28" t="str">
        <f t="shared" si="15"/>
        <v/>
      </c>
      <c r="J107" s="28" t="str">
        <f>IF(G107="","",IF(COUNTIF($G$2:G107,G107)&gt;1,SUMIF($A$2:A107,G107,$C$2:C107),C107))</f>
        <v/>
      </c>
      <c r="K107" s="45" t="str">
        <f>IF(G107="","",IF(COUNTIF($G$2:G107,G107)&gt;1,SUMIF($A$2:A107,G107,$D$2:D107),D107) +SUMIF($G$2:G107,G107,$M$2:M107))</f>
        <v/>
      </c>
      <c r="L107" s="45" t="str">
        <f t="shared" si="16"/>
        <v/>
      </c>
      <c r="M107" s="46" t="str">
        <f>IF(G107="","",IF(B107 = "BUY", 0,(E107-VLOOKUP(CONCATENATE(G107,(H107-1)),$I$2:L106,4,FALSE))*-C107))</f>
        <v/>
      </c>
    </row>
    <row r="108" spans="1:13" ht="15" thickBot="1" x14ac:dyDescent="0.35">
      <c r="A108" s="27" t="str">
        <f>IF('Australian Transaction'!A108= "","",'Australian Transaction'!A108)</f>
        <v/>
      </c>
      <c r="B108" s="28" t="str">
        <f>IF('Australian Transaction'!B108= "","",'Australian Transaction'!B108)</f>
        <v/>
      </c>
      <c r="C108" s="28" t="str">
        <f>IF('Australian Transaction'!C108= "","",IF(B108="BUY",'Australian Transaction'!C108,-'Australian Transaction'!C108))</f>
        <v/>
      </c>
      <c r="D108" s="28" t="str">
        <f>IF('Australian Transaction'!D108 = "","",IF($B108 = "BUY", 'Australian Transaction'!D108,-'Australian Transaction'!D108))</f>
        <v/>
      </c>
      <c r="E108" s="28" t="str">
        <f>IF('Australian Transaction'!E108= "","",'Australian Transaction'!E108)</f>
        <v/>
      </c>
      <c r="F108" s="23"/>
      <c r="G108" s="28" t="str">
        <f t="shared" si="14"/>
        <v/>
      </c>
      <c r="H108" s="28" t="str">
        <f>IF(A108="","",COUNTIF($G$2:G108,G108))</f>
        <v/>
      </c>
      <c r="I108" s="28" t="str">
        <f t="shared" si="15"/>
        <v/>
      </c>
      <c r="J108" s="28" t="str">
        <f>IF(G108="","",IF(COUNTIF($G$2:G108,G108)&gt;1,SUMIF($A$2:A108,G108,$C$2:C108),C108))</f>
        <v/>
      </c>
      <c r="K108" s="45" t="str">
        <f>IF(G108="","",IF(COUNTIF($G$2:G108,G108)&gt;1,SUMIF($A$2:A108,G108,$D$2:D108),D108) +SUMIF($G$2:G108,G108,$M$2:M108))</f>
        <v/>
      </c>
      <c r="L108" s="45" t="str">
        <f t="shared" si="16"/>
        <v/>
      </c>
      <c r="M108" s="46" t="str">
        <f>IF(G108="","",IF(B108 = "BUY", 0,(E108-VLOOKUP(CONCATENATE(G108,(H108-1)),$I$2:L107,4,FALSE))*-C108))</f>
        <v/>
      </c>
    </row>
    <row r="109" spans="1:13" ht="15" thickBot="1" x14ac:dyDescent="0.35">
      <c r="A109" s="27" t="str">
        <f>IF('Australian Transaction'!A109= "","",'Australian Transaction'!A109)</f>
        <v/>
      </c>
      <c r="B109" s="28" t="str">
        <f>IF('Australian Transaction'!B109= "","",'Australian Transaction'!B109)</f>
        <v/>
      </c>
      <c r="C109" s="28" t="str">
        <f>IF('Australian Transaction'!C109= "","",IF(B109="BUY",'Australian Transaction'!C109,-'Australian Transaction'!C109))</f>
        <v/>
      </c>
      <c r="D109" s="28" t="str">
        <f>IF('Australian Transaction'!D109 = "","",IF($B109 = "BUY", 'Australian Transaction'!D109,-'Australian Transaction'!D109))</f>
        <v/>
      </c>
      <c r="E109" s="28" t="str">
        <f>IF('Australian Transaction'!E109= "","",'Australian Transaction'!E109)</f>
        <v/>
      </c>
      <c r="F109" s="23"/>
      <c r="G109" s="28" t="str">
        <f t="shared" si="14"/>
        <v/>
      </c>
      <c r="H109" s="28" t="str">
        <f>IF(A109="","",COUNTIF($G$2:G109,G109))</f>
        <v/>
      </c>
      <c r="I109" s="28" t="str">
        <f t="shared" si="15"/>
        <v/>
      </c>
      <c r="J109" s="28" t="str">
        <f>IF(G109="","",IF(COUNTIF($G$2:G109,G109)&gt;1,SUMIF($A$2:A109,G109,$C$2:C109),C109))</f>
        <v/>
      </c>
      <c r="K109" s="45" t="str">
        <f>IF(G109="","",IF(COUNTIF($G$2:G109,G109)&gt;1,SUMIF($A$2:A109,G109,$D$2:D109),D109) +SUMIF($G$2:G109,G109,$M$2:M109))</f>
        <v/>
      </c>
      <c r="L109" s="45" t="str">
        <f t="shared" si="16"/>
        <v/>
      </c>
      <c r="M109" s="46" t="str">
        <f>IF(G109="","",IF(B109 = "BUY", 0,(E109-VLOOKUP(CONCATENATE(G109,(H109-1)),$I$2:L108,4,FALSE))*-C109))</f>
        <v/>
      </c>
    </row>
    <row r="110" spans="1:13" ht="15" thickBot="1" x14ac:dyDescent="0.35">
      <c r="A110" s="27" t="str">
        <f>IF('Australian Transaction'!A110= "","",'Australian Transaction'!A110)</f>
        <v/>
      </c>
      <c r="B110" s="28" t="str">
        <f>IF('Australian Transaction'!B110= "","",'Australian Transaction'!B110)</f>
        <v/>
      </c>
      <c r="C110" s="28" t="str">
        <f>IF('Australian Transaction'!C110= "","",IF(B110="BUY",'Australian Transaction'!C110,-'Australian Transaction'!C110))</f>
        <v/>
      </c>
      <c r="D110" s="28" t="str">
        <f>IF('Australian Transaction'!D110 = "","",IF($B110 = "BUY", 'Australian Transaction'!D110,-'Australian Transaction'!D110))</f>
        <v/>
      </c>
      <c r="E110" s="28" t="str">
        <f>IF('Australian Transaction'!E110= "","",'Australian Transaction'!E110)</f>
        <v/>
      </c>
      <c r="F110" s="23"/>
      <c r="G110" s="28" t="str">
        <f t="shared" si="14"/>
        <v/>
      </c>
      <c r="H110" s="28" t="str">
        <f>IF(A110="","",COUNTIF($G$2:G110,G110))</f>
        <v/>
      </c>
      <c r="I110" s="28" t="str">
        <f t="shared" si="15"/>
        <v/>
      </c>
      <c r="J110" s="28" t="str">
        <f>IF(G110="","",IF(COUNTIF($G$2:G110,G110)&gt;1,SUMIF($A$2:A110,G110,$C$2:C110),C110))</f>
        <v/>
      </c>
      <c r="K110" s="45" t="str">
        <f>IF(G110="","",IF(COUNTIF($G$2:G110,G110)&gt;1,SUMIF($A$2:A110,G110,$D$2:D110),D110) +SUMIF($G$2:G110,G110,$M$2:M110))</f>
        <v/>
      </c>
      <c r="L110" s="45" t="str">
        <f t="shared" si="16"/>
        <v/>
      </c>
      <c r="M110" s="46" t="str">
        <f>IF(G110="","",IF(B110 = "BUY", 0,(E110-VLOOKUP(CONCATENATE(G110,(H110-1)),$I$2:L109,4,FALSE))*-C110))</f>
        <v/>
      </c>
    </row>
    <row r="111" spans="1:13" ht="15" thickBot="1" x14ac:dyDescent="0.35">
      <c r="A111" s="27" t="str">
        <f>IF('Australian Transaction'!A111= "","",'Australian Transaction'!A111)</f>
        <v/>
      </c>
      <c r="B111" s="28" t="str">
        <f>IF('Australian Transaction'!B111= "","",'Australian Transaction'!B111)</f>
        <v/>
      </c>
      <c r="C111" s="28" t="str">
        <f>IF('Australian Transaction'!C111= "","",IF(B111="BUY",'Australian Transaction'!C111,-'Australian Transaction'!C111))</f>
        <v/>
      </c>
      <c r="D111" s="28" t="str">
        <f>IF('Australian Transaction'!D111 = "","",IF($B111 = "BUY", 'Australian Transaction'!D111,-'Australian Transaction'!D111))</f>
        <v/>
      </c>
      <c r="E111" s="28" t="str">
        <f>IF('Australian Transaction'!E111= "","",'Australian Transaction'!E111)</f>
        <v/>
      </c>
      <c r="F111" s="23"/>
      <c r="G111" s="28" t="str">
        <f t="shared" si="14"/>
        <v/>
      </c>
      <c r="H111" s="28" t="str">
        <f>IF(A111="","",COUNTIF($G$2:G111,G111))</f>
        <v/>
      </c>
      <c r="I111" s="28" t="str">
        <f t="shared" si="15"/>
        <v/>
      </c>
      <c r="J111" s="28" t="str">
        <f>IF(G111="","",IF(COUNTIF($G$2:G111,G111)&gt;1,SUMIF($A$2:A111,G111,$C$2:C111),C111))</f>
        <v/>
      </c>
      <c r="K111" s="45" t="str">
        <f>IF(G111="","",IF(COUNTIF($G$2:G111,G111)&gt;1,SUMIF($A$2:A111,G111,$D$2:D111),D111) +SUMIF($G$2:G111,G111,$M$2:M111))</f>
        <v/>
      </c>
      <c r="L111" s="45" t="str">
        <f t="shared" si="16"/>
        <v/>
      </c>
      <c r="M111" s="46" t="str">
        <f>IF(G111="","",IF(B111 = "BUY", 0,(E111-VLOOKUP(CONCATENATE(G111,(H111-1)),$I$2:L110,4,FALSE))*-C111))</f>
        <v/>
      </c>
    </row>
    <row r="112" spans="1:13" ht="15" thickBot="1" x14ac:dyDescent="0.35">
      <c r="A112" s="27" t="str">
        <f>IF('Australian Transaction'!A112= "","",'Australian Transaction'!A112)</f>
        <v/>
      </c>
      <c r="B112" s="28" t="str">
        <f>IF('Australian Transaction'!B112= "","",'Australian Transaction'!B112)</f>
        <v/>
      </c>
      <c r="C112" s="28" t="str">
        <f>IF('Australian Transaction'!C112= "","",IF(B112="BUY",'Australian Transaction'!C112,-'Australian Transaction'!C112))</f>
        <v/>
      </c>
      <c r="D112" s="28" t="str">
        <f>IF('Australian Transaction'!D112 = "","",IF($B112 = "BUY", 'Australian Transaction'!D112,-'Australian Transaction'!D112))</f>
        <v/>
      </c>
      <c r="E112" s="28" t="str">
        <f>IF('Australian Transaction'!E112= "","",'Australian Transaction'!E112)</f>
        <v/>
      </c>
      <c r="F112" s="23"/>
      <c r="G112" s="28" t="str">
        <f t="shared" si="14"/>
        <v/>
      </c>
      <c r="H112" s="28" t="str">
        <f>IF(A112="","",COUNTIF($G$2:G112,G112))</f>
        <v/>
      </c>
      <c r="I112" s="28" t="str">
        <f t="shared" si="15"/>
        <v/>
      </c>
      <c r="J112" s="28" t="str">
        <f>IF(G112="","",IF(COUNTIF($G$2:G112,G112)&gt;1,SUMIF($A$2:A112,G112,$C$2:C112),C112))</f>
        <v/>
      </c>
      <c r="K112" s="45" t="str">
        <f>IF(G112="","",IF(COUNTIF($G$2:G112,G112)&gt;1,SUMIF($A$2:A112,G112,$D$2:D112),D112) +SUMIF($G$2:G112,G112,$M$2:M112))</f>
        <v/>
      </c>
      <c r="L112" s="45" t="str">
        <f t="shared" si="16"/>
        <v/>
      </c>
      <c r="M112" s="46" t="str">
        <f>IF(G112="","",IF(B112 = "BUY", 0,(E112-VLOOKUP(CONCATENATE(G112,(H112-1)),$I$2:L111,4,FALSE))*-C112))</f>
        <v/>
      </c>
    </row>
    <row r="113" spans="1:13" ht="15" thickBot="1" x14ac:dyDescent="0.35">
      <c r="A113" s="27" t="str">
        <f>IF('Australian Transaction'!A113= "","",'Australian Transaction'!A113)</f>
        <v/>
      </c>
      <c r="B113" s="28" t="str">
        <f>IF('Australian Transaction'!B113= "","",'Australian Transaction'!B113)</f>
        <v/>
      </c>
      <c r="C113" s="28" t="str">
        <f>IF('Australian Transaction'!C113= "","",IF(B113="BUY",'Australian Transaction'!C113,-'Australian Transaction'!C113))</f>
        <v/>
      </c>
      <c r="D113" s="28" t="str">
        <f>IF('Australian Transaction'!D113 = "","",IF($B113 = "BUY", 'Australian Transaction'!D113,-'Australian Transaction'!D113))</f>
        <v/>
      </c>
      <c r="E113" s="28" t="str">
        <f>IF('Australian Transaction'!E113= "","",'Australian Transaction'!E113)</f>
        <v/>
      </c>
      <c r="F113" s="23"/>
      <c r="G113" s="28" t="str">
        <f t="shared" si="14"/>
        <v/>
      </c>
      <c r="H113" s="28" t="str">
        <f>IF(A113="","",COUNTIF($G$2:G113,G113))</f>
        <v/>
      </c>
      <c r="I113" s="28" t="str">
        <f t="shared" si="15"/>
        <v/>
      </c>
      <c r="J113" s="28" t="str">
        <f>IF(G113="","",IF(COUNTIF($G$2:G113,G113)&gt;1,SUMIF($A$2:A113,G113,$C$2:C113),C113))</f>
        <v/>
      </c>
      <c r="K113" s="45" t="str">
        <f>IF(G113="","",IF(COUNTIF($G$2:G113,G113)&gt;1,SUMIF($A$2:A113,G113,$D$2:D113),D113) +SUMIF($G$2:G113,G113,$M$2:M113))</f>
        <v/>
      </c>
      <c r="L113" s="45" t="str">
        <f t="shared" si="16"/>
        <v/>
      </c>
      <c r="M113" s="46" t="str">
        <f>IF(G113="","",IF(B113 = "BUY", 0,(E113-VLOOKUP(CONCATENATE(G113,(H113-1)),$I$2:L112,4,FALSE))*-C113))</f>
        <v/>
      </c>
    </row>
    <row r="114" spans="1:13" ht="15" thickBot="1" x14ac:dyDescent="0.35">
      <c r="A114" s="27" t="str">
        <f>IF('Australian Transaction'!A114= "","",'Australian Transaction'!A114)</f>
        <v/>
      </c>
      <c r="B114" s="28" t="str">
        <f>IF('Australian Transaction'!B114= "","",'Australian Transaction'!B114)</f>
        <v/>
      </c>
      <c r="C114" s="28" t="str">
        <f>IF('Australian Transaction'!C114= "","",IF(B114="BUY",'Australian Transaction'!C114,-'Australian Transaction'!C114))</f>
        <v/>
      </c>
      <c r="D114" s="28" t="str">
        <f>IF('Australian Transaction'!D114 = "","",IF($B114 = "BUY", 'Australian Transaction'!D114,-'Australian Transaction'!D114))</f>
        <v/>
      </c>
      <c r="E114" s="28" t="str">
        <f>IF('Australian Transaction'!E114= "","",'Australian Transaction'!E114)</f>
        <v/>
      </c>
      <c r="F114" s="23"/>
      <c r="G114" s="28" t="str">
        <f t="shared" si="14"/>
        <v/>
      </c>
      <c r="H114" s="28" t="str">
        <f>IF(A114="","",COUNTIF($G$2:G114,G114))</f>
        <v/>
      </c>
      <c r="I114" s="28" t="str">
        <f t="shared" si="15"/>
        <v/>
      </c>
      <c r="J114" s="28" t="str">
        <f>IF(G114="","",IF(COUNTIF($G$2:G114,G114)&gt;1,SUMIF($A$2:A114,G114,$C$2:C114),C114))</f>
        <v/>
      </c>
      <c r="K114" s="45" t="str">
        <f>IF(G114="","",IF(COUNTIF($G$2:G114,G114)&gt;1,SUMIF($A$2:A114,G114,$D$2:D114),D114) +SUMIF($G$2:G114,G114,$M$2:M114))</f>
        <v/>
      </c>
      <c r="L114" s="45" t="str">
        <f t="shared" si="16"/>
        <v/>
      </c>
      <c r="M114" s="46" t="str">
        <f>IF(G114="","",IF(B114 = "BUY", 0,(E114-VLOOKUP(CONCATENATE(G114,(H114-1)),$I$2:L113,4,FALSE))*-C114))</f>
        <v/>
      </c>
    </row>
    <row r="115" spans="1:13" ht="15" thickBot="1" x14ac:dyDescent="0.35">
      <c r="A115" s="27" t="str">
        <f>IF('Australian Transaction'!A115= "","",'Australian Transaction'!A115)</f>
        <v/>
      </c>
      <c r="B115" s="28" t="str">
        <f>IF('Australian Transaction'!B115= "","",'Australian Transaction'!B115)</f>
        <v/>
      </c>
      <c r="C115" s="28" t="str">
        <f>IF('Australian Transaction'!C115= "","",IF(B115="BUY",'Australian Transaction'!C115,-'Australian Transaction'!C115))</f>
        <v/>
      </c>
      <c r="D115" s="28" t="str">
        <f>IF('Australian Transaction'!D115 = "","",IF($B115 = "BUY", 'Australian Transaction'!D115,-'Australian Transaction'!D115))</f>
        <v/>
      </c>
      <c r="E115" s="28" t="str">
        <f>IF('Australian Transaction'!E115= "","",'Australian Transaction'!E115)</f>
        <v/>
      </c>
      <c r="F115" s="23"/>
      <c r="G115" s="28" t="str">
        <f t="shared" si="14"/>
        <v/>
      </c>
      <c r="H115" s="28" t="str">
        <f>IF(A115="","",COUNTIF($G$2:G115,G115))</f>
        <v/>
      </c>
      <c r="I115" s="28" t="str">
        <f t="shared" si="15"/>
        <v/>
      </c>
      <c r="J115" s="28" t="str">
        <f>IF(G115="","",IF(COUNTIF($G$2:G115,G115)&gt;1,SUMIF($A$2:A115,G115,$C$2:C115),C115))</f>
        <v/>
      </c>
      <c r="K115" s="45" t="str">
        <f>IF(G115="","",IF(COUNTIF($G$2:G115,G115)&gt;1,SUMIF($A$2:A115,G115,$D$2:D115),D115) +SUMIF($G$2:G115,G115,$M$2:M115))</f>
        <v/>
      </c>
      <c r="L115" s="45" t="str">
        <f t="shared" si="16"/>
        <v/>
      </c>
      <c r="M115" s="46" t="str">
        <f>IF(G115="","",IF(B115 = "BUY", 0,(E115-VLOOKUP(CONCATENATE(G115,(H115-1)),$I$2:L114,4,FALSE))*-C115))</f>
        <v/>
      </c>
    </row>
    <row r="116" spans="1:13" ht="15" thickBot="1" x14ac:dyDescent="0.35">
      <c r="A116" s="27" t="str">
        <f>IF('Australian Transaction'!A116= "","",'Australian Transaction'!A116)</f>
        <v/>
      </c>
      <c r="B116" s="28" t="str">
        <f>IF('Australian Transaction'!B116= "","",'Australian Transaction'!B116)</f>
        <v/>
      </c>
      <c r="C116" s="28" t="str">
        <f>IF('Australian Transaction'!C116= "","",IF(B116="BUY",'Australian Transaction'!C116,-'Australian Transaction'!C116))</f>
        <v/>
      </c>
      <c r="D116" s="28" t="str">
        <f>IF('Australian Transaction'!D116 = "","",IF($B116 = "BUY", 'Australian Transaction'!D116,-'Australian Transaction'!D116))</f>
        <v/>
      </c>
      <c r="E116" s="28" t="str">
        <f>IF('Australian Transaction'!E116= "","",'Australian Transaction'!E116)</f>
        <v/>
      </c>
      <c r="F116" s="23"/>
      <c r="G116" s="28" t="str">
        <f t="shared" si="14"/>
        <v/>
      </c>
      <c r="H116" s="28" t="str">
        <f>IF(A116="","",COUNTIF($G$2:G116,G116))</f>
        <v/>
      </c>
      <c r="I116" s="28" t="str">
        <f t="shared" si="15"/>
        <v/>
      </c>
      <c r="J116" s="28" t="str">
        <f>IF(G116="","",IF(COUNTIF($G$2:G116,G116)&gt;1,SUMIF($A$2:A116,G116,$C$2:C116),C116))</f>
        <v/>
      </c>
      <c r="K116" s="45" t="str">
        <f>IF(G116="","",IF(COUNTIF($G$2:G116,G116)&gt;1,SUMIF($A$2:A116,G116,$D$2:D116),D116) +SUMIF($G$2:G116,G116,$M$2:M116))</f>
        <v/>
      </c>
      <c r="L116" s="45" t="str">
        <f t="shared" si="16"/>
        <v/>
      </c>
      <c r="M116" s="46" t="str">
        <f>IF(G116="","",IF(B116 = "BUY", 0,(E116-VLOOKUP(CONCATENATE(G116,(H116-1)),$I$2:L115,4,FALSE))*-C116))</f>
        <v/>
      </c>
    </row>
    <row r="117" spans="1:13" ht="15" thickBot="1" x14ac:dyDescent="0.35">
      <c r="A117" s="27" t="str">
        <f>IF('Australian Transaction'!A117= "","",'Australian Transaction'!A117)</f>
        <v/>
      </c>
      <c r="B117" s="28" t="str">
        <f>IF('Australian Transaction'!B117= "","",'Australian Transaction'!B117)</f>
        <v/>
      </c>
      <c r="C117" s="28" t="str">
        <f>IF('Australian Transaction'!C117= "","",IF(B117="BUY",'Australian Transaction'!C117,-'Australian Transaction'!C117))</f>
        <v/>
      </c>
      <c r="D117" s="28" t="str">
        <f>IF('Australian Transaction'!D117 = "","",IF($B117 = "BUY", 'Australian Transaction'!D117,-'Australian Transaction'!D117))</f>
        <v/>
      </c>
      <c r="E117" s="28" t="str">
        <f>IF('Australian Transaction'!E117= "","",'Australian Transaction'!E117)</f>
        <v/>
      </c>
      <c r="F117" s="23"/>
      <c r="G117" s="28" t="str">
        <f t="shared" si="14"/>
        <v/>
      </c>
      <c r="H117" s="28" t="str">
        <f>IF(A117="","",COUNTIF($G$2:G117,G117))</f>
        <v/>
      </c>
      <c r="I117" s="28" t="str">
        <f t="shared" si="15"/>
        <v/>
      </c>
      <c r="J117" s="28" t="str">
        <f>IF(G117="","",IF(COUNTIF($G$2:G117,G117)&gt;1,SUMIF($A$2:A117,G117,$C$2:C117),C117))</f>
        <v/>
      </c>
      <c r="K117" s="45" t="str">
        <f>IF(G117="","",IF(COUNTIF($G$2:G117,G117)&gt;1,SUMIF($A$2:A117,G117,$D$2:D117),D117) +SUMIF($G$2:G117,G117,$M$2:M117))</f>
        <v/>
      </c>
      <c r="L117" s="45" t="str">
        <f t="shared" si="16"/>
        <v/>
      </c>
      <c r="M117" s="46" t="str">
        <f>IF(G117="","",IF(B117 = "BUY", 0,(E117-VLOOKUP(CONCATENATE(G117,(H117-1)),$I$2:L116,4,FALSE))*-C117))</f>
        <v/>
      </c>
    </row>
    <row r="118" spans="1:13" ht="15" thickBot="1" x14ac:dyDescent="0.35">
      <c r="A118" s="27" t="str">
        <f>IF('Australian Transaction'!A118= "","",'Australian Transaction'!A118)</f>
        <v/>
      </c>
      <c r="B118" s="28" t="str">
        <f>IF('Australian Transaction'!B118= "","",'Australian Transaction'!B118)</f>
        <v/>
      </c>
      <c r="C118" s="28" t="str">
        <f>IF('Australian Transaction'!C118= "","",IF(B118="BUY",'Australian Transaction'!C118,-'Australian Transaction'!C118))</f>
        <v/>
      </c>
      <c r="D118" s="28" t="str">
        <f>IF('Australian Transaction'!D118 = "","",IF($B118 = "BUY", 'Australian Transaction'!D118,-'Australian Transaction'!D118))</f>
        <v/>
      </c>
      <c r="E118" s="28" t="str">
        <f>IF('Australian Transaction'!E118= "","",'Australian Transaction'!E118)</f>
        <v/>
      </c>
      <c r="F118" s="23"/>
      <c r="G118" s="28" t="str">
        <f t="shared" si="14"/>
        <v/>
      </c>
      <c r="H118" s="28" t="str">
        <f>IF(A118="","",COUNTIF($G$2:G118,G118))</f>
        <v/>
      </c>
      <c r="I118" s="28" t="str">
        <f t="shared" si="15"/>
        <v/>
      </c>
      <c r="J118" s="28" t="str">
        <f>IF(G118="","",IF(COUNTIF($G$2:G118,G118)&gt;1,SUMIF($A$2:A118,G118,$C$2:C118),C118))</f>
        <v/>
      </c>
      <c r="K118" s="45" t="str">
        <f>IF(G118="","",IF(COUNTIF($G$2:G118,G118)&gt;1,SUMIF($A$2:A118,G118,$D$2:D118),D118) +SUMIF($G$2:G118,G118,$M$2:M118))</f>
        <v/>
      </c>
      <c r="L118" s="45" t="str">
        <f t="shared" si="16"/>
        <v/>
      </c>
      <c r="M118" s="46" t="str">
        <f>IF(G118="","",IF(B118 = "BUY", 0,(E118-VLOOKUP(CONCATENATE(G118,(H118-1)),$I$2:L117,4,FALSE))*-C118))</f>
        <v/>
      </c>
    </row>
    <row r="119" spans="1:13" ht="15" thickBot="1" x14ac:dyDescent="0.35">
      <c r="A119" s="27" t="str">
        <f>IF('Australian Transaction'!A119= "","",'Australian Transaction'!A119)</f>
        <v/>
      </c>
      <c r="B119" s="28" t="str">
        <f>IF('Australian Transaction'!B119= "","",'Australian Transaction'!B119)</f>
        <v/>
      </c>
      <c r="C119" s="28" t="str">
        <f>IF('Australian Transaction'!C119= "","",IF(B119="BUY",'Australian Transaction'!C119,-'Australian Transaction'!C119))</f>
        <v/>
      </c>
      <c r="D119" s="28" t="str">
        <f>IF('Australian Transaction'!D119 = "","",IF($B119 = "BUY", 'Australian Transaction'!D119,-'Australian Transaction'!D119))</f>
        <v/>
      </c>
      <c r="E119" s="28" t="str">
        <f>IF('Australian Transaction'!E119= "","",'Australian Transaction'!E119)</f>
        <v/>
      </c>
      <c r="F119" s="23"/>
      <c r="G119" s="28" t="str">
        <f t="shared" si="14"/>
        <v/>
      </c>
      <c r="H119" s="28" t="str">
        <f>IF(A119="","",COUNTIF($G$2:G119,G119))</f>
        <v/>
      </c>
      <c r="I119" s="28" t="str">
        <f t="shared" si="15"/>
        <v/>
      </c>
      <c r="J119" s="28" t="str">
        <f>IF(G119="","",IF(COUNTIF($G$2:G119,G119)&gt;1,SUMIF($A$2:A119,G119,$C$2:C119),C119))</f>
        <v/>
      </c>
      <c r="K119" s="45" t="str">
        <f>IF(G119="","",IF(COUNTIF($G$2:G119,G119)&gt;1,SUMIF($A$2:A119,G119,$D$2:D119),D119) +SUMIF($G$2:G119,G119,$M$2:M119))</f>
        <v/>
      </c>
      <c r="L119" s="45" t="str">
        <f t="shared" si="16"/>
        <v/>
      </c>
      <c r="M119" s="46" t="str">
        <f>IF(G119="","",IF(B119 = "BUY", 0,(E119-VLOOKUP(CONCATENATE(G119,(H119-1)),$I$2:L118,4,FALSE))*-C119))</f>
        <v/>
      </c>
    </row>
    <row r="120" spans="1:13" ht="15" thickBot="1" x14ac:dyDescent="0.35">
      <c r="A120" s="27" t="str">
        <f>IF('Australian Transaction'!A120= "","",'Australian Transaction'!A120)</f>
        <v/>
      </c>
      <c r="B120" s="28" t="str">
        <f>IF('Australian Transaction'!B120= "","",'Australian Transaction'!B120)</f>
        <v/>
      </c>
      <c r="C120" s="28" t="str">
        <f>IF('Australian Transaction'!C120= "","",IF(B120="BUY",'Australian Transaction'!C120,-'Australian Transaction'!C120))</f>
        <v/>
      </c>
      <c r="D120" s="28" t="str">
        <f>IF('Australian Transaction'!D120 = "","",IF($B120 = "BUY", 'Australian Transaction'!D120,-'Australian Transaction'!D120))</f>
        <v/>
      </c>
      <c r="E120" s="28" t="str">
        <f>IF('Australian Transaction'!E120= "","",'Australian Transaction'!E120)</f>
        <v/>
      </c>
      <c r="F120" s="23"/>
      <c r="G120" s="28" t="str">
        <f t="shared" si="14"/>
        <v/>
      </c>
      <c r="H120" s="28" t="str">
        <f>IF(A120="","",COUNTIF($G$2:G120,G120))</f>
        <v/>
      </c>
      <c r="I120" s="28" t="str">
        <f t="shared" si="15"/>
        <v/>
      </c>
      <c r="J120" s="28" t="str">
        <f>IF(G120="","",IF(COUNTIF($G$2:G120,G120)&gt;1,SUMIF($A$2:A120,G120,$C$2:C120),C120))</f>
        <v/>
      </c>
      <c r="K120" s="45" t="str">
        <f>IF(G120="","",IF(COUNTIF($G$2:G120,G120)&gt;1,SUMIF($A$2:A120,G120,$D$2:D120),D120) +SUMIF($G$2:G120,G120,$M$2:M120))</f>
        <v/>
      </c>
      <c r="L120" s="45" t="str">
        <f t="shared" si="16"/>
        <v/>
      </c>
      <c r="M120" s="46" t="str">
        <f>IF(G120="","",IF(B120 = "BUY", 0,(E120-VLOOKUP(CONCATENATE(G120,(H120-1)),$I$2:L119,4,FALSE))*-C120))</f>
        <v/>
      </c>
    </row>
    <row r="121" spans="1:13" ht="15" thickBot="1" x14ac:dyDescent="0.35">
      <c r="A121" s="27" t="str">
        <f>IF('Australian Transaction'!A121= "","",'Australian Transaction'!A121)</f>
        <v/>
      </c>
      <c r="B121" s="28" t="str">
        <f>IF('Australian Transaction'!B121= "","",'Australian Transaction'!B121)</f>
        <v/>
      </c>
      <c r="C121" s="28" t="str">
        <f>IF('Australian Transaction'!C121= "","",IF(B121="BUY",'Australian Transaction'!C121,-'Australian Transaction'!C121))</f>
        <v/>
      </c>
      <c r="D121" s="28" t="str">
        <f>IF('Australian Transaction'!D121 = "","",IF($B121 = "BUY", 'Australian Transaction'!D121,-'Australian Transaction'!D121))</f>
        <v/>
      </c>
      <c r="E121" s="28" t="str">
        <f>IF('Australian Transaction'!E121= "","",'Australian Transaction'!E121)</f>
        <v/>
      </c>
      <c r="F121" s="23"/>
      <c r="G121" s="28" t="str">
        <f t="shared" si="14"/>
        <v/>
      </c>
      <c r="H121" s="28" t="str">
        <f>IF(A121="","",COUNTIF($G$2:G121,G121))</f>
        <v/>
      </c>
      <c r="I121" s="28" t="str">
        <f t="shared" si="15"/>
        <v/>
      </c>
      <c r="J121" s="28" t="str">
        <f>IF(G121="","",IF(COUNTIF($G$2:G121,G121)&gt;1,SUMIF($A$2:A121,G121,$C$2:C121),C121))</f>
        <v/>
      </c>
      <c r="K121" s="45" t="str">
        <f>IF(G121="","",IF(COUNTIF($G$2:G121,G121)&gt;1,SUMIF($A$2:A121,G121,$D$2:D121),D121) +SUMIF($G$2:G121,G121,$M$2:M121))</f>
        <v/>
      </c>
      <c r="L121" s="45" t="str">
        <f t="shared" si="16"/>
        <v/>
      </c>
      <c r="M121" s="46" t="str">
        <f>IF(G121="","",IF(B121 = "BUY", 0,(E121-VLOOKUP(CONCATENATE(G121,(H121-1)),$I$2:L120,4,FALSE))*-C121))</f>
        <v/>
      </c>
    </row>
    <row r="122" spans="1:13" ht="15" thickBot="1" x14ac:dyDescent="0.35">
      <c r="A122" s="27" t="str">
        <f>IF('Australian Transaction'!A122= "","",'Australian Transaction'!A122)</f>
        <v/>
      </c>
      <c r="B122" s="28" t="str">
        <f>IF('Australian Transaction'!B122= "","",'Australian Transaction'!B122)</f>
        <v/>
      </c>
      <c r="C122" s="28" t="str">
        <f>IF('Australian Transaction'!C122= "","",IF(B122="BUY",'Australian Transaction'!C122,-'Australian Transaction'!C122))</f>
        <v/>
      </c>
      <c r="D122" s="28" t="str">
        <f>IF('Australian Transaction'!D122 = "","",IF($B122 = "BUY", 'Australian Transaction'!D122,-'Australian Transaction'!D122))</f>
        <v/>
      </c>
      <c r="E122" s="28" t="str">
        <f>IF('Australian Transaction'!E122= "","",'Australian Transaction'!E122)</f>
        <v/>
      </c>
      <c r="F122" s="23"/>
      <c r="G122" s="28" t="str">
        <f t="shared" si="14"/>
        <v/>
      </c>
      <c r="H122" s="28" t="str">
        <f>IF(A122="","",COUNTIF($G$2:G122,G122))</f>
        <v/>
      </c>
      <c r="I122" s="28" t="str">
        <f t="shared" si="15"/>
        <v/>
      </c>
      <c r="J122" s="28" t="str">
        <f>IF(G122="","",IF(COUNTIF($G$2:G122,G122)&gt;1,SUMIF($A$2:A122,G122,$C$2:C122),C122))</f>
        <v/>
      </c>
      <c r="K122" s="45" t="str">
        <f>IF(G122="","",IF(COUNTIF($G$2:G122,G122)&gt;1,SUMIF($A$2:A122,G122,$D$2:D122),D122) +SUMIF($G$2:G122,G122,$M$2:M122))</f>
        <v/>
      </c>
      <c r="L122" s="45" t="str">
        <f t="shared" si="16"/>
        <v/>
      </c>
      <c r="M122" s="46" t="str">
        <f>IF(G122="","",IF(B122 = "BUY", 0,(E122-VLOOKUP(CONCATENATE(G122,(H122-1)),$I$2:L121,4,FALSE))*-C122))</f>
        <v/>
      </c>
    </row>
    <row r="123" spans="1:13" ht="15" thickBot="1" x14ac:dyDescent="0.35">
      <c r="A123" s="27" t="str">
        <f>IF('Australian Transaction'!A123= "","",'Australian Transaction'!A123)</f>
        <v/>
      </c>
      <c r="B123" s="28" t="str">
        <f>IF('Australian Transaction'!B123= "","",'Australian Transaction'!B123)</f>
        <v/>
      </c>
      <c r="C123" s="28" t="str">
        <f>IF('Australian Transaction'!C123= "","",IF(B123="BUY",'Australian Transaction'!C123,-'Australian Transaction'!C123))</f>
        <v/>
      </c>
      <c r="D123" s="28" t="str">
        <f>IF('Australian Transaction'!D123 = "","",IF($B123 = "BUY", 'Australian Transaction'!D123,-'Australian Transaction'!D123))</f>
        <v/>
      </c>
      <c r="E123" s="28" t="str">
        <f>IF('Australian Transaction'!E123= "","",'Australian Transaction'!E123)</f>
        <v/>
      </c>
      <c r="F123" s="23"/>
      <c r="G123" s="28" t="str">
        <f t="shared" si="14"/>
        <v/>
      </c>
      <c r="H123" s="28" t="str">
        <f>IF(A123="","",COUNTIF($G$2:G123,G123))</f>
        <v/>
      </c>
      <c r="I123" s="28" t="str">
        <f t="shared" si="15"/>
        <v/>
      </c>
      <c r="J123" s="28" t="str">
        <f>IF(G123="","",IF(COUNTIF($G$2:G123,G123)&gt;1,SUMIF($A$2:A123,G123,$C$2:C123),C123))</f>
        <v/>
      </c>
      <c r="K123" s="45" t="str">
        <f>IF(G123="","",IF(COUNTIF($G$2:G123,G123)&gt;1,SUMIF($A$2:A123,G123,$D$2:D123),D123) +SUMIF($G$2:G123,G123,$M$2:M123))</f>
        <v/>
      </c>
      <c r="L123" s="45" t="str">
        <f t="shared" si="16"/>
        <v/>
      </c>
      <c r="M123" s="46" t="str">
        <f>IF(G123="","",IF(B123 = "BUY", 0,(E123-VLOOKUP(CONCATENATE(G123,(H123-1)),$I$2:L122,4,FALSE))*-C123))</f>
        <v/>
      </c>
    </row>
    <row r="124" spans="1:13" ht="15" thickBot="1" x14ac:dyDescent="0.35">
      <c r="A124" s="27" t="str">
        <f>IF('Australian Transaction'!A124= "","",'Australian Transaction'!A124)</f>
        <v/>
      </c>
      <c r="B124" s="28" t="str">
        <f>IF('Australian Transaction'!B124= "","",'Australian Transaction'!B124)</f>
        <v/>
      </c>
      <c r="C124" s="28" t="str">
        <f>IF('Australian Transaction'!C124= "","",IF(B124="BUY",'Australian Transaction'!C124,-'Australian Transaction'!C124))</f>
        <v/>
      </c>
      <c r="D124" s="28" t="str">
        <f>IF('Australian Transaction'!D124 = "","",IF($B124 = "BUY", 'Australian Transaction'!D124,-'Australian Transaction'!D124))</f>
        <v/>
      </c>
      <c r="E124" s="28" t="str">
        <f>IF('Australian Transaction'!E124= "","",'Australian Transaction'!E124)</f>
        <v/>
      </c>
      <c r="F124" s="23"/>
      <c r="G124" s="28" t="str">
        <f t="shared" si="14"/>
        <v/>
      </c>
      <c r="H124" s="28" t="str">
        <f>IF(A124="","",COUNTIF($G$2:G124,G124))</f>
        <v/>
      </c>
      <c r="I124" s="28" t="str">
        <f t="shared" si="15"/>
        <v/>
      </c>
      <c r="J124" s="28" t="str">
        <f>IF(G124="","",IF(COUNTIF($G$2:G124,G124)&gt;1,SUMIF($A$2:A124,G124,$C$2:C124),C124))</f>
        <v/>
      </c>
      <c r="K124" s="45" t="str">
        <f>IF(G124="","",IF(COUNTIF($G$2:G124,G124)&gt;1,SUMIF($A$2:A124,G124,$D$2:D124),D124) +SUMIF($G$2:G124,G124,$M$2:M124))</f>
        <v/>
      </c>
      <c r="L124" s="45" t="str">
        <f t="shared" si="16"/>
        <v/>
      </c>
      <c r="M124" s="46" t="str">
        <f>IF(G124="","",IF(B124 = "BUY", 0,(E124-VLOOKUP(CONCATENATE(G124,(H124-1)),$I$2:L123,4,FALSE))*-C124))</f>
        <v/>
      </c>
    </row>
    <row r="125" spans="1:13" ht="15" thickBot="1" x14ac:dyDescent="0.35">
      <c r="A125" s="27" t="str">
        <f>IF('Australian Transaction'!A125= "","",'Australian Transaction'!A125)</f>
        <v/>
      </c>
      <c r="B125" s="28" t="str">
        <f>IF('Australian Transaction'!B125= "","",'Australian Transaction'!B125)</f>
        <v/>
      </c>
      <c r="C125" s="28" t="str">
        <f>IF('Australian Transaction'!C125= "","",IF(B125="BUY",'Australian Transaction'!C125,-'Australian Transaction'!C125))</f>
        <v/>
      </c>
      <c r="D125" s="28" t="str">
        <f>IF('Australian Transaction'!D125 = "","",IF($B125 = "BUY", 'Australian Transaction'!D125,-'Australian Transaction'!D125))</f>
        <v/>
      </c>
      <c r="E125" s="28" t="str">
        <f>IF('Australian Transaction'!E125= "","",'Australian Transaction'!E125)</f>
        <v/>
      </c>
      <c r="F125" s="23"/>
      <c r="G125" s="28" t="str">
        <f t="shared" si="14"/>
        <v/>
      </c>
      <c r="H125" s="28" t="str">
        <f>IF(A125="","",COUNTIF($G$2:G125,G125))</f>
        <v/>
      </c>
      <c r="I125" s="28" t="str">
        <f t="shared" si="15"/>
        <v/>
      </c>
      <c r="J125" s="28" t="str">
        <f>IF(G125="","",IF(COUNTIF($G$2:G125,G125)&gt;1,SUMIF($A$2:A125,G125,$C$2:C125),C125))</f>
        <v/>
      </c>
      <c r="K125" s="45" t="str">
        <f>IF(G125="","",IF(COUNTIF($G$2:G125,G125)&gt;1,SUMIF($A$2:A125,G125,$D$2:D125),D125) +SUMIF($G$2:G125,G125,$M$2:M125))</f>
        <v/>
      </c>
      <c r="L125" s="45" t="str">
        <f t="shared" si="16"/>
        <v/>
      </c>
      <c r="M125" s="46" t="str">
        <f>IF(G125="","",IF(B125 = "BUY", 0,(E125-VLOOKUP(CONCATENATE(G125,(H125-1)),$I$2:L124,4,FALSE))*-C125))</f>
        <v/>
      </c>
    </row>
    <row r="126" spans="1:13" ht="15" thickBot="1" x14ac:dyDescent="0.35">
      <c r="A126" s="27" t="str">
        <f>IF('Australian Transaction'!A126= "","",'Australian Transaction'!A126)</f>
        <v/>
      </c>
      <c r="B126" s="28" t="str">
        <f>IF('Australian Transaction'!B126= "","",'Australian Transaction'!B126)</f>
        <v/>
      </c>
      <c r="C126" s="28" t="str">
        <f>IF('Australian Transaction'!C126= "","",IF(B126="BUY",'Australian Transaction'!C126,-'Australian Transaction'!C126))</f>
        <v/>
      </c>
      <c r="D126" s="28" t="str">
        <f>IF('Australian Transaction'!D126 = "","",IF($B126 = "BUY", 'Australian Transaction'!D126,-'Australian Transaction'!D126))</f>
        <v/>
      </c>
      <c r="E126" s="28" t="str">
        <f>IF('Australian Transaction'!E126= "","",'Australian Transaction'!E126)</f>
        <v/>
      </c>
      <c r="F126" s="23"/>
      <c r="G126" s="28" t="str">
        <f t="shared" si="14"/>
        <v/>
      </c>
      <c r="H126" s="28" t="str">
        <f>IF(A126="","",COUNTIF($G$2:G126,G126))</f>
        <v/>
      </c>
      <c r="I126" s="28" t="str">
        <f t="shared" si="15"/>
        <v/>
      </c>
      <c r="J126" s="28" t="str">
        <f>IF(G126="","",IF(COUNTIF($G$2:G126,G126)&gt;1,SUMIF($A$2:A126,G126,$C$2:C126),C126))</f>
        <v/>
      </c>
      <c r="K126" s="45" t="str">
        <f>IF(G126="","",IF(COUNTIF($G$2:G126,G126)&gt;1,SUMIF($A$2:A126,G126,$D$2:D126),D126) +SUMIF($G$2:G126,G126,$M$2:M126))</f>
        <v/>
      </c>
      <c r="L126" s="45" t="str">
        <f t="shared" si="16"/>
        <v/>
      </c>
      <c r="M126" s="46" t="str">
        <f>IF(G126="","",IF(B126 = "BUY", 0,(E126-VLOOKUP(CONCATENATE(G126,(H126-1)),$I$2:L125,4,FALSE))*-C126))</f>
        <v/>
      </c>
    </row>
    <row r="127" spans="1:13" ht="15" thickBot="1" x14ac:dyDescent="0.35">
      <c r="A127" s="27" t="str">
        <f>IF('Australian Transaction'!A127= "","",'Australian Transaction'!A127)</f>
        <v/>
      </c>
      <c r="B127" s="28" t="str">
        <f>IF('Australian Transaction'!B127= "","",'Australian Transaction'!B127)</f>
        <v/>
      </c>
      <c r="C127" s="28" t="str">
        <f>IF('Australian Transaction'!C127= "","",IF(B127="BUY",'Australian Transaction'!C127,-'Australian Transaction'!C127))</f>
        <v/>
      </c>
      <c r="D127" s="28" t="str">
        <f>IF('Australian Transaction'!D127 = "","",IF($B127 = "BUY", 'Australian Transaction'!D127,-'Australian Transaction'!D127))</f>
        <v/>
      </c>
      <c r="E127" s="28" t="str">
        <f>IF('Australian Transaction'!E127= "","",'Australian Transaction'!E127)</f>
        <v/>
      </c>
      <c r="F127" s="23"/>
      <c r="G127" s="28" t="str">
        <f t="shared" si="14"/>
        <v/>
      </c>
      <c r="H127" s="28" t="str">
        <f>IF(A127="","",COUNTIF($G$2:G127,G127))</f>
        <v/>
      </c>
      <c r="I127" s="28" t="str">
        <f t="shared" si="15"/>
        <v/>
      </c>
      <c r="J127" s="28" t="str">
        <f>IF(G127="","",IF(COUNTIF($G$2:G127,G127)&gt;1,SUMIF($A$2:A127,G127,$C$2:C127),C127))</f>
        <v/>
      </c>
      <c r="K127" s="45" t="str">
        <f>IF(G127="","",IF(COUNTIF($G$2:G127,G127)&gt;1,SUMIF($A$2:A127,G127,$D$2:D127),D127) +SUMIF($G$2:G127,G127,$M$2:M127))</f>
        <v/>
      </c>
      <c r="L127" s="45" t="str">
        <f t="shared" si="16"/>
        <v/>
      </c>
      <c r="M127" s="46" t="str">
        <f>IF(G127="","",IF(B127 = "BUY", 0,(E127-VLOOKUP(CONCATENATE(G127,(H127-1)),$I$2:L126,4,FALSE))*-C127))</f>
        <v/>
      </c>
    </row>
    <row r="128" spans="1:13" ht="15" thickBot="1" x14ac:dyDescent="0.35">
      <c r="A128" s="27" t="str">
        <f>IF('Australian Transaction'!A128= "","",'Australian Transaction'!A128)</f>
        <v/>
      </c>
      <c r="B128" s="28" t="str">
        <f>IF('Australian Transaction'!B128= "","",'Australian Transaction'!B128)</f>
        <v/>
      </c>
      <c r="C128" s="28" t="str">
        <f>IF('Australian Transaction'!C128= "","",IF(B128="BUY",'Australian Transaction'!C128,-'Australian Transaction'!C128))</f>
        <v/>
      </c>
      <c r="D128" s="28" t="str">
        <f>IF('Australian Transaction'!D128 = "","",IF($B128 = "BUY", 'Australian Transaction'!D128,-'Australian Transaction'!D128))</f>
        <v/>
      </c>
      <c r="E128" s="28" t="str">
        <f>IF('Australian Transaction'!E128= "","",'Australian Transaction'!E128)</f>
        <v/>
      </c>
      <c r="F128" s="23"/>
      <c r="G128" s="28" t="str">
        <f t="shared" si="14"/>
        <v/>
      </c>
      <c r="H128" s="28" t="str">
        <f>IF(A128="","",COUNTIF($G$2:G128,G128))</f>
        <v/>
      </c>
      <c r="I128" s="28" t="str">
        <f t="shared" si="15"/>
        <v/>
      </c>
      <c r="J128" s="28" t="str">
        <f>IF(G128="","",IF(COUNTIF($G$2:G128,G128)&gt;1,SUMIF($A$2:A128,G128,$C$2:C128),C128))</f>
        <v/>
      </c>
      <c r="K128" s="45" t="str">
        <f>IF(G128="","",IF(COUNTIF($G$2:G128,G128)&gt;1,SUMIF($A$2:A128,G128,$D$2:D128),D128) +SUMIF($G$2:G128,G128,$M$2:M128))</f>
        <v/>
      </c>
      <c r="L128" s="45" t="str">
        <f t="shared" si="16"/>
        <v/>
      </c>
      <c r="M128" s="46" t="str">
        <f>IF(G128="","",IF(B128 = "BUY", 0,(E128-VLOOKUP(CONCATENATE(G128,(H128-1)),$I$2:L127,4,FALSE))*-C128))</f>
        <v/>
      </c>
    </row>
    <row r="129" spans="1:13" ht="15" thickBot="1" x14ac:dyDescent="0.35">
      <c r="A129" s="27" t="str">
        <f>IF('Australian Transaction'!A129= "","",'Australian Transaction'!A129)</f>
        <v/>
      </c>
      <c r="B129" s="28" t="str">
        <f>IF('Australian Transaction'!B129= "","",'Australian Transaction'!B129)</f>
        <v/>
      </c>
      <c r="C129" s="28" t="str">
        <f>IF('Australian Transaction'!C129= "","",IF(B129="BUY",'Australian Transaction'!C129,-'Australian Transaction'!C129))</f>
        <v/>
      </c>
      <c r="D129" s="28" t="str">
        <f>IF('Australian Transaction'!D129 = "","",IF($B129 = "BUY", 'Australian Transaction'!D129,-'Australian Transaction'!D129))</f>
        <v/>
      </c>
      <c r="E129" s="28" t="str">
        <f>IF('Australian Transaction'!E129= "","",'Australian Transaction'!E129)</f>
        <v/>
      </c>
      <c r="F129" s="23"/>
      <c r="G129" s="28" t="str">
        <f t="shared" si="14"/>
        <v/>
      </c>
      <c r="H129" s="28" t="str">
        <f>IF(A129="","",COUNTIF($G$2:G129,G129))</f>
        <v/>
      </c>
      <c r="I129" s="28" t="str">
        <f t="shared" si="15"/>
        <v/>
      </c>
      <c r="J129" s="28" t="str">
        <f>IF(G129="","",IF(COUNTIF($G$2:G129,G129)&gt;1,SUMIF($A$2:A129,G129,$C$2:C129),C129))</f>
        <v/>
      </c>
      <c r="K129" s="45" t="str">
        <f>IF(G129="","",IF(COUNTIF($G$2:G129,G129)&gt;1,SUMIF($A$2:A129,G129,$D$2:D129),D129) +SUMIF($G$2:G129,G129,$M$2:M129))</f>
        <v/>
      </c>
      <c r="L129" s="45" t="str">
        <f t="shared" si="16"/>
        <v/>
      </c>
      <c r="M129" s="46" t="str">
        <f>IF(G129="","",IF(B129 = "BUY", 0,(E129-VLOOKUP(CONCATENATE(G129,(H129-1)),$I$2:L128,4,FALSE))*-C129))</f>
        <v/>
      </c>
    </row>
    <row r="130" spans="1:13" ht="15" thickBot="1" x14ac:dyDescent="0.35">
      <c r="A130" s="27" t="str">
        <f>IF('Australian Transaction'!A130= "","",'Australian Transaction'!A130)</f>
        <v/>
      </c>
      <c r="B130" s="28" t="str">
        <f>IF('Australian Transaction'!B130= "","",'Australian Transaction'!B130)</f>
        <v/>
      </c>
      <c r="C130" s="28" t="str">
        <f>IF('Australian Transaction'!C130= "","",IF(B130="BUY",'Australian Transaction'!C130,-'Australian Transaction'!C130))</f>
        <v/>
      </c>
      <c r="D130" s="28" t="str">
        <f>IF('Australian Transaction'!D130 = "","",IF($B130 = "BUY", 'Australian Transaction'!D130,-'Australian Transaction'!D130))</f>
        <v/>
      </c>
      <c r="E130" s="28" t="str">
        <f>IF('Australian Transaction'!E130= "","",'Australian Transaction'!E130)</f>
        <v/>
      </c>
      <c r="F130" s="23"/>
      <c r="G130" s="28" t="str">
        <f t="shared" si="14"/>
        <v/>
      </c>
      <c r="H130" s="28" t="str">
        <f>IF(A130="","",COUNTIF($G$2:G130,G130))</f>
        <v/>
      </c>
      <c r="I130" s="28" t="str">
        <f t="shared" si="15"/>
        <v/>
      </c>
      <c r="J130" s="28" t="str">
        <f>IF(G130="","",IF(COUNTIF($G$2:G130,G130)&gt;1,SUMIF($A$2:A130,G130,$C$2:C130),C130))</f>
        <v/>
      </c>
      <c r="K130" s="45" t="str">
        <f>IF(G130="","",IF(COUNTIF($G$2:G130,G130)&gt;1,SUMIF($A$2:A130,G130,$D$2:D130),D130) +SUMIF($G$2:G130,G130,$M$2:M130))</f>
        <v/>
      </c>
      <c r="L130" s="45" t="str">
        <f t="shared" si="16"/>
        <v/>
      </c>
      <c r="M130" s="46" t="str">
        <f>IF(G130="","",IF(B130 = "BUY", 0,(E130-VLOOKUP(CONCATENATE(G130,(H130-1)),$I$2:L129,4,FALSE))*-C130))</f>
        <v/>
      </c>
    </row>
    <row r="131" spans="1:13" ht="15" thickBot="1" x14ac:dyDescent="0.35">
      <c r="A131" s="27" t="str">
        <f>IF('Australian Transaction'!A131= "","",'Australian Transaction'!A131)</f>
        <v/>
      </c>
      <c r="B131" s="28" t="str">
        <f>IF('Australian Transaction'!B131= "","",'Australian Transaction'!B131)</f>
        <v/>
      </c>
      <c r="C131" s="28" t="str">
        <f>IF('Australian Transaction'!C131= "","",IF(B131="BUY",'Australian Transaction'!C131,-'Australian Transaction'!C131))</f>
        <v/>
      </c>
      <c r="D131" s="28" t="str">
        <f>IF('Australian Transaction'!D131 = "","",IF($B131 = "BUY", 'Australian Transaction'!D131,-'Australian Transaction'!D131))</f>
        <v/>
      </c>
      <c r="E131" s="28" t="str">
        <f>IF('Australian Transaction'!E131= "","",'Australian Transaction'!E131)</f>
        <v/>
      </c>
      <c r="F131" s="23"/>
      <c r="G131" s="28" t="str">
        <f t="shared" ref="G131:G194" si="17">A131</f>
        <v/>
      </c>
      <c r="H131" s="28" t="str">
        <f>IF(A131="","",COUNTIF($G$2:G131,G131))</f>
        <v/>
      </c>
      <c r="I131" s="28" t="str">
        <f t="shared" ref="I131:I194" si="18">_xlfn.CONCAT(G131,H131)</f>
        <v/>
      </c>
      <c r="J131" s="28" t="str">
        <f>IF(G131="","",IF(COUNTIF($G$2:G131,G131)&gt;1,SUMIF($A$2:A131,G131,$C$2:C131),C131))</f>
        <v/>
      </c>
      <c r="K131" s="45" t="str">
        <f>IF(G131="","",IF(COUNTIF($G$2:G131,G131)&gt;1,SUMIF($A$2:A131,G131,$D$2:D131),D131) +SUMIF($G$2:G131,G131,$M$2:M131))</f>
        <v/>
      </c>
      <c r="L131" s="45" t="str">
        <f t="shared" ref="L131:L194" si="19">IF(G131="","",IFERROR(K131/J131,0))</f>
        <v/>
      </c>
      <c r="M131" s="46" t="str">
        <f>IF(G131="","",IF(B131 = "BUY", 0,(E131-VLOOKUP(CONCATENATE(G131,(H131-1)),$I$2:L130,4,FALSE))*-C131))</f>
        <v/>
      </c>
    </row>
    <row r="132" spans="1:13" ht="15" thickBot="1" x14ac:dyDescent="0.35">
      <c r="A132" s="27" t="str">
        <f>IF('Australian Transaction'!A132= "","",'Australian Transaction'!A132)</f>
        <v/>
      </c>
      <c r="B132" s="28" t="str">
        <f>IF('Australian Transaction'!B132= "","",'Australian Transaction'!B132)</f>
        <v/>
      </c>
      <c r="C132" s="28" t="str">
        <f>IF('Australian Transaction'!C132= "","",IF(B132="BUY",'Australian Transaction'!C132,-'Australian Transaction'!C132))</f>
        <v/>
      </c>
      <c r="D132" s="28" t="str">
        <f>IF('Australian Transaction'!D132 = "","",IF($B132 = "BUY", 'Australian Transaction'!D132,-'Australian Transaction'!D132))</f>
        <v/>
      </c>
      <c r="E132" s="28" t="str">
        <f>IF('Australian Transaction'!E132= "","",'Australian Transaction'!E132)</f>
        <v/>
      </c>
      <c r="F132" s="23"/>
      <c r="G132" s="28" t="str">
        <f t="shared" si="17"/>
        <v/>
      </c>
      <c r="H132" s="28" t="str">
        <f>IF(A132="","",COUNTIF($G$2:G132,G132))</f>
        <v/>
      </c>
      <c r="I132" s="28" t="str">
        <f t="shared" si="18"/>
        <v/>
      </c>
      <c r="J132" s="28" t="str">
        <f>IF(G132="","",IF(COUNTIF($G$2:G132,G132)&gt;1,SUMIF($A$2:A132,G132,$C$2:C132),C132))</f>
        <v/>
      </c>
      <c r="K132" s="45" t="str">
        <f>IF(G132="","",IF(COUNTIF($G$2:G132,G132)&gt;1,SUMIF($A$2:A132,G132,$D$2:D132),D132) +SUMIF($G$2:G132,G132,$M$2:M132))</f>
        <v/>
      </c>
      <c r="L132" s="45" t="str">
        <f t="shared" si="19"/>
        <v/>
      </c>
      <c r="M132" s="46" t="str">
        <f>IF(G132="","",IF(B132 = "BUY", 0,(E132-VLOOKUP(CONCATENATE(G132,(H132-1)),$I$2:L131,4,FALSE))*-C132))</f>
        <v/>
      </c>
    </row>
    <row r="133" spans="1:13" ht="15" thickBot="1" x14ac:dyDescent="0.35">
      <c r="A133" s="27" t="str">
        <f>IF('Australian Transaction'!A133= "","",'Australian Transaction'!A133)</f>
        <v/>
      </c>
      <c r="B133" s="28" t="str">
        <f>IF('Australian Transaction'!B133= "","",'Australian Transaction'!B133)</f>
        <v/>
      </c>
      <c r="C133" s="28" t="str">
        <f>IF('Australian Transaction'!C133= "","",IF(B133="BUY",'Australian Transaction'!C133,-'Australian Transaction'!C133))</f>
        <v/>
      </c>
      <c r="D133" s="28" t="str">
        <f>IF('Australian Transaction'!D133 = "","",IF($B133 = "BUY", 'Australian Transaction'!D133,-'Australian Transaction'!D133))</f>
        <v/>
      </c>
      <c r="E133" s="28" t="str">
        <f>IF('Australian Transaction'!E133= "","",'Australian Transaction'!E133)</f>
        <v/>
      </c>
      <c r="F133" s="23"/>
      <c r="G133" s="28" t="str">
        <f t="shared" si="17"/>
        <v/>
      </c>
      <c r="H133" s="28" t="str">
        <f>IF(A133="","",COUNTIF($G$2:G133,G133))</f>
        <v/>
      </c>
      <c r="I133" s="28" t="str">
        <f t="shared" si="18"/>
        <v/>
      </c>
      <c r="J133" s="28" t="str">
        <f>IF(G133="","",IF(COUNTIF($G$2:G133,G133)&gt;1,SUMIF($A$2:A133,G133,$C$2:C133),C133))</f>
        <v/>
      </c>
      <c r="K133" s="45" t="str">
        <f>IF(G133="","",IF(COUNTIF($G$2:G133,G133)&gt;1,SUMIF($A$2:A133,G133,$D$2:D133),D133) +SUMIF($G$2:G133,G133,$M$2:M133))</f>
        <v/>
      </c>
      <c r="L133" s="45" t="str">
        <f t="shared" si="19"/>
        <v/>
      </c>
      <c r="M133" s="46" t="str">
        <f>IF(G133="","",IF(B133 = "BUY", 0,(E133-VLOOKUP(CONCATENATE(G133,(H133-1)),$I$2:L132,4,FALSE))*-C133))</f>
        <v/>
      </c>
    </row>
    <row r="134" spans="1:13" ht="15" thickBot="1" x14ac:dyDescent="0.35">
      <c r="A134" s="27" t="str">
        <f>IF('Australian Transaction'!A134= "","",'Australian Transaction'!A134)</f>
        <v/>
      </c>
      <c r="B134" s="28" t="str">
        <f>IF('Australian Transaction'!B134= "","",'Australian Transaction'!B134)</f>
        <v/>
      </c>
      <c r="C134" s="28" t="str">
        <f>IF('Australian Transaction'!C134= "","",IF(B134="BUY",'Australian Transaction'!C134,-'Australian Transaction'!C134))</f>
        <v/>
      </c>
      <c r="D134" s="28" t="str">
        <f>IF('Australian Transaction'!D134 = "","",IF($B134 = "BUY", 'Australian Transaction'!D134,-'Australian Transaction'!D134))</f>
        <v/>
      </c>
      <c r="E134" s="28" t="str">
        <f>IF('Australian Transaction'!E134= "","",'Australian Transaction'!E134)</f>
        <v/>
      </c>
      <c r="F134" s="23"/>
      <c r="G134" s="28" t="str">
        <f t="shared" si="17"/>
        <v/>
      </c>
      <c r="H134" s="28" t="str">
        <f>IF(A134="","",COUNTIF($G$2:G134,G134))</f>
        <v/>
      </c>
      <c r="I134" s="28" t="str">
        <f t="shared" si="18"/>
        <v/>
      </c>
      <c r="J134" s="28" t="str">
        <f>IF(G134="","",IF(COUNTIF($G$2:G134,G134)&gt;1,SUMIF($A$2:A134,G134,$C$2:C134),C134))</f>
        <v/>
      </c>
      <c r="K134" s="45" t="str">
        <f>IF(G134="","",IF(COUNTIF($G$2:G134,G134)&gt;1,SUMIF($A$2:A134,G134,$D$2:D134),D134) +SUMIF($G$2:G134,G134,$M$2:M134))</f>
        <v/>
      </c>
      <c r="L134" s="45" t="str">
        <f t="shared" si="19"/>
        <v/>
      </c>
      <c r="M134" s="46" t="str">
        <f>IF(G134="","",IF(B134 = "BUY", 0,(E134-VLOOKUP(CONCATENATE(G134,(H134-1)),$I$2:L133,4,FALSE))*-C134))</f>
        <v/>
      </c>
    </row>
    <row r="135" spans="1:13" ht="15" thickBot="1" x14ac:dyDescent="0.35">
      <c r="A135" s="27" t="str">
        <f>IF('Australian Transaction'!A135= "","",'Australian Transaction'!A135)</f>
        <v/>
      </c>
      <c r="B135" s="28" t="str">
        <f>IF('Australian Transaction'!B135= "","",'Australian Transaction'!B135)</f>
        <v/>
      </c>
      <c r="C135" s="28" t="str">
        <f>IF('Australian Transaction'!C135= "","",IF(B135="BUY",'Australian Transaction'!C135,-'Australian Transaction'!C135))</f>
        <v/>
      </c>
      <c r="D135" s="28" t="str">
        <f>IF('Australian Transaction'!D135 = "","",IF($B135 = "BUY", 'Australian Transaction'!D135,-'Australian Transaction'!D135))</f>
        <v/>
      </c>
      <c r="E135" s="28" t="str">
        <f>IF('Australian Transaction'!E135= "","",'Australian Transaction'!E135)</f>
        <v/>
      </c>
      <c r="F135" s="23"/>
      <c r="G135" s="28" t="str">
        <f t="shared" si="17"/>
        <v/>
      </c>
      <c r="H135" s="28" t="str">
        <f>IF(A135="","",COUNTIF($G$2:G135,G135))</f>
        <v/>
      </c>
      <c r="I135" s="28" t="str">
        <f t="shared" si="18"/>
        <v/>
      </c>
      <c r="J135" s="28" t="str">
        <f>IF(G135="","",IF(COUNTIF($G$2:G135,G135)&gt;1,SUMIF($A$2:A135,G135,$C$2:C135),C135))</f>
        <v/>
      </c>
      <c r="K135" s="45" t="str">
        <f>IF(G135="","",IF(COUNTIF($G$2:G135,G135)&gt;1,SUMIF($A$2:A135,G135,$D$2:D135),D135) +SUMIF($G$2:G135,G135,$M$2:M135))</f>
        <v/>
      </c>
      <c r="L135" s="45" t="str">
        <f t="shared" si="19"/>
        <v/>
      </c>
      <c r="M135" s="46" t="str">
        <f>IF(G135="","",IF(B135 = "BUY", 0,(E135-VLOOKUP(CONCATENATE(G135,(H135-1)),$I$2:L134,4,FALSE))*-C135))</f>
        <v/>
      </c>
    </row>
    <row r="136" spans="1:13" ht="15" thickBot="1" x14ac:dyDescent="0.35">
      <c r="A136" s="27" t="str">
        <f>IF('Australian Transaction'!A136= "","",'Australian Transaction'!A136)</f>
        <v/>
      </c>
      <c r="B136" s="28" t="str">
        <f>IF('Australian Transaction'!B136= "","",'Australian Transaction'!B136)</f>
        <v/>
      </c>
      <c r="C136" s="28" t="str">
        <f>IF('Australian Transaction'!C136= "","",IF(B136="BUY",'Australian Transaction'!C136,-'Australian Transaction'!C136))</f>
        <v/>
      </c>
      <c r="D136" s="28" t="str">
        <f>IF('Australian Transaction'!D136 = "","",IF($B136 = "BUY", 'Australian Transaction'!D136,-'Australian Transaction'!D136))</f>
        <v/>
      </c>
      <c r="E136" s="28" t="str">
        <f>IF('Australian Transaction'!E136= "","",'Australian Transaction'!E136)</f>
        <v/>
      </c>
      <c r="F136" s="23"/>
      <c r="G136" s="28" t="str">
        <f t="shared" si="17"/>
        <v/>
      </c>
      <c r="H136" s="28" t="str">
        <f>IF(A136="","",COUNTIF($G$2:G136,G136))</f>
        <v/>
      </c>
      <c r="I136" s="28" t="str">
        <f t="shared" si="18"/>
        <v/>
      </c>
      <c r="J136" s="28" t="str">
        <f>IF(G136="","",IF(COUNTIF($G$2:G136,G136)&gt;1,SUMIF($A$2:A136,G136,$C$2:C136),C136))</f>
        <v/>
      </c>
      <c r="K136" s="45" t="str">
        <f>IF(G136="","",IF(COUNTIF($G$2:G136,G136)&gt;1,SUMIF($A$2:A136,G136,$D$2:D136),D136) +SUMIF($G$2:G136,G136,$M$2:M136))</f>
        <v/>
      </c>
      <c r="L136" s="45" t="str">
        <f t="shared" si="19"/>
        <v/>
      </c>
      <c r="M136" s="46" t="str">
        <f>IF(G136="","",IF(B136 = "BUY", 0,(E136-VLOOKUP(CONCATENATE(G136,(H136-1)),$I$2:L135,4,FALSE))*-C136))</f>
        <v/>
      </c>
    </row>
    <row r="137" spans="1:13" ht="15" thickBot="1" x14ac:dyDescent="0.35">
      <c r="A137" s="27" t="str">
        <f>IF('Australian Transaction'!A137= "","",'Australian Transaction'!A137)</f>
        <v/>
      </c>
      <c r="B137" s="28" t="str">
        <f>IF('Australian Transaction'!B137= "","",'Australian Transaction'!B137)</f>
        <v/>
      </c>
      <c r="C137" s="28" t="str">
        <f>IF('Australian Transaction'!C137= "","",IF(B137="BUY",'Australian Transaction'!C137,-'Australian Transaction'!C137))</f>
        <v/>
      </c>
      <c r="D137" s="28" t="str">
        <f>IF('Australian Transaction'!D137 = "","",IF($B137 = "BUY", 'Australian Transaction'!D137,-'Australian Transaction'!D137))</f>
        <v/>
      </c>
      <c r="E137" s="28" t="str">
        <f>IF('Australian Transaction'!E137= "","",'Australian Transaction'!E137)</f>
        <v/>
      </c>
      <c r="F137" s="23"/>
      <c r="G137" s="28" t="str">
        <f t="shared" si="17"/>
        <v/>
      </c>
      <c r="H137" s="28" t="str">
        <f>IF(A137="","",COUNTIF($G$2:G137,G137))</f>
        <v/>
      </c>
      <c r="I137" s="28" t="str">
        <f t="shared" si="18"/>
        <v/>
      </c>
      <c r="J137" s="28" t="str">
        <f>IF(G137="","",IF(COUNTIF($G$2:G137,G137)&gt;1,SUMIF($A$2:A137,G137,$C$2:C137),C137))</f>
        <v/>
      </c>
      <c r="K137" s="45" t="str">
        <f>IF(G137="","",IF(COUNTIF($G$2:G137,G137)&gt;1,SUMIF($A$2:A137,G137,$D$2:D137),D137) +SUMIF($G$2:G137,G137,$M$2:M137))</f>
        <v/>
      </c>
      <c r="L137" s="45" t="str">
        <f t="shared" si="19"/>
        <v/>
      </c>
      <c r="M137" s="46" t="str">
        <f>IF(G137="","",IF(B137 = "BUY", 0,(E137-VLOOKUP(CONCATENATE(G137,(H137-1)),$I$2:L136,4,FALSE))*-C137))</f>
        <v/>
      </c>
    </row>
    <row r="138" spans="1:13" ht="15" thickBot="1" x14ac:dyDescent="0.35">
      <c r="A138" s="27" t="str">
        <f>IF('Australian Transaction'!A138= "","",'Australian Transaction'!A138)</f>
        <v/>
      </c>
      <c r="B138" s="28" t="str">
        <f>IF('Australian Transaction'!B138= "","",'Australian Transaction'!B138)</f>
        <v/>
      </c>
      <c r="C138" s="28" t="str">
        <f>IF('Australian Transaction'!C138= "","",IF(B138="BUY",'Australian Transaction'!C138,-'Australian Transaction'!C138))</f>
        <v/>
      </c>
      <c r="D138" s="28" t="str">
        <f>IF('Australian Transaction'!D138 = "","",IF($B138 = "BUY", 'Australian Transaction'!D138,-'Australian Transaction'!D138))</f>
        <v/>
      </c>
      <c r="E138" s="28" t="str">
        <f>IF('Australian Transaction'!E138= "","",'Australian Transaction'!E138)</f>
        <v/>
      </c>
      <c r="F138" s="23"/>
      <c r="G138" s="28" t="str">
        <f t="shared" si="17"/>
        <v/>
      </c>
      <c r="H138" s="28" t="str">
        <f>IF(A138="","",COUNTIF($G$2:G138,G138))</f>
        <v/>
      </c>
      <c r="I138" s="28" t="str">
        <f t="shared" si="18"/>
        <v/>
      </c>
      <c r="J138" s="28" t="str">
        <f>IF(G138="","",IF(COUNTIF($G$2:G138,G138)&gt;1,SUMIF($A$2:A138,G138,$C$2:C138),C138))</f>
        <v/>
      </c>
      <c r="K138" s="45" t="str">
        <f>IF(G138="","",IF(COUNTIF($G$2:G138,G138)&gt;1,SUMIF($A$2:A138,G138,$D$2:D138),D138) +SUMIF($G$2:G138,G138,$M$2:M138))</f>
        <v/>
      </c>
      <c r="L138" s="45" t="str">
        <f t="shared" si="19"/>
        <v/>
      </c>
      <c r="M138" s="46" t="str">
        <f>IF(G138="","",IF(B138 = "BUY", 0,(E138-VLOOKUP(CONCATENATE(G138,(H138-1)),$I$2:L137,4,FALSE))*-C138))</f>
        <v/>
      </c>
    </row>
    <row r="139" spans="1:13" ht="15" thickBot="1" x14ac:dyDescent="0.35">
      <c r="A139" s="27" t="str">
        <f>IF('Australian Transaction'!A139= "","",'Australian Transaction'!A139)</f>
        <v/>
      </c>
      <c r="B139" s="28" t="str">
        <f>IF('Australian Transaction'!B139= "","",'Australian Transaction'!B139)</f>
        <v/>
      </c>
      <c r="C139" s="28" t="str">
        <f>IF('Australian Transaction'!C139= "","",IF(B139="BUY",'Australian Transaction'!C139,-'Australian Transaction'!C139))</f>
        <v/>
      </c>
      <c r="D139" s="28" t="str">
        <f>IF('Australian Transaction'!D139 = "","",IF($B139 = "BUY", 'Australian Transaction'!D139,-'Australian Transaction'!D139))</f>
        <v/>
      </c>
      <c r="E139" s="28" t="str">
        <f>IF('Australian Transaction'!E139= "","",'Australian Transaction'!E139)</f>
        <v/>
      </c>
      <c r="F139" s="23"/>
      <c r="G139" s="28" t="str">
        <f t="shared" si="17"/>
        <v/>
      </c>
      <c r="H139" s="28" t="str">
        <f>IF(A139="","",COUNTIF($G$2:G139,G139))</f>
        <v/>
      </c>
      <c r="I139" s="28" t="str">
        <f t="shared" si="18"/>
        <v/>
      </c>
      <c r="J139" s="28" t="str">
        <f>IF(G139="","",IF(COUNTIF($G$2:G139,G139)&gt;1,SUMIF($A$2:A139,G139,$C$2:C139),C139))</f>
        <v/>
      </c>
      <c r="K139" s="45" t="str">
        <f>IF(G139="","",IF(COUNTIF($G$2:G139,G139)&gt;1,SUMIF($A$2:A139,G139,$D$2:D139),D139) +SUMIF($G$2:G139,G139,$M$2:M139))</f>
        <v/>
      </c>
      <c r="L139" s="45" t="str">
        <f t="shared" si="19"/>
        <v/>
      </c>
      <c r="M139" s="46" t="str">
        <f>IF(G139="","",IF(B139 = "BUY", 0,(E139-VLOOKUP(CONCATENATE(G139,(H139-1)),$I$2:L138,4,FALSE))*-C139))</f>
        <v/>
      </c>
    </row>
    <row r="140" spans="1:13" ht="15" thickBot="1" x14ac:dyDescent="0.35">
      <c r="A140" s="27" t="str">
        <f>IF('Australian Transaction'!A140= "","",'Australian Transaction'!A140)</f>
        <v/>
      </c>
      <c r="B140" s="28" t="str">
        <f>IF('Australian Transaction'!B140= "","",'Australian Transaction'!B140)</f>
        <v/>
      </c>
      <c r="C140" s="28" t="str">
        <f>IF('Australian Transaction'!C140= "","",IF(B140="BUY",'Australian Transaction'!C140,-'Australian Transaction'!C140))</f>
        <v/>
      </c>
      <c r="D140" s="28" t="str">
        <f>IF('Australian Transaction'!D140 = "","",IF($B140 = "BUY", 'Australian Transaction'!D140,-'Australian Transaction'!D140))</f>
        <v/>
      </c>
      <c r="E140" s="28" t="str">
        <f>IF('Australian Transaction'!E140= "","",'Australian Transaction'!E140)</f>
        <v/>
      </c>
      <c r="F140" s="23"/>
      <c r="G140" s="28" t="str">
        <f t="shared" si="17"/>
        <v/>
      </c>
      <c r="H140" s="28" t="str">
        <f>IF(A140="","",COUNTIF($G$2:G140,G140))</f>
        <v/>
      </c>
      <c r="I140" s="28" t="str">
        <f t="shared" si="18"/>
        <v/>
      </c>
      <c r="J140" s="28" t="str">
        <f>IF(G140="","",IF(COUNTIF($G$2:G140,G140)&gt;1,SUMIF($A$2:A140,G140,$C$2:C140),C140))</f>
        <v/>
      </c>
      <c r="K140" s="45" t="str">
        <f>IF(G140="","",IF(COUNTIF($G$2:G140,G140)&gt;1,SUMIF($A$2:A140,G140,$D$2:D140),D140) +SUMIF($G$2:G140,G140,$M$2:M140))</f>
        <v/>
      </c>
      <c r="L140" s="45" t="str">
        <f t="shared" si="19"/>
        <v/>
      </c>
      <c r="M140" s="46" t="str">
        <f>IF(G140="","",IF(B140 = "BUY", 0,(E140-VLOOKUP(CONCATENATE(G140,(H140-1)),$I$2:L139,4,FALSE))*-C140))</f>
        <v/>
      </c>
    </row>
    <row r="141" spans="1:13" ht="15" thickBot="1" x14ac:dyDescent="0.35">
      <c r="A141" s="27" t="str">
        <f>IF('Australian Transaction'!A141= "","",'Australian Transaction'!A141)</f>
        <v/>
      </c>
      <c r="B141" s="28" t="str">
        <f>IF('Australian Transaction'!B141= "","",'Australian Transaction'!B141)</f>
        <v/>
      </c>
      <c r="C141" s="28" t="str">
        <f>IF('Australian Transaction'!C141= "","",IF(B141="BUY",'Australian Transaction'!C141,-'Australian Transaction'!C141))</f>
        <v/>
      </c>
      <c r="D141" s="28" t="str">
        <f>IF('Australian Transaction'!D141 = "","",IF($B141 = "BUY", 'Australian Transaction'!D141,-'Australian Transaction'!D141))</f>
        <v/>
      </c>
      <c r="E141" s="28" t="str">
        <f>IF('Australian Transaction'!E141= "","",'Australian Transaction'!E141)</f>
        <v/>
      </c>
      <c r="F141" s="23"/>
      <c r="G141" s="28" t="str">
        <f t="shared" si="17"/>
        <v/>
      </c>
      <c r="H141" s="28" t="str">
        <f>IF(A141="","",COUNTIF($G$2:G141,G141))</f>
        <v/>
      </c>
      <c r="I141" s="28" t="str">
        <f t="shared" si="18"/>
        <v/>
      </c>
      <c r="J141" s="28" t="str">
        <f>IF(G141="","",IF(COUNTIF($G$2:G141,G141)&gt;1,SUMIF($A$2:A141,G141,$C$2:C141),C141))</f>
        <v/>
      </c>
      <c r="K141" s="45" t="str">
        <f>IF(G141="","",IF(COUNTIF($G$2:G141,G141)&gt;1,SUMIF($A$2:A141,G141,$D$2:D141),D141) +SUMIF($G$2:G141,G141,$M$2:M141))</f>
        <v/>
      </c>
      <c r="L141" s="45" t="str">
        <f t="shared" si="19"/>
        <v/>
      </c>
      <c r="M141" s="46" t="str">
        <f>IF(G141="","",IF(B141 = "BUY", 0,(E141-VLOOKUP(CONCATENATE(G141,(H141-1)),$I$2:L140,4,FALSE))*-C141))</f>
        <v/>
      </c>
    </row>
    <row r="142" spans="1:13" ht="15" thickBot="1" x14ac:dyDescent="0.35">
      <c r="A142" s="27" t="str">
        <f>IF('Australian Transaction'!A142= "","",'Australian Transaction'!A142)</f>
        <v/>
      </c>
      <c r="B142" s="28" t="str">
        <f>IF('Australian Transaction'!B142= "","",'Australian Transaction'!B142)</f>
        <v/>
      </c>
      <c r="C142" s="28" t="str">
        <f>IF('Australian Transaction'!C142= "","",IF(B142="BUY",'Australian Transaction'!C142,-'Australian Transaction'!C142))</f>
        <v/>
      </c>
      <c r="D142" s="28" t="str">
        <f>IF('Australian Transaction'!D142 = "","",IF($B142 = "BUY", 'Australian Transaction'!D142,-'Australian Transaction'!D142))</f>
        <v/>
      </c>
      <c r="E142" s="28" t="str">
        <f>IF('Australian Transaction'!E142= "","",'Australian Transaction'!E142)</f>
        <v/>
      </c>
      <c r="F142" s="23"/>
      <c r="G142" s="28" t="str">
        <f t="shared" si="17"/>
        <v/>
      </c>
      <c r="H142" s="28" t="str">
        <f>IF(A142="","",COUNTIF($G$2:G142,G142))</f>
        <v/>
      </c>
      <c r="I142" s="28" t="str">
        <f t="shared" si="18"/>
        <v/>
      </c>
      <c r="J142" s="28" t="str">
        <f>IF(G142="","",IF(COUNTIF($G$2:G142,G142)&gt;1,SUMIF($A$2:A142,G142,$C$2:C142),C142))</f>
        <v/>
      </c>
      <c r="K142" s="45" t="str">
        <f>IF(G142="","",IF(COUNTIF($G$2:G142,G142)&gt;1,SUMIF($A$2:A142,G142,$D$2:D142),D142) +SUMIF($G$2:G142,G142,$M$2:M142))</f>
        <v/>
      </c>
      <c r="L142" s="45" t="str">
        <f t="shared" si="19"/>
        <v/>
      </c>
      <c r="M142" s="46" t="str">
        <f>IF(G142="","",IF(B142 = "BUY", 0,(E142-VLOOKUP(CONCATENATE(G142,(H142-1)),$I$2:L141,4,FALSE))*-C142))</f>
        <v/>
      </c>
    </row>
    <row r="143" spans="1:13" ht="15" thickBot="1" x14ac:dyDescent="0.35">
      <c r="A143" s="27" t="str">
        <f>IF('Australian Transaction'!A143= "","",'Australian Transaction'!A143)</f>
        <v/>
      </c>
      <c r="B143" s="28" t="str">
        <f>IF('Australian Transaction'!B143= "","",'Australian Transaction'!B143)</f>
        <v/>
      </c>
      <c r="C143" s="28" t="str">
        <f>IF('Australian Transaction'!C143= "","",IF(B143="BUY",'Australian Transaction'!C143,-'Australian Transaction'!C143))</f>
        <v/>
      </c>
      <c r="D143" s="28" t="str">
        <f>IF('Australian Transaction'!D143 = "","",IF($B143 = "BUY", 'Australian Transaction'!D143,-'Australian Transaction'!D143))</f>
        <v/>
      </c>
      <c r="E143" s="28" t="str">
        <f>IF('Australian Transaction'!E143= "","",'Australian Transaction'!E143)</f>
        <v/>
      </c>
      <c r="F143" s="23"/>
      <c r="G143" s="28" t="str">
        <f t="shared" si="17"/>
        <v/>
      </c>
      <c r="H143" s="28" t="str">
        <f>IF(A143="","",COUNTIF($G$2:G143,G143))</f>
        <v/>
      </c>
      <c r="I143" s="28" t="str">
        <f t="shared" si="18"/>
        <v/>
      </c>
      <c r="J143" s="28" t="str">
        <f>IF(G143="","",IF(COUNTIF($G$2:G143,G143)&gt;1,SUMIF($A$2:A143,G143,$C$2:C143),C143))</f>
        <v/>
      </c>
      <c r="K143" s="45" t="str">
        <f>IF(G143="","",IF(COUNTIF($G$2:G143,G143)&gt;1,SUMIF($A$2:A143,G143,$D$2:D143),D143) +SUMIF($G$2:G143,G143,$M$2:M143))</f>
        <v/>
      </c>
      <c r="L143" s="45" t="str">
        <f t="shared" si="19"/>
        <v/>
      </c>
      <c r="M143" s="46" t="str">
        <f>IF(G143="","",IF(B143 = "BUY", 0,(E143-VLOOKUP(CONCATENATE(G143,(H143-1)),$I$2:L142,4,FALSE))*-C143))</f>
        <v/>
      </c>
    </row>
    <row r="144" spans="1:13" ht="15" thickBot="1" x14ac:dyDescent="0.35">
      <c r="A144" s="27" t="str">
        <f>IF('Australian Transaction'!A144= "","",'Australian Transaction'!A144)</f>
        <v/>
      </c>
      <c r="B144" s="28" t="str">
        <f>IF('Australian Transaction'!B144= "","",'Australian Transaction'!B144)</f>
        <v/>
      </c>
      <c r="C144" s="28" t="str">
        <f>IF('Australian Transaction'!C144= "","",IF(B144="BUY",'Australian Transaction'!C144,-'Australian Transaction'!C144))</f>
        <v/>
      </c>
      <c r="D144" s="28" t="str">
        <f>IF('Australian Transaction'!D144 = "","",IF($B144 = "BUY", 'Australian Transaction'!D144,-'Australian Transaction'!D144))</f>
        <v/>
      </c>
      <c r="E144" s="28" t="str">
        <f>IF('Australian Transaction'!E144= "","",'Australian Transaction'!E144)</f>
        <v/>
      </c>
      <c r="F144" s="23"/>
      <c r="G144" s="28" t="str">
        <f t="shared" si="17"/>
        <v/>
      </c>
      <c r="H144" s="28" t="str">
        <f>IF(A144="","",COUNTIF($G$2:G144,G144))</f>
        <v/>
      </c>
      <c r="I144" s="28" t="str">
        <f t="shared" si="18"/>
        <v/>
      </c>
      <c r="J144" s="28" t="str">
        <f>IF(G144="","",IF(COUNTIF($G$2:G144,G144)&gt;1,SUMIF($A$2:A144,G144,$C$2:C144),C144))</f>
        <v/>
      </c>
      <c r="K144" s="45" t="str">
        <f>IF(G144="","",IF(COUNTIF($G$2:G144,G144)&gt;1,SUMIF($A$2:A144,G144,$D$2:D144),D144) +SUMIF($G$2:G144,G144,$M$2:M144))</f>
        <v/>
      </c>
      <c r="L144" s="45" t="str">
        <f t="shared" si="19"/>
        <v/>
      </c>
      <c r="M144" s="46" t="str">
        <f>IF(G144="","",IF(B144 = "BUY", 0,(E144-VLOOKUP(CONCATENATE(G144,(H144-1)),$I$2:L143,4,FALSE))*-C144))</f>
        <v/>
      </c>
    </row>
    <row r="145" spans="1:13" ht="15" thickBot="1" x14ac:dyDescent="0.35">
      <c r="A145" s="27" t="str">
        <f>IF('Australian Transaction'!A145= "","",'Australian Transaction'!A145)</f>
        <v/>
      </c>
      <c r="B145" s="28" t="str">
        <f>IF('Australian Transaction'!B145= "","",'Australian Transaction'!B145)</f>
        <v/>
      </c>
      <c r="C145" s="28" t="str">
        <f>IF('Australian Transaction'!C145= "","",IF(B145="BUY",'Australian Transaction'!C145,-'Australian Transaction'!C145))</f>
        <v/>
      </c>
      <c r="D145" s="28" t="str">
        <f>IF('Australian Transaction'!D145 = "","",IF($B145 = "BUY", 'Australian Transaction'!D145,-'Australian Transaction'!D145))</f>
        <v/>
      </c>
      <c r="E145" s="28" t="str">
        <f>IF('Australian Transaction'!E145= "","",'Australian Transaction'!E145)</f>
        <v/>
      </c>
      <c r="F145" s="23"/>
      <c r="G145" s="28" t="str">
        <f t="shared" si="17"/>
        <v/>
      </c>
      <c r="H145" s="28" t="str">
        <f>IF(A145="","",COUNTIF($G$2:G145,G145))</f>
        <v/>
      </c>
      <c r="I145" s="28" t="str">
        <f t="shared" si="18"/>
        <v/>
      </c>
      <c r="J145" s="28" t="str">
        <f>IF(G145="","",IF(COUNTIF($G$2:G145,G145)&gt;1,SUMIF($A$2:A145,G145,$C$2:C145),C145))</f>
        <v/>
      </c>
      <c r="K145" s="45" t="str">
        <f>IF(G145="","",IF(COUNTIF($G$2:G145,G145)&gt;1,SUMIF($A$2:A145,G145,$D$2:D145),D145) +SUMIF($G$2:G145,G145,$M$2:M145))</f>
        <v/>
      </c>
      <c r="L145" s="45" t="str">
        <f t="shared" si="19"/>
        <v/>
      </c>
      <c r="M145" s="46" t="str">
        <f>IF(G145="","",IF(B145 = "BUY", 0,(E145-VLOOKUP(CONCATENATE(G145,(H145-1)),$I$2:L144,4,FALSE))*-C145))</f>
        <v/>
      </c>
    </row>
    <row r="146" spans="1:13" ht="15" thickBot="1" x14ac:dyDescent="0.35">
      <c r="A146" s="27" t="str">
        <f>IF('Australian Transaction'!A146= "","",'Australian Transaction'!A146)</f>
        <v/>
      </c>
      <c r="B146" s="28" t="str">
        <f>IF('Australian Transaction'!B146= "","",'Australian Transaction'!B146)</f>
        <v/>
      </c>
      <c r="C146" s="28" t="str">
        <f>IF('Australian Transaction'!C146= "","",IF(B146="BUY",'Australian Transaction'!C146,-'Australian Transaction'!C146))</f>
        <v/>
      </c>
      <c r="D146" s="28" t="str">
        <f>IF('Australian Transaction'!D146 = "","",IF($B146 = "BUY", 'Australian Transaction'!D146,-'Australian Transaction'!D146))</f>
        <v/>
      </c>
      <c r="E146" s="28" t="str">
        <f>IF('Australian Transaction'!E146= "","",'Australian Transaction'!E146)</f>
        <v/>
      </c>
      <c r="F146" s="23"/>
      <c r="G146" s="28" t="str">
        <f t="shared" si="17"/>
        <v/>
      </c>
      <c r="H146" s="28" t="str">
        <f>IF(A146="","",COUNTIF($G$2:G146,G146))</f>
        <v/>
      </c>
      <c r="I146" s="28" t="str">
        <f t="shared" si="18"/>
        <v/>
      </c>
      <c r="J146" s="28" t="str">
        <f>IF(G146="","",IF(COUNTIF($G$2:G146,G146)&gt;1,SUMIF($A$2:A146,G146,$C$2:C146),C146))</f>
        <v/>
      </c>
      <c r="K146" s="45" t="str">
        <f>IF(G146="","",IF(COUNTIF($G$2:G146,G146)&gt;1,SUMIF($A$2:A146,G146,$D$2:D146),D146) +SUMIF($G$2:G146,G146,$M$2:M146))</f>
        <v/>
      </c>
      <c r="L146" s="45" t="str">
        <f t="shared" si="19"/>
        <v/>
      </c>
      <c r="M146" s="46" t="str">
        <f>IF(G146="","",IF(B146 = "BUY", 0,(E146-VLOOKUP(CONCATENATE(G146,(H146-1)),$I$2:L145,4,FALSE))*-C146))</f>
        <v/>
      </c>
    </row>
    <row r="147" spans="1:13" ht="15" thickBot="1" x14ac:dyDescent="0.35">
      <c r="A147" s="27" t="str">
        <f>IF('Australian Transaction'!A147= "","",'Australian Transaction'!A147)</f>
        <v/>
      </c>
      <c r="B147" s="28" t="str">
        <f>IF('Australian Transaction'!B147= "","",'Australian Transaction'!B147)</f>
        <v/>
      </c>
      <c r="C147" s="28" t="str">
        <f>IF('Australian Transaction'!C147= "","",IF(B147="BUY",'Australian Transaction'!C147,-'Australian Transaction'!C147))</f>
        <v/>
      </c>
      <c r="D147" s="28" t="str">
        <f>IF('Australian Transaction'!D147 = "","",IF($B147 = "BUY", 'Australian Transaction'!D147,-'Australian Transaction'!D147))</f>
        <v/>
      </c>
      <c r="E147" s="28" t="str">
        <f>IF('Australian Transaction'!E147= "","",'Australian Transaction'!E147)</f>
        <v/>
      </c>
      <c r="F147" s="23"/>
      <c r="G147" s="28" t="str">
        <f t="shared" si="17"/>
        <v/>
      </c>
      <c r="H147" s="28" t="str">
        <f>IF(A147="","",COUNTIF($G$2:G147,G147))</f>
        <v/>
      </c>
      <c r="I147" s="28" t="str">
        <f t="shared" si="18"/>
        <v/>
      </c>
      <c r="J147" s="28" t="str">
        <f>IF(G147="","",IF(COUNTIF($G$2:G147,G147)&gt;1,SUMIF($A$2:A147,G147,$C$2:C147),C147))</f>
        <v/>
      </c>
      <c r="K147" s="45" t="str">
        <f>IF(G147="","",IF(COUNTIF($G$2:G147,G147)&gt;1,SUMIF($A$2:A147,G147,$D$2:D147),D147) +SUMIF($G$2:G147,G147,$M$2:M147))</f>
        <v/>
      </c>
      <c r="L147" s="45" t="str">
        <f t="shared" si="19"/>
        <v/>
      </c>
      <c r="M147" s="46" t="str">
        <f>IF(G147="","",IF(B147 = "BUY", 0,(E147-VLOOKUP(CONCATENATE(G147,(H147-1)),$I$2:L146,4,FALSE))*-C147))</f>
        <v/>
      </c>
    </row>
    <row r="148" spans="1:13" ht="15" thickBot="1" x14ac:dyDescent="0.35">
      <c r="A148" s="27" t="str">
        <f>IF('Australian Transaction'!A148= "","",'Australian Transaction'!A148)</f>
        <v/>
      </c>
      <c r="B148" s="28" t="str">
        <f>IF('Australian Transaction'!B148= "","",'Australian Transaction'!B148)</f>
        <v/>
      </c>
      <c r="C148" s="28" t="str">
        <f>IF('Australian Transaction'!C148= "","",IF(B148="BUY",'Australian Transaction'!C148,-'Australian Transaction'!C148))</f>
        <v/>
      </c>
      <c r="D148" s="28" t="str">
        <f>IF('Australian Transaction'!D148 = "","",IF($B148 = "BUY", 'Australian Transaction'!D148,-'Australian Transaction'!D148))</f>
        <v/>
      </c>
      <c r="E148" s="28" t="str">
        <f>IF('Australian Transaction'!E148= "","",'Australian Transaction'!E148)</f>
        <v/>
      </c>
      <c r="F148" s="23"/>
      <c r="G148" s="28" t="str">
        <f t="shared" si="17"/>
        <v/>
      </c>
      <c r="H148" s="28" t="str">
        <f>IF(A148="","",COUNTIF($G$2:G148,G148))</f>
        <v/>
      </c>
      <c r="I148" s="28" t="str">
        <f t="shared" si="18"/>
        <v/>
      </c>
      <c r="J148" s="28" t="str">
        <f>IF(G148="","",IF(COUNTIF($G$2:G148,G148)&gt;1,SUMIF($A$2:A148,G148,$C$2:C148),C148))</f>
        <v/>
      </c>
      <c r="K148" s="45" t="str">
        <f>IF(G148="","",IF(COUNTIF($G$2:G148,G148)&gt;1,SUMIF($A$2:A148,G148,$D$2:D148),D148) +SUMIF($G$2:G148,G148,$M$2:M148))</f>
        <v/>
      </c>
      <c r="L148" s="45" t="str">
        <f t="shared" si="19"/>
        <v/>
      </c>
      <c r="M148" s="46" t="str">
        <f>IF(G148="","",IF(B148 = "BUY", 0,(E148-VLOOKUP(CONCATENATE(G148,(H148-1)),$I$2:L147,4,FALSE))*-C148))</f>
        <v/>
      </c>
    </row>
    <row r="149" spans="1:13" ht="15" thickBot="1" x14ac:dyDescent="0.35">
      <c r="A149" s="27" t="str">
        <f>IF('Australian Transaction'!A149= "","",'Australian Transaction'!A149)</f>
        <v/>
      </c>
      <c r="B149" s="28" t="str">
        <f>IF('Australian Transaction'!B149= "","",'Australian Transaction'!B149)</f>
        <v/>
      </c>
      <c r="C149" s="28" t="str">
        <f>IF('Australian Transaction'!C149= "","",IF(B149="BUY",'Australian Transaction'!C149,-'Australian Transaction'!C149))</f>
        <v/>
      </c>
      <c r="D149" s="28" t="str">
        <f>IF('Australian Transaction'!D149 = "","",IF($B149 = "BUY", 'Australian Transaction'!D149,-'Australian Transaction'!D149))</f>
        <v/>
      </c>
      <c r="E149" s="28" t="str">
        <f>IF('Australian Transaction'!E149= "","",'Australian Transaction'!E149)</f>
        <v/>
      </c>
      <c r="F149" s="23"/>
      <c r="G149" s="28" t="str">
        <f t="shared" si="17"/>
        <v/>
      </c>
      <c r="H149" s="28" t="str">
        <f>IF(A149="","",COUNTIF($G$2:G149,G149))</f>
        <v/>
      </c>
      <c r="I149" s="28" t="str">
        <f t="shared" si="18"/>
        <v/>
      </c>
      <c r="J149" s="28" t="str">
        <f>IF(G149="","",IF(COUNTIF($G$2:G149,G149)&gt;1,SUMIF($A$2:A149,G149,$C$2:C149),C149))</f>
        <v/>
      </c>
      <c r="K149" s="45" t="str">
        <f>IF(G149="","",IF(COUNTIF($G$2:G149,G149)&gt;1,SUMIF($A$2:A149,G149,$D$2:D149),D149) +SUMIF($G$2:G149,G149,$M$2:M149))</f>
        <v/>
      </c>
      <c r="L149" s="45" t="str">
        <f t="shared" si="19"/>
        <v/>
      </c>
      <c r="M149" s="46" t="str">
        <f>IF(G149="","",IF(B149 = "BUY", 0,(E149-VLOOKUP(CONCATENATE(G149,(H149-1)),$I$2:L148,4,FALSE))*-C149))</f>
        <v/>
      </c>
    </row>
    <row r="150" spans="1:13" ht="15" thickBot="1" x14ac:dyDescent="0.35">
      <c r="A150" s="27" t="str">
        <f>IF('Australian Transaction'!A150= "","",'Australian Transaction'!A150)</f>
        <v/>
      </c>
      <c r="B150" s="28" t="str">
        <f>IF('Australian Transaction'!B150= "","",'Australian Transaction'!B150)</f>
        <v/>
      </c>
      <c r="C150" s="28" t="str">
        <f>IF('Australian Transaction'!C150= "","",IF(B150="BUY",'Australian Transaction'!C150,-'Australian Transaction'!C150))</f>
        <v/>
      </c>
      <c r="D150" s="28" t="str">
        <f>IF('Australian Transaction'!D150 = "","",IF($B150 = "BUY", 'Australian Transaction'!D150,-'Australian Transaction'!D150))</f>
        <v/>
      </c>
      <c r="E150" s="28" t="str">
        <f>IF('Australian Transaction'!E150= "","",'Australian Transaction'!E150)</f>
        <v/>
      </c>
      <c r="F150" s="23"/>
      <c r="G150" s="28" t="str">
        <f t="shared" si="17"/>
        <v/>
      </c>
      <c r="H150" s="28" t="str">
        <f>IF(A150="","",COUNTIF($G$2:G150,G150))</f>
        <v/>
      </c>
      <c r="I150" s="28" t="str">
        <f t="shared" si="18"/>
        <v/>
      </c>
      <c r="J150" s="28" t="str">
        <f>IF(G150="","",IF(COUNTIF($G$2:G150,G150)&gt;1,SUMIF($A$2:A150,G150,$C$2:C150),C150))</f>
        <v/>
      </c>
      <c r="K150" s="45" t="str">
        <f>IF(G150="","",IF(COUNTIF($G$2:G150,G150)&gt;1,SUMIF($A$2:A150,G150,$D$2:D150),D150) +SUMIF($G$2:G150,G150,$M$2:M150))</f>
        <v/>
      </c>
      <c r="L150" s="45" t="str">
        <f t="shared" si="19"/>
        <v/>
      </c>
      <c r="M150" s="46" t="str">
        <f>IF(G150="","",IF(B150 = "BUY", 0,(E150-VLOOKUP(CONCATENATE(G150,(H150-1)),$I$2:L149,4,FALSE))*-C150))</f>
        <v/>
      </c>
    </row>
    <row r="151" spans="1:13" ht="15" thickBot="1" x14ac:dyDescent="0.35">
      <c r="A151" s="27" t="str">
        <f>IF('Australian Transaction'!A151= "","",'Australian Transaction'!A151)</f>
        <v/>
      </c>
      <c r="B151" s="28" t="str">
        <f>IF('Australian Transaction'!B151= "","",'Australian Transaction'!B151)</f>
        <v/>
      </c>
      <c r="C151" s="28" t="str">
        <f>IF('Australian Transaction'!C151= "","",IF(B151="BUY",'Australian Transaction'!C151,-'Australian Transaction'!C151))</f>
        <v/>
      </c>
      <c r="D151" s="28" t="str">
        <f>IF('Australian Transaction'!D151 = "","",IF($B151 = "BUY", 'Australian Transaction'!D151,-'Australian Transaction'!D151))</f>
        <v/>
      </c>
      <c r="E151" s="28" t="str">
        <f>IF('Australian Transaction'!E151= "","",'Australian Transaction'!E151)</f>
        <v/>
      </c>
      <c r="F151" s="23"/>
      <c r="G151" s="28" t="str">
        <f t="shared" si="17"/>
        <v/>
      </c>
      <c r="H151" s="28" t="str">
        <f>IF(A151="","",COUNTIF($G$2:G151,G151))</f>
        <v/>
      </c>
      <c r="I151" s="28" t="str">
        <f t="shared" si="18"/>
        <v/>
      </c>
      <c r="J151" s="28" t="str">
        <f>IF(G151="","",IF(COUNTIF($G$2:G151,G151)&gt;1,SUMIF($A$2:A151,G151,$C$2:C151),C151))</f>
        <v/>
      </c>
      <c r="K151" s="45" t="str">
        <f>IF(G151="","",IF(COUNTIF($G$2:G151,G151)&gt;1,SUMIF($A$2:A151,G151,$D$2:D151),D151) +SUMIF($G$2:G151,G151,$M$2:M151))</f>
        <v/>
      </c>
      <c r="L151" s="45" t="str">
        <f t="shared" si="19"/>
        <v/>
      </c>
      <c r="M151" s="46" t="str">
        <f>IF(G151="","",IF(B151 = "BUY", 0,(E151-VLOOKUP(CONCATENATE(G151,(H151-1)),$I$2:L150,4,FALSE))*-C151))</f>
        <v/>
      </c>
    </row>
    <row r="152" spans="1:13" ht="15" thickBot="1" x14ac:dyDescent="0.35">
      <c r="A152" s="27" t="str">
        <f>IF('Australian Transaction'!A152= "","",'Australian Transaction'!A152)</f>
        <v/>
      </c>
      <c r="B152" s="28" t="str">
        <f>IF('Australian Transaction'!B152= "","",'Australian Transaction'!B152)</f>
        <v/>
      </c>
      <c r="C152" s="28" t="str">
        <f>IF('Australian Transaction'!C152= "","",IF(B152="BUY",'Australian Transaction'!C152,-'Australian Transaction'!C152))</f>
        <v/>
      </c>
      <c r="D152" s="28" t="str">
        <f>IF('Australian Transaction'!D152 = "","",IF($B152 = "BUY", 'Australian Transaction'!D152,-'Australian Transaction'!D152))</f>
        <v/>
      </c>
      <c r="E152" s="28" t="str">
        <f>IF('Australian Transaction'!E152= "","",'Australian Transaction'!E152)</f>
        <v/>
      </c>
      <c r="F152" s="23"/>
      <c r="G152" s="28" t="str">
        <f t="shared" si="17"/>
        <v/>
      </c>
      <c r="H152" s="28" t="str">
        <f>IF(A152="","",COUNTIF($G$2:G152,G152))</f>
        <v/>
      </c>
      <c r="I152" s="28" t="str">
        <f t="shared" si="18"/>
        <v/>
      </c>
      <c r="J152" s="28" t="str">
        <f>IF(G152="","",IF(COUNTIF($G$2:G152,G152)&gt;1,SUMIF($A$2:A152,G152,$C$2:C152),C152))</f>
        <v/>
      </c>
      <c r="K152" s="45" t="str">
        <f>IF(G152="","",IF(COUNTIF($G$2:G152,G152)&gt;1,SUMIF($A$2:A152,G152,$D$2:D152),D152) +SUMIF($G$2:G152,G152,$M$2:M152))</f>
        <v/>
      </c>
      <c r="L152" s="45" t="str">
        <f t="shared" si="19"/>
        <v/>
      </c>
      <c r="M152" s="46" t="str">
        <f>IF(G152="","",IF(B152 = "BUY", 0,(E152-VLOOKUP(CONCATENATE(G152,(H152-1)),$I$2:L151,4,FALSE))*-C152))</f>
        <v/>
      </c>
    </row>
    <row r="153" spans="1:13" ht="15" thickBot="1" x14ac:dyDescent="0.35">
      <c r="A153" s="27" t="str">
        <f>IF('Australian Transaction'!A153= "","",'Australian Transaction'!A153)</f>
        <v/>
      </c>
      <c r="B153" s="28" t="str">
        <f>IF('Australian Transaction'!B153= "","",'Australian Transaction'!B153)</f>
        <v/>
      </c>
      <c r="C153" s="28" t="str">
        <f>IF('Australian Transaction'!C153= "","",IF(B153="BUY",'Australian Transaction'!C153,-'Australian Transaction'!C153))</f>
        <v/>
      </c>
      <c r="D153" s="28" t="str">
        <f>IF('Australian Transaction'!D153 = "","",IF($B153 = "BUY", 'Australian Transaction'!D153,-'Australian Transaction'!D153))</f>
        <v/>
      </c>
      <c r="E153" s="28" t="str">
        <f>IF('Australian Transaction'!E153= "","",'Australian Transaction'!E153)</f>
        <v/>
      </c>
      <c r="F153" s="23"/>
      <c r="G153" s="28" t="str">
        <f t="shared" si="17"/>
        <v/>
      </c>
      <c r="H153" s="28" t="str">
        <f>IF(A153="","",COUNTIF($G$2:G153,G153))</f>
        <v/>
      </c>
      <c r="I153" s="28" t="str">
        <f t="shared" si="18"/>
        <v/>
      </c>
      <c r="J153" s="28" t="str">
        <f>IF(G153="","",IF(COUNTIF($G$2:G153,G153)&gt;1,SUMIF($A$2:A153,G153,$C$2:C153),C153))</f>
        <v/>
      </c>
      <c r="K153" s="45" t="str">
        <f>IF(G153="","",IF(COUNTIF($G$2:G153,G153)&gt;1,SUMIF($A$2:A153,G153,$D$2:D153),D153) +SUMIF($G$2:G153,G153,$M$2:M153))</f>
        <v/>
      </c>
      <c r="L153" s="45" t="str">
        <f t="shared" si="19"/>
        <v/>
      </c>
      <c r="M153" s="46" t="str">
        <f>IF(G153="","",IF(B153 = "BUY", 0,(E153-VLOOKUP(CONCATENATE(G153,(H153-1)),$I$2:L152,4,FALSE))*-C153))</f>
        <v/>
      </c>
    </row>
    <row r="154" spans="1:13" ht="15" thickBot="1" x14ac:dyDescent="0.35">
      <c r="A154" s="27" t="str">
        <f>IF('Australian Transaction'!A154= "","",'Australian Transaction'!A154)</f>
        <v/>
      </c>
      <c r="B154" s="28" t="str">
        <f>IF('Australian Transaction'!B154= "","",'Australian Transaction'!B154)</f>
        <v/>
      </c>
      <c r="C154" s="28" t="str">
        <f>IF('Australian Transaction'!C154= "","",IF(B154="BUY",'Australian Transaction'!C154,-'Australian Transaction'!C154))</f>
        <v/>
      </c>
      <c r="D154" s="28" t="str">
        <f>IF('Australian Transaction'!D154 = "","",IF($B154 = "BUY", 'Australian Transaction'!D154,-'Australian Transaction'!D154))</f>
        <v/>
      </c>
      <c r="E154" s="28" t="str">
        <f>IF('Australian Transaction'!E154= "","",'Australian Transaction'!E154)</f>
        <v/>
      </c>
      <c r="F154" s="23"/>
      <c r="G154" s="28" t="str">
        <f t="shared" si="17"/>
        <v/>
      </c>
      <c r="H154" s="28" t="str">
        <f>IF(A154="","",COUNTIF($G$2:G154,G154))</f>
        <v/>
      </c>
      <c r="I154" s="28" t="str">
        <f t="shared" si="18"/>
        <v/>
      </c>
      <c r="J154" s="28" t="str">
        <f>IF(G154="","",IF(COUNTIF($G$2:G154,G154)&gt;1,SUMIF($A$2:A154,G154,$C$2:C154),C154))</f>
        <v/>
      </c>
      <c r="K154" s="45" t="str">
        <f>IF(G154="","",IF(COUNTIF($G$2:G154,G154)&gt;1,SUMIF($A$2:A154,G154,$D$2:D154),D154) +SUMIF($G$2:G154,G154,$M$2:M154))</f>
        <v/>
      </c>
      <c r="L154" s="45" t="str">
        <f t="shared" si="19"/>
        <v/>
      </c>
      <c r="M154" s="46" t="str">
        <f>IF(G154="","",IF(B154 = "BUY", 0,(E154-VLOOKUP(CONCATENATE(G154,(H154-1)),$I$2:L153,4,FALSE))*-C154))</f>
        <v/>
      </c>
    </row>
    <row r="155" spans="1:13" ht="15" thickBot="1" x14ac:dyDescent="0.35">
      <c r="A155" s="27" t="str">
        <f>IF('Australian Transaction'!A155= "","",'Australian Transaction'!A155)</f>
        <v/>
      </c>
      <c r="B155" s="28" t="str">
        <f>IF('Australian Transaction'!B155= "","",'Australian Transaction'!B155)</f>
        <v/>
      </c>
      <c r="C155" s="28" t="str">
        <f>IF('Australian Transaction'!C155= "","",IF(B155="BUY",'Australian Transaction'!C155,-'Australian Transaction'!C155))</f>
        <v/>
      </c>
      <c r="D155" s="28" t="str">
        <f>IF('Australian Transaction'!D155 = "","",IF($B155 = "BUY", 'Australian Transaction'!D155,-'Australian Transaction'!D155))</f>
        <v/>
      </c>
      <c r="E155" s="28" t="str">
        <f>IF('Australian Transaction'!E155= "","",'Australian Transaction'!E155)</f>
        <v/>
      </c>
      <c r="F155" s="23"/>
      <c r="G155" s="28" t="str">
        <f t="shared" si="17"/>
        <v/>
      </c>
      <c r="H155" s="28" t="str">
        <f>IF(A155="","",COUNTIF($G$2:G155,G155))</f>
        <v/>
      </c>
      <c r="I155" s="28" t="str">
        <f t="shared" si="18"/>
        <v/>
      </c>
      <c r="J155" s="28" t="str">
        <f>IF(G155="","",IF(COUNTIF($G$2:G155,G155)&gt;1,SUMIF($A$2:A155,G155,$C$2:C155),C155))</f>
        <v/>
      </c>
      <c r="K155" s="45" t="str">
        <f>IF(G155="","",IF(COUNTIF($G$2:G155,G155)&gt;1,SUMIF($A$2:A155,G155,$D$2:D155),D155) +SUMIF($G$2:G155,G155,$M$2:M155))</f>
        <v/>
      </c>
      <c r="L155" s="45" t="str">
        <f t="shared" si="19"/>
        <v/>
      </c>
      <c r="M155" s="46" t="str">
        <f>IF(G155="","",IF(B155 = "BUY", 0,(E155-VLOOKUP(CONCATENATE(G155,(H155-1)),$I$2:L154,4,FALSE))*-C155))</f>
        <v/>
      </c>
    </row>
    <row r="156" spans="1:13" ht="15" thickBot="1" x14ac:dyDescent="0.35">
      <c r="A156" s="27" t="str">
        <f>IF('Australian Transaction'!A156= "","",'Australian Transaction'!A156)</f>
        <v/>
      </c>
      <c r="B156" s="28" t="str">
        <f>IF('Australian Transaction'!B156= "","",'Australian Transaction'!B156)</f>
        <v/>
      </c>
      <c r="C156" s="28" t="str">
        <f>IF('Australian Transaction'!C156= "","",IF(B156="BUY",'Australian Transaction'!C156,-'Australian Transaction'!C156))</f>
        <v/>
      </c>
      <c r="D156" s="28" t="str">
        <f>IF('Australian Transaction'!D156 = "","",IF($B156 = "BUY", 'Australian Transaction'!D156,-'Australian Transaction'!D156))</f>
        <v/>
      </c>
      <c r="E156" s="28" t="str">
        <f>IF('Australian Transaction'!E156= "","",'Australian Transaction'!E156)</f>
        <v/>
      </c>
      <c r="F156" s="23"/>
      <c r="G156" s="28" t="str">
        <f t="shared" si="17"/>
        <v/>
      </c>
      <c r="H156" s="28" t="str">
        <f>IF(A156="","",COUNTIF($G$2:G156,G156))</f>
        <v/>
      </c>
      <c r="I156" s="28" t="str">
        <f t="shared" si="18"/>
        <v/>
      </c>
      <c r="J156" s="28" t="str">
        <f>IF(G156="","",IF(COUNTIF($G$2:G156,G156)&gt;1,SUMIF($A$2:A156,G156,$C$2:C156),C156))</f>
        <v/>
      </c>
      <c r="K156" s="45" t="str">
        <f>IF(G156="","",IF(COUNTIF($G$2:G156,G156)&gt;1,SUMIF($A$2:A156,G156,$D$2:D156),D156) +SUMIF($G$2:G156,G156,$M$2:M156))</f>
        <v/>
      </c>
      <c r="L156" s="45" t="str">
        <f t="shared" si="19"/>
        <v/>
      </c>
      <c r="M156" s="46" t="str">
        <f>IF(G156="","",IF(B156 = "BUY", 0,(E156-VLOOKUP(CONCATENATE(G156,(H156-1)),$I$2:L155,4,FALSE))*-C156))</f>
        <v/>
      </c>
    </row>
    <row r="157" spans="1:13" ht="15" thickBot="1" x14ac:dyDescent="0.35">
      <c r="A157" s="27" t="str">
        <f>IF('Australian Transaction'!A157= "","",'Australian Transaction'!A157)</f>
        <v/>
      </c>
      <c r="B157" s="28" t="str">
        <f>IF('Australian Transaction'!B157= "","",'Australian Transaction'!B157)</f>
        <v/>
      </c>
      <c r="C157" s="28" t="str">
        <f>IF('Australian Transaction'!C157= "","",IF(B157="BUY",'Australian Transaction'!C157,-'Australian Transaction'!C157))</f>
        <v/>
      </c>
      <c r="D157" s="28" t="str">
        <f>IF('Australian Transaction'!D157 = "","",IF($B157 = "BUY", 'Australian Transaction'!D157,-'Australian Transaction'!D157))</f>
        <v/>
      </c>
      <c r="E157" s="28" t="str">
        <f>IF('Australian Transaction'!E157= "","",'Australian Transaction'!E157)</f>
        <v/>
      </c>
      <c r="F157" s="23"/>
      <c r="G157" s="28" t="str">
        <f t="shared" si="17"/>
        <v/>
      </c>
      <c r="H157" s="28" t="str">
        <f>IF(A157="","",COUNTIF($G$2:G157,G157))</f>
        <v/>
      </c>
      <c r="I157" s="28" t="str">
        <f t="shared" si="18"/>
        <v/>
      </c>
      <c r="J157" s="28" t="str">
        <f>IF(G157="","",IF(COUNTIF($G$2:G157,G157)&gt;1,SUMIF($A$2:A157,G157,$C$2:C157),C157))</f>
        <v/>
      </c>
      <c r="K157" s="45" t="str">
        <f>IF(G157="","",IF(COUNTIF($G$2:G157,G157)&gt;1,SUMIF($A$2:A157,G157,$D$2:D157),D157) +SUMIF($G$2:G157,G157,$M$2:M157))</f>
        <v/>
      </c>
      <c r="L157" s="45" t="str">
        <f t="shared" si="19"/>
        <v/>
      </c>
      <c r="M157" s="46" t="str">
        <f>IF(G157="","",IF(B157 = "BUY", 0,(E157-VLOOKUP(CONCATENATE(G157,(H157-1)),$I$2:L156,4,FALSE))*-C157))</f>
        <v/>
      </c>
    </row>
    <row r="158" spans="1:13" ht="15" thickBot="1" x14ac:dyDescent="0.35">
      <c r="A158" s="27" t="str">
        <f>IF('Australian Transaction'!A158= "","",'Australian Transaction'!A158)</f>
        <v/>
      </c>
      <c r="B158" s="28" t="str">
        <f>IF('Australian Transaction'!B158= "","",'Australian Transaction'!B158)</f>
        <v/>
      </c>
      <c r="C158" s="28" t="str">
        <f>IF('Australian Transaction'!C158= "","",IF(B158="BUY",'Australian Transaction'!C158,-'Australian Transaction'!C158))</f>
        <v/>
      </c>
      <c r="D158" s="28" t="str">
        <f>IF('Australian Transaction'!D158 = "","",IF($B158 = "BUY", 'Australian Transaction'!D158,-'Australian Transaction'!D158))</f>
        <v/>
      </c>
      <c r="E158" s="28" t="str">
        <f>IF('Australian Transaction'!E158= "","",'Australian Transaction'!E158)</f>
        <v/>
      </c>
      <c r="F158" s="23"/>
      <c r="G158" s="28" t="str">
        <f t="shared" si="17"/>
        <v/>
      </c>
      <c r="H158" s="28" t="str">
        <f>IF(A158="","",COUNTIF($G$2:G158,G158))</f>
        <v/>
      </c>
      <c r="I158" s="28" t="str">
        <f t="shared" si="18"/>
        <v/>
      </c>
      <c r="J158" s="28" t="str">
        <f>IF(G158="","",IF(COUNTIF($G$2:G158,G158)&gt;1,SUMIF($A$2:A158,G158,$C$2:C158),C158))</f>
        <v/>
      </c>
      <c r="K158" s="45" t="str">
        <f>IF(G158="","",IF(COUNTIF($G$2:G158,G158)&gt;1,SUMIF($A$2:A158,G158,$D$2:D158),D158) +SUMIF($G$2:G158,G158,$M$2:M158))</f>
        <v/>
      </c>
      <c r="L158" s="45" t="str">
        <f t="shared" si="19"/>
        <v/>
      </c>
      <c r="M158" s="46" t="str">
        <f>IF(G158="","",IF(B158 = "BUY", 0,(E158-VLOOKUP(CONCATENATE(G158,(H158-1)),$I$2:L157,4,FALSE))*-C158))</f>
        <v/>
      </c>
    </row>
    <row r="159" spans="1:13" ht="15" thickBot="1" x14ac:dyDescent="0.35">
      <c r="A159" s="27" t="str">
        <f>IF('Australian Transaction'!A159= "","",'Australian Transaction'!A159)</f>
        <v/>
      </c>
      <c r="B159" s="28" t="str">
        <f>IF('Australian Transaction'!B159= "","",'Australian Transaction'!B159)</f>
        <v/>
      </c>
      <c r="C159" s="28" t="str">
        <f>IF('Australian Transaction'!C159= "","",IF(B159="BUY",'Australian Transaction'!C159,-'Australian Transaction'!C159))</f>
        <v/>
      </c>
      <c r="D159" s="28" t="str">
        <f>IF('Australian Transaction'!D159 = "","",IF($B159 = "BUY", 'Australian Transaction'!D159,-'Australian Transaction'!D159))</f>
        <v/>
      </c>
      <c r="E159" s="28" t="str">
        <f>IF('Australian Transaction'!E159= "","",'Australian Transaction'!E159)</f>
        <v/>
      </c>
      <c r="F159" s="23"/>
      <c r="G159" s="28" t="str">
        <f t="shared" si="17"/>
        <v/>
      </c>
      <c r="H159" s="28" t="str">
        <f>IF(A159="","",COUNTIF($G$2:G159,G159))</f>
        <v/>
      </c>
      <c r="I159" s="28" t="str">
        <f t="shared" si="18"/>
        <v/>
      </c>
      <c r="J159" s="28" t="str">
        <f>IF(G159="","",IF(COUNTIF($G$2:G159,G159)&gt;1,SUMIF($A$2:A159,G159,$C$2:C159),C159))</f>
        <v/>
      </c>
      <c r="K159" s="45" t="str">
        <f>IF(G159="","",IF(COUNTIF($G$2:G159,G159)&gt;1,SUMIF($A$2:A159,G159,$D$2:D159),D159) +SUMIF($G$2:G159,G159,$M$2:M159))</f>
        <v/>
      </c>
      <c r="L159" s="45" t="str">
        <f t="shared" si="19"/>
        <v/>
      </c>
      <c r="M159" s="46" t="str">
        <f>IF(G159="","",IF(B159 = "BUY", 0,(E159-VLOOKUP(CONCATENATE(G159,(H159-1)),$I$2:L158,4,FALSE))*-C159))</f>
        <v/>
      </c>
    </row>
    <row r="160" spans="1:13" ht="15" thickBot="1" x14ac:dyDescent="0.35">
      <c r="A160" s="27" t="str">
        <f>IF('Australian Transaction'!A160= "","",'Australian Transaction'!A160)</f>
        <v/>
      </c>
      <c r="B160" s="28" t="str">
        <f>IF('Australian Transaction'!B160= "","",'Australian Transaction'!B160)</f>
        <v/>
      </c>
      <c r="C160" s="28" t="str">
        <f>IF('Australian Transaction'!C160= "","",IF(B160="BUY",'Australian Transaction'!C160,-'Australian Transaction'!C160))</f>
        <v/>
      </c>
      <c r="D160" s="28" t="str">
        <f>IF('Australian Transaction'!D160 = "","",IF($B160 = "BUY", 'Australian Transaction'!D160,-'Australian Transaction'!D160))</f>
        <v/>
      </c>
      <c r="E160" s="28" t="str">
        <f>IF('Australian Transaction'!E160= "","",'Australian Transaction'!E160)</f>
        <v/>
      </c>
      <c r="F160" s="23"/>
      <c r="G160" s="28" t="str">
        <f t="shared" si="17"/>
        <v/>
      </c>
      <c r="H160" s="28" t="str">
        <f>IF(A160="","",COUNTIF($G$2:G160,G160))</f>
        <v/>
      </c>
      <c r="I160" s="28" t="str">
        <f t="shared" si="18"/>
        <v/>
      </c>
      <c r="J160" s="28" t="str">
        <f>IF(G160="","",IF(COUNTIF($G$2:G160,G160)&gt;1,SUMIF($A$2:A160,G160,$C$2:C160),C160))</f>
        <v/>
      </c>
      <c r="K160" s="45" t="str">
        <f>IF(G160="","",IF(COUNTIF($G$2:G160,G160)&gt;1,SUMIF($A$2:A160,G160,$D$2:D160),D160) +SUMIF($G$2:G160,G160,$M$2:M160))</f>
        <v/>
      </c>
      <c r="L160" s="45" t="str">
        <f t="shared" si="19"/>
        <v/>
      </c>
      <c r="M160" s="46" t="str">
        <f>IF(G160="","",IF(B160 = "BUY", 0,(E160-VLOOKUP(CONCATENATE(G160,(H160-1)),$I$2:L159,4,FALSE))*-C160))</f>
        <v/>
      </c>
    </row>
    <row r="161" spans="1:13" ht="15" thickBot="1" x14ac:dyDescent="0.35">
      <c r="A161" s="27" t="str">
        <f>IF('Australian Transaction'!A161= "","",'Australian Transaction'!A161)</f>
        <v/>
      </c>
      <c r="B161" s="28" t="str">
        <f>IF('Australian Transaction'!B161= "","",'Australian Transaction'!B161)</f>
        <v/>
      </c>
      <c r="C161" s="28" t="str">
        <f>IF('Australian Transaction'!C161= "","",IF(B161="BUY",'Australian Transaction'!C161,-'Australian Transaction'!C161))</f>
        <v/>
      </c>
      <c r="D161" s="28" t="str">
        <f>IF('Australian Transaction'!D161 = "","",IF($B161 = "BUY", 'Australian Transaction'!D161,-'Australian Transaction'!D161))</f>
        <v/>
      </c>
      <c r="E161" s="28" t="str">
        <f>IF('Australian Transaction'!E161= "","",'Australian Transaction'!E161)</f>
        <v/>
      </c>
      <c r="F161" s="23"/>
      <c r="G161" s="28" t="str">
        <f t="shared" si="17"/>
        <v/>
      </c>
      <c r="H161" s="28" t="str">
        <f>IF(A161="","",COUNTIF($G$2:G161,G161))</f>
        <v/>
      </c>
      <c r="I161" s="28" t="str">
        <f t="shared" si="18"/>
        <v/>
      </c>
      <c r="J161" s="28" t="str">
        <f>IF(G161="","",IF(COUNTIF($G$2:G161,G161)&gt;1,SUMIF($A$2:A161,G161,$C$2:C161),C161))</f>
        <v/>
      </c>
      <c r="K161" s="45" t="str">
        <f>IF(G161="","",IF(COUNTIF($G$2:G161,G161)&gt;1,SUMIF($A$2:A161,G161,$D$2:D161),D161) +SUMIF($G$2:G161,G161,$M$2:M161))</f>
        <v/>
      </c>
      <c r="L161" s="45" t="str">
        <f t="shared" si="19"/>
        <v/>
      </c>
      <c r="M161" s="46" t="str">
        <f>IF(G161="","",IF(B161 = "BUY", 0,(E161-VLOOKUP(CONCATENATE(G161,(H161-1)),$I$2:L160,4,FALSE))*-C161))</f>
        <v/>
      </c>
    </row>
    <row r="162" spans="1:13" ht="15" thickBot="1" x14ac:dyDescent="0.35">
      <c r="A162" s="27" t="str">
        <f>IF('Australian Transaction'!A162= "","",'Australian Transaction'!A162)</f>
        <v/>
      </c>
      <c r="B162" s="28" t="str">
        <f>IF('Australian Transaction'!B162= "","",'Australian Transaction'!B162)</f>
        <v/>
      </c>
      <c r="C162" s="28" t="str">
        <f>IF('Australian Transaction'!C162= "","",IF(B162="BUY",'Australian Transaction'!C162,-'Australian Transaction'!C162))</f>
        <v/>
      </c>
      <c r="D162" s="28" t="str">
        <f>IF('Australian Transaction'!D162 = "","",IF($B162 = "BUY", 'Australian Transaction'!D162,-'Australian Transaction'!D162))</f>
        <v/>
      </c>
      <c r="E162" s="28" t="str">
        <f>IF('Australian Transaction'!E162= "","",'Australian Transaction'!E162)</f>
        <v/>
      </c>
      <c r="F162" s="23"/>
      <c r="G162" s="28" t="str">
        <f t="shared" si="17"/>
        <v/>
      </c>
      <c r="H162" s="28" t="str">
        <f>IF(A162="","",COUNTIF($G$2:G162,G162))</f>
        <v/>
      </c>
      <c r="I162" s="28" t="str">
        <f t="shared" si="18"/>
        <v/>
      </c>
      <c r="J162" s="28" t="str">
        <f>IF(G162="","",IF(COUNTIF($G$2:G162,G162)&gt;1,SUMIF($A$2:A162,G162,$C$2:C162),C162))</f>
        <v/>
      </c>
      <c r="K162" s="45" t="str">
        <f>IF(G162="","",IF(COUNTIF($G$2:G162,G162)&gt;1,SUMIF($A$2:A162,G162,$D$2:D162),D162) +SUMIF($G$2:G162,G162,$M$2:M162))</f>
        <v/>
      </c>
      <c r="L162" s="45" t="str">
        <f t="shared" si="19"/>
        <v/>
      </c>
      <c r="M162" s="46" t="str">
        <f>IF(G162="","",IF(B162 = "BUY", 0,(E162-VLOOKUP(CONCATENATE(G162,(H162-1)),$I$2:L161,4,FALSE))*-C162))</f>
        <v/>
      </c>
    </row>
    <row r="163" spans="1:13" ht="15" thickBot="1" x14ac:dyDescent="0.35">
      <c r="A163" s="27" t="str">
        <f>IF('Australian Transaction'!A163= "","",'Australian Transaction'!A163)</f>
        <v/>
      </c>
      <c r="B163" s="28" t="str">
        <f>IF('Australian Transaction'!B163= "","",'Australian Transaction'!B163)</f>
        <v/>
      </c>
      <c r="C163" s="28" t="str">
        <f>IF('Australian Transaction'!C163= "","",IF(B163="BUY",'Australian Transaction'!C163,-'Australian Transaction'!C163))</f>
        <v/>
      </c>
      <c r="D163" s="28" t="str">
        <f>IF('Australian Transaction'!D163 = "","",IF($B163 = "BUY", 'Australian Transaction'!D163,-'Australian Transaction'!D163))</f>
        <v/>
      </c>
      <c r="E163" s="28" t="str">
        <f>IF('Australian Transaction'!E163= "","",'Australian Transaction'!E163)</f>
        <v/>
      </c>
      <c r="F163" s="23"/>
      <c r="G163" s="28" t="str">
        <f t="shared" si="17"/>
        <v/>
      </c>
      <c r="H163" s="28" t="str">
        <f>IF(A163="","",COUNTIF($G$2:G163,G163))</f>
        <v/>
      </c>
      <c r="I163" s="28" t="str">
        <f t="shared" si="18"/>
        <v/>
      </c>
      <c r="J163" s="28" t="str">
        <f>IF(G163="","",IF(COUNTIF($G$2:G163,G163)&gt;1,SUMIF($A$2:A163,G163,$C$2:C163),C163))</f>
        <v/>
      </c>
      <c r="K163" s="45" t="str">
        <f>IF(G163="","",IF(COUNTIF($G$2:G163,G163)&gt;1,SUMIF($A$2:A163,G163,$D$2:D163),D163) +SUMIF($G$2:G163,G163,$M$2:M163))</f>
        <v/>
      </c>
      <c r="L163" s="45" t="str">
        <f t="shared" si="19"/>
        <v/>
      </c>
      <c r="M163" s="46" t="str">
        <f>IF(G163="","",IF(B163 = "BUY", 0,(E163-VLOOKUP(CONCATENATE(G163,(H163-1)),$I$2:L162,4,FALSE))*-C163))</f>
        <v/>
      </c>
    </row>
    <row r="164" spans="1:13" ht="15" thickBot="1" x14ac:dyDescent="0.35">
      <c r="A164" s="27" t="str">
        <f>IF('Australian Transaction'!A164= "","",'Australian Transaction'!A164)</f>
        <v/>
      </c>
      <c r="B164" s="28" t="str">
        <f>IF('Australian Transaction'!B164= "","",'Australian Transaction'!B164)</f>
        <v/>
      </c>
      <c r="C164" s="28" t="str">
        <f>IF('Australian Transaction'!C164= "","",IF(B164="BUY",'Australian Transaction'!C164,-'Australian Transaction'!C164))</f>
        <v/>
      </c>
      <c r="D164" s="28" t="str">
        <f>IF('Australian Transaction'!D164 = "","",IF($B164 = "BUY", 'Australian Transaction'!D164,-'Australian Transaction'!D164))</f>
        <v/>
      </c>
      <c r="E164" s="28" t="str">
        <f>IF('Australian Transaction'!E164= "","",'Australian Transaction'!E164)</f>
        <v/>
      </c>
      <c r="F164" s="23"/>
      <c r="G164" s="28" t="str">
        <f t="shared" si="17"/>
        <v/>
      </c>
      <c r="H164" s="28" t="str">
        <f>IF(A164="","",COUNTIF($G$2:G164,G164))</f>
        <v/>
      </c>
      <c r="I164" s="28" t="str">
        <f t="shared" si="18"/>
        <v/>
      </c>
      <c r="J164" s="28" t="str">
        <f>IF(G164="","",IF(COUNTIF($G$2:G164,G164)&gt;1,SUMIF($A$2:A164,G164,$C$2:C164),C164))</f>
        <v/>
      </c>
      <c r="K164" s="45" t="str">
        <f>IF(G164="","",IF(COUNTIF($G$2:G164,G164)&gt;1,SUMIF($A$2:A164,G164,$D$2:D164),D164) +SUMIF($G$2:G164,G164,$M$2:M164))</f>
        <v/>
      </c>
      <c r="L164" s="45" t="str">
        <f t="shared" si="19"/>
        <v/>
      </c>
      <c r="M164" s="46" t="str">
        <f>IF(G164="","",IF(B164 = "BUY", 0,(E164-VLOOKUP(CONCATENATE(G164,(H164-1)),$I$2:L163,4,FALSE))*-C164))</f>
        <v/>
      </c>
    </row>
    <row r="165" spans="1:13" ht="15" thickBot="1" x14ac:dyDescent="0.35">
      <c r="A165" s="27" t="str">
        <f>IF('Australian Transaction'!A165= "","",'Australian Transaction'!A165)</f>
        <v/>
      </c>
      <c r="B165" s="28" t="str">
        <f>IF('Australian Transaction'!B165= "","",'Australian Transaction'!B165)</f>
        <v/>
      </c>
      <c r="C165" s="28" t="str">
        <f>IF('Australian Transaction'!C165= "","",IF(B165="BUY",'Australian Transaction'!C165,-'Australian Transaction'!C165))</f>
        <v/>
      </c>
      <c r="D165" s="28" t="str">
        <f>IF('Australian Transaction'!D165 = "","",IF($B165 = "BUY", 'Australian Transaction'!D165,-'Australian Transaction'!D165))</f>
        <v/>
      </c>
      <c r="E165" s="28" t="str">
        <f>IF('Australian Transaction'!E165= "","",'Australian Transaction'!E165)</f>
        <v/>
      </c>
      <c r="F165" s="23"/>
      <c r="G165" s="28" t="str">
        <f t="shared" si="17"/>
        <v/>
      </c>
      <c r="H165" s="28" t="str">
        <f>IF(A165="","",COUNTIF($G$2:G165,G165))</f>
        <v/>
      </c>
      <c r="I165" s="28" t="str">
        <f t="shared" si="18"/>
        <v/>
      </c>
      <c r="J165" s="28" t="str">
        <f>IF(G165="","",IF(COUNTIF($G$2:G165,G165)&gt;1,SUMIF($A$2:A165,G165,$C$2:C165),C165))</f>
        <v/>
      </c>
      <c r="K165" s="45" t="str">
        <f>IF(G165="","",IF(COUNTIF($G$2:G165,G165)&gt;1,SUMIF($A$2:A165,G165,$D$2:D165),D165) +SUMIF($G$2:G165,G165,$M$2:M165))</f>
        <v/>
      </c>
      <c r="L165" s="45" t="str">
        <f t="shared" si="19"/>
        <v/>
      </c>
      <c r="M165" s="46" t="str">
        <f>IF(G165="","",IF(B165 = "BUY", 0,(E165-VLOOKUP(CONCATENATE(G165,(H165-1)),$I$2:L164,4,FALSE))*-C165))</f>
        <v/>
      </c>
    </row>
    <row r="166" spans="1:13" ht="15" thickBot="1" x14ac:dyDescent="0.35">
      <c r="A166" s="27" t="str">
        <f>IF('Australian Transaction'!A166= "","",'Australian Transaction'!A166)</f>
        <v/>
      </c>
      <c r="B166" s="28" t="str">
        <f>IF('Australian Transaction'!B166= "","",'Australian Transaction'!B166)</f>
        <v/>
      </c>
      <c r="C166" s="28" t="str">
        <f>IF('Australian Transaction'!C166= "","",IF(B166="BUY",'Australian Transaction'!C166,-'Australian Transaction'!C166))</f>
        <v/>
      </c>
      <c r="D166" s="28" t="str">
        <f>IF('Australian Transaction'!D166 = "","",IF($B166 = "BUY", 'Australian Transaction'!D166,-'Australian Transaction'!D166))</f>
        <v/>
      </c>
      <c r="E166" s="28" t="str">
        <f>IF('Australian Transaction'!E166= "","",'Australian Transaction'!E166)</f>
        <v/>
      </c>
      <c r="F166" s="23"/>
      <c r="G166" s="28" t="str">
        <f t="shared" si="17"/>
        <v/>
      </c>
      <c r="H166" s="28" t="str">
        <f>IF(A166="","",COUNTIF($G$2:G166,G166))</f>
        <v/>
      </c>
      <c r="I166" s="28" t="str">
        <f t="shared" si="18"/>
        <v/>
      </c>
      <c r="J166" s="28" t="str">
        <f>IF(G166="","",IF(COUNTIF($G$2:G166,G166)&gt;1,SUMIF($A$2:A166,G166,$C$2:C166),C166))</f>
        <v/>
      </c>
      <c r="K166" s="45" t="str">
        <f>IF(G166="","",IF(COUNTIF($G$2:G166,G166)&gt;1,SUMIF($A$2:A166,G166,$D$2:D166),D166) +SUMIF($G$2:G166,G166,$M$2:M166))</f>
        <v/>
      </c>
      <c r="L166" s="45" t="str">
        <f t="shared" si="19"/>
        <v/>
      </c>
      <c r="M166" s="46" t="str">
        <f>IF(G166="","",IF(B166 = "BUY", 0,(E166-VLOOKUP(CONCATENATE(G166,(H166-1)),$I$2:L165,4,FALSE))*-C166))</f>
        <v/>
      </c>
    </row>
    <row r="167" spans="1:13" ht="15" thickBot="1" x14ac:dyDescent="0.35">
      <c r="A167" s="27" t="str">
        <f>IF('Australian Transaction'!A167= "","",'Australian Transaction'!A167)</f>
        <v/>
      </c>
      <c r="B167" s="28" t="str">
        <f>IF('Australian Transaction'!B167= "","",'Australian Transaction'!B167)</f>
        <v/>
      </c>
      <c r="C167" s="28" t="str">
        <f>IF('Australian Transaction'!C167= "","",IF(B167="BUY",'Australian Transaction'!C167,-'Australian Transaction'!C167))</f>
        <v/>
      </c>
      <c r="D167" s="28" t="str">
        <f>IF('Australian Transaction'!D167 = "","",IF($B167 = "BUY", 'Australian Transaction'!D167,-'Australian Transaction'!D167))</f>
        <v/>
      </c>
      <c r="E167" s="28" t="str">
        <f>IF('Australian Transaction'!E167= "","",'Australian Transaction'!E167)</f>
        <v/>
      </c>
      <c r="F167" s="23"/>
      <c r="G167" s="28" t="str">
        <f t="shared" si="17"/>
        <v/>
      </c>
      <c r="H167" s="28" t="str">
        <f>IF(A167="","",COUNTIF($G$2:G167,G167))</f>
        <v/>
      </c>
      <c r="I167" s="28" t="str">
        <f t="shared" si="18"/>
        <v/>
      </c>
      <c r="J167" s="28" t="str">
        <f>IF(G167="","",IF(COUNTIF($G$2:G167,G167)&gt;1,SUMIF($A$2:A167,G167,$C$2:C167),C167))</f>
        <v/>
      </c>
      <c r="K167" s="45" t="str">
        <f>IF(G167="","",IF(COUNTIF($G$2:G167,G167)&gt;1,SUMIF($A$2:A167,G167,$D$2:D167),D167) +SUMIF($G$2:G167,G167,$M$2:M167))</f>
        <v/>
      </c>
      <c r="L167" s="45" t="str">
        <f t="shared" si="19"/>
        <v/>
      </c>
      <c r="M167" s="46" t="str">
        <f>IF(G167="","",IF(B167 = "BUY", 0,(E167-VLOOKUP(CONCATENATE(G167,(H167-1)),$I$2:L166,4,FALSE))*-C167))</f>
        <v/>
      </c>
    </row>
    <row r="168" spans="1:13" ht="15" thickBot="1" x14ac:dyDescent="0.35">
      <c r="A168" s="27" t="str">
        <f>IF('Australian Transaction'!A168= "","",'Australian Transaction'!A168)</f>
        <v/>
      </c>
      <c r="B168" s="28" t="str">
        <f>IF('Australian Transaction'!B168= "","",'Australian Transaction'!B168)</f>
        <v/>
      </c>
      <c r="C168" s="28" t="str">
        <f>IF('Australian Transaction'!C168= "","",IF(B168="BUY",'Australian Transaction'!C168,-'Australian Transaction'!C168))</f>
        <v/>
      </c>
      <c r="D168" s="28" t="str">
        <f>IF('Australian Transaction'!D168 = "","",IF($B168 = "BUY", 'Australian Transaction'!D168,-'Australian Transaction'!D168))</f>
        <v/>
      </c>
      <c r="E168" s="28" t="str">
        <f>IF('Australian Transaction'!E168= "","",'Australian Transaction'!E168)</f>
        <v/>
      </c>
      <c r="F168" s="23"/>
      <c r="G168" s="28" t="str">
        <f t="shared" si="17"/>
        <v/>
      </c>
      <c r="H168" s="28" t="str">
        <f>IF(A168="","",COUNTIF($G$2:G168,G168))</f>
        <v/>
      </c>
      <c r="I168" s="28" t="str">
        <f t="shared" si="18"/>
        <v/>
      </c>
      <c r="J168" s="28" t="str">
        <f>IF(G168="","",IF(COUNTIF($G$2:G168,G168)&gt;1,SUMIF($A$2:A168,G168,$C$2:C168),C168))</f>
        <v/>
      </c>
      <c r="K168" s="45" t="str">
        <f>IF(G168="","",IF(COUNTIF($G$2:G168,G168)&gt;1,SUMIF($A$2:A168,G168,$D$2:D168),D168) +SUMIF($G$2:G168,G168,$M$2:M168))</f>
        <v/>
      </c>
      <c r="L168" s="45" t="str">
        <f t="shared" si="19"/>
        <v/>
      </c>
      <c r="M168" s="46" t="str">
        <f>IF(G168="","",IF(B168 = "BUY", 0,(E168-VLOOKUP(CONCATENATE(G168,(H168-1)),$I$2:L167,4,FALSE))*-C168))</f>
        <v/>
      </c>
    </row>
    <row r="169" spans="1:13" ht="15" thickBot="1" x14ac:dyDescent="0.35">
      <c r="A169" s="27" t="str">
        <f>IF('Australian Transaction'!A169= "","",'Australian Transaction'!A169)</f>
        <v/>
      </c>
      <c r="B169" s="28" t="str">
        <f>IF('Australian Transaction'!B169= "","",'Australian Transaction'!B169)</f>
        <v/>
      </c>
      <c r="C169" s="28" t="str">
        <f>IF('Australian Transaction'!C169= "","",IF(B169="BUY",'Australian Transaction'!C169,-'Australian Transaction'!C169))</f>
        <v/>
      </c>
      <c r="D169" s="28" t="str">
        <f>IF('Australian Transaction'!D169 = "","",IF($B169 = "BUY", 'Australian Transaction'!D169,-'Australian Transaction'!D169))</f>
        <v/>
      </c>
      <c r="E169" s="28" t="str">
        <f>IF('Australian Transaction'!E169= "","",'Australian Transaction'!E169)</f>
        <v/>
      </c>
      <c r="F169" s="23"/>
      <c r="G169" s="28" t="str">
        <f t="shared" si="17"/>
        <v/>
      </c>
      <c r="H169" s="28" t="str">
        <f>IF(A169="","",COUNTIF($G$2:G169,G169))</f>
        <v/>
      </c>
      <c r="I169" s="28" t="str">
        <f t="shared" si="18"/>
        <v/>
      </c>
      <c r="J169" s="28" t="str">
        <f>IF(G169="","",IF(COUNTIF($G$2:G169,G169)&gt;1,SUMIF($A$2:A169,G169,$C$2:C169),C169))</f>
        <v/>
      </c>
      <c r="K169" s="45" t="str">
        <f>IF(G169="","",IF(COUNTIF($G$2:G169,G169)&gt;1,SUMIF($A$2:A169,G169,$D$2:D169),D169) +SUMIF($G$2:G169,G169,$M$2:M169))</f>
        <v/>
      </c>
      <c r="L169" s="45" t="str">
        <f t="shared" si="19"/>
        <v/>
      </c>
      <c r="M169" s="46" t="str">
        <f>IF(G169="","",IF(B169 = "BUY", 0,(E169-VLOOKUP(CONCATENATE(G169,(H169-1)),$I$2:L168,4,FALSE))*-C169))</f>
        <v/>
      </c>
    </row>
    <row r="170" spans="1:13" ht="15" thickBot="1" x14ac:dyDescent="0.35">
      <c r="A170" s="27" t="str">
        <f>IF('Australian Transaction'!A170= "","",'Australian Transaction'!A170)</f>
        <v/>
      </c>
      <c r="B170" s="28" t="str">
        <f>IF('Australian Transaction'!B170= "","",'Australian Transaction'!B170)</f>
        <v/>
      </c>
      <c r="C170" s="28" t="str">
        <f>IF('Australian Transaction'!C170= "","",IF(B170="BUY",'Australian Transaction'!C170,-'Australian Transaction'!C170))</f>
        <v/>
      </c>
      <c r="D170" s="28" t="str">
        <f>IF('Australian Transaction'!D170 = "","",IF($B170 = "BUY", 'Australian Transaction'!D170,-'Australian Transaction'!D170))</f>
        <v/>
      </c>
      <c r="E170" s="28" t="str">
        <f>IF('Australian Transaction'!E170= "","",'Australian Transaction'!E170)</f>
        <v/>
      </c>
      <c r="F170" s="23"/>
      <c r="G170" s="28" t="str">
        <f t="shared" si="17"/>
        <v/>
      </c>
      <c r="H170" s="28" t="str">
        <f>IF(A170="","",COUNTIF($G$2:G170,G170))</f>
        <v/>
      </c>
      <c r="I170" s="28" t="str">
        <f t="shared" si="18"/>
        <v/>
      </c>
      <c r="J170" s="28" t="str">
        <f>IF(G170="","",IF(COUNTIF($G$2:G170,G170)&gt;1,SUMIF($A$2:A170,G170,$C$2:C170),C170))</f>
        <v/>
      </c>
      <c r="K170" s="45" t="str">
        <f>IF(G170="","",IF(COUNTIF($G$2:G170,G170)&gt;1,SUMIF($A$2:A170,G170,$D$2:D170),D170) +SUMIF($G$2:G170,G170,$M$2:M170))</f>
        <v/>
      </c>
      <c r="L170" s="45" t="str">
        <f t="shared" si="19"/>
        <v/>
      </c>
      <c r="M170" s="46" t="str">
        <f>IF(G170="","",IF(B170 = "BUY", 0,(E170-VLOOKUP(CONCATENATE(G170,(H170-1)),$I$2:L169,4,FALSE))*-C170))</f>
        <v/>
      </c>
    </row>
    <row r="171" spans="1:13" ht="15" thickBot="1" x14ac:dyDescent="0.35">
      <c r="A171" s="27" t="str">
        <f>IF('Australian Transaction'!A171= "","",'Australian Transaction'!A171)</f>
        <v/>
      </c>
      <c r="B171" s="28" t="str">
        <f>IF('Australian Transaction'!B171= "","",'Australian Transaction'!B171)</f>
        <v/>
      </c>
      <c r="C171" s="28" t="str">
        <f>IF('Australian Transaction'!C171= "","",IF(B171="BUY",'Australian Transaction'!C171,-'Australian Transaction'!C171))</f>
        <v/>
      </c>
      <c r="D171" s="28" t="str">
        <f>IF('Australian Transaction'!D171 = "","",IF($B171 = "BUY", 'Australian Transaction'!D171,-'Australian Transaction'!D171))</f>
        <v/>
      </c>
      <c r="E171" s="28" t="str">
        <f>IF('Australian Transaction'!E171= "","",'Australian Transaction'!E171)</f>
        <v/>
      </c>
      <c r="F171" s="23"/>
      <c r="G171" s="28" t="str">
        <f t="shared" si="17"/>
        <v/>
      </c>
      <c r="H171" s="28" t="str">
        <f>IF(A171="","",COUNTIF($G$2:G171,G171))</f>
        <v/>
      </c>
      <c r="I171" s="28" t="str">
        <f t="shared" si="18"/>
        <v/>
      </c>
      <c r="J171" s="28" t="str">
        <f>IF(G171="","",IF(COUNTIF($G$2:G171,G171)&gt;1,SUMIF($A$2:A171,G171,$C$2:C171),C171))</f>
        <v/>
      </c>
      <c r="K171" s="45" t="str">
        <f>IF(G171="","",IF(COUNTIF($G$2:G171,G171)&gt;1,SUMIF($A$2:A171,G171,$D$2:D171),D171) +SUMIF($G$2:G171,G171,$M$2:M171))</f>
        <v/>
      </c>
      <c r="L171" s="45" t="str">
        <f t="shared" si="19"/>
        <v/>
      </c>
      <c r="M171" s="46" t="str">
        <f>IF(G171="","",IF(B171 = "BUY", 0,(E171-VLOOKUP(CONCATENATE(G171,(H171-1)),$I$2:L170,4,FALSE))*-C171))</f>
        <v/>
      </c>
    </row>
    <row r="172" spans="1:13" ht="15" thickBot="1" x14ac:dyDescent="0.35">
      <c r="A172" s="27" t="str">
        <f>IF('Australian Transaction'!A172= "","",'Australian Transaction'!A172)</f>
        <v/>
      </c>
      <c r="B172" s="28" t="str">
        <f>IF('Australian Transaction'!B172= "","",'Australian Transaction'!B172)</f>
        <v/>
      </c>
      <c r="C172" s="28" t="str">
        <f>IF('Australian Transaction'!C172= "","",IF(B172="BUY",'Australian Transaction'!C172,-'Australian Transaction'!C172))</f>
        <v/>
      </c>
      <c r="D172" s="28" t="str">
        <f>IF('Australian Transaction'!D172 = "","",IF($B172 = "BUY", 'Australian Transaction'!D172,-'Australian Transaction'!D172))</f>
        <v/>
      </c>
      <c r="E172" s="28" t="str">
        <f>IF('Australian Transaction'!E172= "","",'Australian Transaction'!E172)</f>
        <v/>
      </c>
      <c r="F172" s="23"/>
      <c r="G172" s="28" t="str">
        <f t="shared" si="17"/>
        <v/>
      </c>
      <c r="H172" s="28" t="str">
        <f>IF(A172="","",COUNTIF($G$2:G172,G172))</f>
        <v/>
      </c>
      <c r="I172" s="28" t="str">
        <f t="shared" si="18"/>
        <v/>
      </c>
      <c r="J172" s="28" t="str">
        <f>IF(G172="","",IF(COUNTIF($G$2:G172,G172)&gt;1,SUMIF($A$2:A172,G172,$C$2:C172),C172))</f>
        <v/>
      </c>
      <c r="K172" s="45" t="str">
        <f>IF(G172="","",IF(COUNTIF($G$2:G172,G172)&gt;1,SUMIF($A$2:A172,G172,$D$2:D172),D172) +SUMIF($G$2:G172,G172,$M$2:M172))</f>
        <v/>
      </c>
      <c r="L172" s="45" t="str">
        <f t="shared" si="19"/>
        <v/>
      </c>
      <c r="M172" s="46" t="str">
        <f>IF(G172="","",IF(B172 = "BUY", 0,(E172-VLOOKUP(CONCATENATE(G172,(H172-1)),$I$2:L171,4,FALSE))*-C172))</f>
        <v/>
      </c>
    </row>
    <row r="173" spans="1:13" ht="15" thickBot="1" x14ac:dyDescent="0.35">
      <c r="A173" s="27" t="str">
        <f>IF('Australian Transaction'!A173= "","",'Australian Transaction'!A173)</f>
        <v/>
      </c>
      <c r="B173" s="28" t="str">
        <f>IF('Australian Transaction'!B173= "","",'Australian Transaction'!B173)</f>
        <v/>
      </c>
      <c r="C173" s="28" t="str">
        <f>IF('Australian Transaction'!C173= "","",IF(B173="BUY",'Australian Transaction'!C173,-'Australian Transaction'!C173))</f>
        <v/>
      </c>
      <c r="D173" s="28" t="str">
        <f>IF('Australian Transaction'!D173 = "","",IF($B173 = "BUY", 'Australian Transaction'!D173,-'Australian Transaction'!D173))</f>
        <v/>
      </c>
      <c r="E173" s="28" t="str">
        <f>IF('Australian Transaction'!E173= "","",'Australian Transaction'!E173)</f>
        <v/>
      </c>
      <c r="F173" s="23"/>
      <c r="G173" s="28" t="str">
        <f t="shared" si="17"/>
        <v/>
      </c>
      <c r="H173" s="28" t="str">
        <f>IF(A173="","",COUNTIF($G$2:G173,G173))</f>
        <v/>
      </c>
      <c r="I173" s="28" t="str">
        <f t="shared" si="18"/>
        <v/>
      </c>
      <c r="J173" s="28" t="str">
        <f>IF(G173="","",IF(COUNTIF($G$2:G173,G173)&gt;1,SUMIF($A$2:A173,G173,$C$2:C173),C173))</f>
        <v/>
      </c>
      <c r="K173" s="45" t="str">
        <f>IF(G173="","",IF(COUNTIF($G$2:G173,G173)&gt;1,SUMIF($A$2:A173,G173,$D$2:D173),D173) +SUMIF($G$2:G173,G173,$M$2:M173))</f>
        <v/>
      </c>
      <c r="L173" s="45" t="str">
        <f t="shared" si="19"/>
        <v/>
      </c>
      <c r="M173" s="46" t="str">
        <f>IF(G173="","",IF(B173 = "BUY", 0,(E173-VLOOKUP(CONCATENATE(G173,(H173-1)),$I$2:L172,4,FALSE))*-C173))</f>
        <v/>
      </c>
    </row>
    <row r="174" spans="1:13" ht="15" thickBot="1" x14ac:dyDescent="0.35">
      <c r="A174" s="27" t="str">
        <f>IF('Australian Transaction'!A174= "","",'Australian Transaction'!A174)</f>
        <v/>
      </c>
      <c r="B174" s="28" t="str">
        <f>IF('Australian Transaction'!B174= "","",'Australian Transaction'!B174)</f>
        <v/>
      </c>
      <c r="C174" s="28" t="str">
        <f>IF('Australian Transaction'!C174= "","",IF(B174="BUY",'Australian Transaction'!C174,-'Australian Transaction'!C174))</f>
        <v/>
      </c>
      <c r="D174" s="28" t="str">
        <f>IF('Australian Transaction'!D174 = "","",IF($B174 = "BUY", 'Australian Transaction'!D174,-'Australian Transaction'!D174))</f>
        <v/>
      </c>
      <c r="E174" s="28" t="str">
        <f>IF('Australian Transaction'!E174= "","",'Australian Transaction'!E174)</f>
        <v/>
      </c>
      <c r="F174" s="23"/>
      <c r="G174" s="28" t="str">
        <f t="shared" si="17"/>
        <v/>
      </c>
      <c r="H174" s="28" t="str">
        <f>IF(A174="","",COUNTIF($G$2:G174,G174))</f>
        <v/>
      </c>
      <c r="I174" s="28" t="str">
        <f t="shared" si="18"/>
        <v/>
      </c>
      <c r="J174" s="28" t="str">
        <f>IF(G174="","",IF(COUNTIF($G$2:G174,G174)&gt;1,SUMIF($A$2:A174,G174,$C$2:C174),C174))</f>
        <v/>
      </c>
      <c r="K174" s="45" t="str">
        <f>IF(G174="","",IF(COUNTIF($G$2:G174,G174)&gt;1,SUMIF($A$2:A174,G174,$D$2:D174),D174) +SUMIF($G$2:G174,G174,$M$2:M174))</f>
        <v/>
      </c>
      <c r="L174" s="45" t="str">
        <f t="shared" si="19"/>
        <v/>
      </c>
      <c r="M174" s="46" t="str">
        <f>IF(G174="","",IF(B174 = "BUY", 0,(E174-VLOOKUP(CONCATENATE(G174,(H174-1)),$I$2:L173,4,FALSE))*-C174))</f>
        <v/>
      </c>
    </row>
    <row r="175" spans="1:13" ht="15" thickBot="1" x14ac:dyDescent="0.35">
      <c r="A175" s="27" t="str">
        <f>IF('Australian Transaction'!A175= "","",'Australian Transaction'!A175)</f>
        <v/>
      </c>
      <c r="B175" s="28" t="str">
        <f>IF('Australian Transaction'!B175= "","",'Australian Transaction'!B175)</f>
        <v/>
      </c>
      <c r="C175" s="28" t="str">
        <f>IF('Australian Transaction'!C175= "","",IF(B175="BUY",'Australian Transaction'!C175,-'Australian Transaction'!C175))</f>
        <v/>
      </c>
      <c r="D175" s="28" t="str">
        <f>IF('Australian Transaction'!D175 = "","",IF($B175 = "BUY", 'Australian Transaction'!D175,-'Australian Transaction'!D175))</f>
        <v/>
      </c>
      <c r="E175" s="28" t="str">
        <f>IF('Australian Transaction'!E175= "","",'Australian Transaction'!E175)</f>
        <v/>
      </c>
      <c r="F175" s="23"/>
      <c r="G175" s="28" t="str">
        <f t="shared" si="17"/>
        <v/>
      </c>
      <c r="H175" s="28" t="str">
        <f>IF(A175="","",COUNTIF($G$2:G175,G175))</f>
        <v/>
      </c>
      <c r="I175" s="28" t="str">
        <f t="shared" si="18"/>
        <v/>
      </c>
      <c r="J175" s="28" t="str">
        <f>IF(G175="","",IF(COUNTIF($G$2:G175,G175)&gt;1,SUMIF($A$2:A175,G175,$C$2:C175),C175))</f>
        <v/>
      </c>
      <c r="K175" s="45" t="str">
        <f>IF(G175="","",IF(COUNTIF($G$2:G175,G175)&gt;1,SUMIF($A$2:A175,G175,$D$2:D175),D175) +SUMIF($G$2:G175,G175,$M$2:M175))</f>
        <v/>
      </c>
      <c r="L175" s="45" t="str">
        <f t="shared" si="19"/>
        <v/>
      </c>
      <c r="M175" s="46" t="str">
        <f>IF(G175="","",IF(B175 = "BUY", 0,(E175-VLOOKUP(CONCATENATE(G175,(H175-1)),$I$2:L174,4,FALSE))*-C175))</f>
        <v/>
      </c>
    </row>
    <row r="176" spans="1:13" ht="15" thickBot="1" x14ac:dyDescent="0.35">
      <c r="A176" s="27" t="str">
        <f>IF('Australian Transaction'!A176= "","",'Australian Transaction'!A176)</f>
        <v/>
      </c>
      <c r="B176" s="28" t="str">
        <f>IF('Australian Transaction'!B176= "","",'Australian Transaction'!B176)</f>
        <v/>
      </c>
      <c r="C176" s="28" t="str">
        <f>IF('Australian Transaction'!C176= "","",IF(B176="BUY",'Australian Transaction'!C176,-'Australian Transaction'!C176))</f>
        <v/>
      </c>
      <c r="D176" s="28" t="str">
        <f>IF('Australian Transaction'!D176 = "","",IF($B176 = "BUY", 'Australian Transaction'!D176,-'Australian Transaction'!D176))</f>
        <v/>
      </c>
      <c r="E176" s="28" t="str">
        <f>IF('Australian Transaction'!E176= "","",'Australian Transaction'!E176)</f>
        <v/>
      </c>
      <c r="F176" s="23"/>
      <c r="G176" s="28" t="str">
        <f t="shared" si="17"/>
        <v/>
      </c>
      <c r="H176" s="28" t="str">
        <f>IF(A176="","",COUNTIF($G$2:G176,G176))</f>
        <v/>
      </c>
      <c r="I176" s="28" t="str">
        <f t="shared" si="18"/>
        <v/>
      </c>
      <c r="J176" s="28" t="str">
        <f>IF(G176="","",IF(COUNTIF($G$2:G176,G176)&gt;1,SUMIF($A$2:A176,G176,$C$2:C176),C176))</f>
        <v/>
      </c>
      <c r="K176" s="45" t="str">
        <f>IF(G176="","",IF(COUNTIF($G$2:G176,G176)&gt;1,SUMIF($A$2:A176,G176,$D$2:D176),D176) +SUMIF($G$2:G176,G176,$M$2:M176))</f>
        <v/>
      </c>
      <c r="L176" s="45" t="str">
        <f t="shared" si="19"/>
        <v/>
      </c>
      <c r="M176" s="46" t="str">
        <f>IF(G176="","",IF(B176 = "BUY", 0,(E176-VLOOKUP(CONCATENATE(G176,(H176-1)),$I$2:L175,4,FALSE))*-C176))</f>
        <v/>
      </c>
    </row>
    <row r="177" spans="1:13" ht="15" thickBot="1" x14ac:dyDescent="0.35">
      <c r="A177" s="27" t="str">
        <f>IF('Australian Transaction'!A177= "","",'Australian Transaction'!A177)</f>
        <v/>
      </c>
      <c r="B177" s="28" t="str">
        <f>IF('Australian Transaction'!B177= "","",'Australian Transaction'!B177)</f>
        <v/>
      </c>
      <c r="C177" s="28" t="str">
        <f>IF('Australian Transaction'!C177= "","",IF(B177="BUY",'Australian Transaction'!C177,-'Australian Transaction'!C177))</f>
        <v/>
      </c>
      <c r="D177" s="28" t="str">
        <f>IF('Australian Transaction'!D177 = "","",IF($B177 = "BUY", 'Australian Transaction'!D177,-'Australian Transaction'!D177))</f>
        <v/>
      </c>
      <c r="E177" s="28" t="str">
        <f>IF('Australian Transaction'!E177= "","",'Australian Transaction'!E177)</f>
        <v/>
      </c>
      <c r="F177" s="23"/>
      <c r="G177" s="28" t="str">
        <f t="shared" si="17"/>
        <v/>
      </c>
      <c r="H177" s="28" t="str">
        <f>IF(A177="","",COUNTIF($G$2:G177,G177))</f>
        <v/>
      </c>
      <c r="I177" s="28" t="str">
        <f t="shared" si="18"/>
        <v/>
      </c>
      <c r="J177" s="28" t="str">
        <f>IF(G177="","",IF(COUNTIF($G$2:G177,G177)&gt;1,SUMIF($A$2:A177,G177,$C$2:C177),C177))</f>
        <v/>
      </c>
      <c r="K177" s="45" t="str">
        <f>IF(G177="","",IF(COUNTIF($G$2:G177,G177)&gt;1,SUMIF($A$2:A177,G177,$D$2:D177),D177) +SUMIF($G$2:G177,G177,$M$2:M177))</f>
        <v/>
      </c>
      <c r="L177" s="45" t="str">
        <f t="shared" si="19"/>
        <v/>
      </c>
      <c r="M177" s="46" t="str">
        <f>IF(G177="","",IF(B177 = "BUY", 0,(E177-VLOOKUP(CONCATENATE(G177,(H177-1)),$I$2:L176,4,FALSE))*-C177))</f>
        <v/>
      </c>
    </row>
    <row r="178" spans="1:13" ht="15" thickBot="1" x14ac:dyDescent="0.35">
      <c r="A178" s="27" t="str">
        <f>IF('Australian Transaction'!A178= "","",'Australian Transaction'!A178)</f>
        <v/>
      </c>
      <c r="B178" s="28" t="str">
        <f>IF('Australian Transaction'!B178= "","",'Australian Transaction'!B178)</f>
        <v/>
      </c>
      <c r="C178" s="28" t="str">
        <f>IF('Australian Transaction'!C178= "","",IF(B178="BUY",'Australian Transaction'!C178,-'Australian Transaction'!C178))</f>
        <v/>
      </c>
      <c r="D178" s="28" t="str">
        <f>IF('Australian Transaction'!D178 = "","",IF($B178 = "BUY", 'Australian Transaction'!D178,-'Australian Transaction'!D178))</f>
        <v/>
      </c>
      <c r="E178" s="28" t="str">
        <f>IF('Australian Transaction'!E178= "","",'Australian Transaction'!E178)</f>
        <v/>
      </c>
      <c r="F178" s="23"/>
      <c r="G178" s="28" t="str">
        <f t="shared" si="17"/>
        <v/>
      </c>
      <c r="H178" s="28" t="str">
        <f>IF(A178="","",COUNTIF($G$2:G178,G178))</f>
        <v/>
      </c>
      <c r="I178" s="28" t="str">
        <f t="shared" si="18"/>
        <v/>
      </c>
      <c r="J178" s="28" t="str">
        <f>IF(G178="","",IF(COUNTIF($G$2:G178,G178)&gt;1,SUMIF($A$2:A178,G178,$C$2:C178),C178))</f>
        <v/>
      </c>
      <c r="K178" s="45" t="str">
        <f>IF(G178="","",IF(COUNTIF($G$2:G178,G178)&gt;1,SUMIF($A$2:A178,G178,$D$2:D178),D178) +SUMIF($G$2:G178,G178,$M$2:M178))</f>
        <v/>
      </c>
      <c r="L178" s="45" t="str">
        <f t="shared" si="19"/>
        <v/>
      </c>
      <c r="M178" s="46" t="str">
        <f>IF(G178="","",IF(B178 = "BUY", 0,(E178-VLOOKUP(CONCATENATE(G178,(H178-1)),$I$2:L177,4,FALSE))*-C178))</f>
        <v/>
      </c>
    </row>
    <row r="179" spans="1:13" ht="15" thickBot="1" x14ac:dyDescent="0.35">
      <c r="A179" s="27" t="str">
        <f>IF('Australian Transaction'!A179= "","",'Australian Transaction'!A179)</f>
        <v/>
      </c>
      <c r="B179" s="28" t="str">
        <f>IF('Australian Transaction'!B179= "","",'Australian Transaction'!B179)</f>
        <v/>
      </c>
      <c r="C179" s="28" t="str">
        <f>IF('Australian Transaction'!C179= "","",IF(B179="BUY",'Australian Transaction'!C179,-'Australian Transaction'!C179))</f>
        <v/>
      </c>
      <c r="D179" s="28" t="str">
        <f>IF('Australian Transaction'!D179 = "","",IF($B179 = "BUY", 'Australian Transaction'!D179,-'Australian Transaction'!D179))</f>
        <v/>
      </c>
      <c r="E179" s="28" t="str">
        <f>IF('Australian Transaction'!E179= "","",'Australian Transaction'!E179)</f>
        <v/>
      </c>
      <c r="F179" s="23"/>
      <c r="G179" s="28" t="str">
        <f t="shared" si="17"/>
        <v/>
      </c>
      <c r="H179" s="28" t="str">
        <f>IF(A179="","",COUNTIF($G$2:G179,G179))</f>
        <v/>
      </c>
      <c r="I179" s="28" t="str">
        <f t="shared" si="18"/>
        <v/>
      </c>
      <c r="J179" s="28" t="str">
        <f>IF(G179="","",IF(COUNTIF($G$2:G179,G179)&gt;1,SUMIF($A$2:A179,G179,$C$2:C179),C179))</f>
        <v/>
      </c>
      <c r="K179" s="45" t="str">
        <f>IF(G179="","",IF(COUNTIF($G$2:G179,G179)&gt;1,SUMIF($A$2:A179,G179,$D$2:D179),D179) +SUMIF($G$2:G179,G179,$M$2:M179))</f>
        <v/>
      </c>
      <c r="L179" s="45" t="str">
        <f t="shared" si="19"/>
        <v/>
      </c>
      <c r="M179" s="46" t="str">
        <f>IF(G179="","",IF(B179 = "BUY", 0,(E179-VLOOKUP(CONCATENATE(G179,(H179-1)),$I$2:L178,4,FALSE))*-C179))</f>
        <v/>
      </c>
    </row>
    <row r="180" spans="1:13" ht="15" thickBot="1" x14ac:dyDescent="0.35">
      <c r="A180" s="27" t="str">
        <f>IF('Australian Transaction'!A180= "","",'Australian Transaction'!A180)</f>
        <v/>
      </c>
      <c r="B180" s="28" t="str">
        <f>IF('Australian Transaction'!B180= "","",'Australian Transaction'!B180)</f>
        <v/>
      </c>
      <c r="C180" s="28" t="str">
        <f>IF('Australian Transaction'!C180= "","",IF(B180="BUY",'Australian Transaction'!C180,-'Australian Transaction'!C180))</f>
        <v/>
      </c>
      <c r="D180" s="28" t="str">
        <f>IF('Australian Transaction'!D180 = "","",IF($B180 = "BUY", 'Australian Transaction'!D180,-'Australian Transaction'!D180))</f>
        <v/>
      </c>
      <c r="E180" s="28" t="str">
        <f>IF('Australian Transaction'!E180= "","",'Australian Transaction'!E180)</f>
        <v/>
      </c>
      <c r="F180" s="23"/>
      <c r="G180" s="28" t="str">
        <f t="shared" si="17"/>
        <v/>
      </c>
      <c r="H180" s="28" t="str">
        <f>IF(A180="","",COUNTIF($G$2:G180,G180))</f>
        <v/>
      </c>
      <c r="I180" s="28" t="str">
        <f t="shared" si="18"/>
        <v/>
      </c>
      <c r="J180" s="28" t="str">
        <f>IF(G180="","",IF(COUNTIF($G$2:G180,G180)&gt;1,SUMIF($A$2:A180,G180,$C$2:C180),C180))</f>
        <v/>
      </c>
      <c r="K180" s="45" t="str">
        <f>IF(G180="","",IF(COUNTIF($G$2:G180,G180)&gt;1,SUMIF($A$2:A180,G180,$D$2:D180),D180) +SUMIF($G$2:G180,G180,$M$2:M180))</f>
        <v/>
      </c>
      <c r="L180" s="45" t="str">
        <f t="shared" si="19"/>
        <v/>
      </c>
      <c r="M180" s="46" t="str">
        <f>IF(G180="","",IF(B180 = "BUY", 0,(E180-VLOOKUP(CONCATENATE(G180,(H180-1)),$I$2:L179,4,FALSE))*-C180))</f>
        <v/>
      </c>
    </row>
    <row r="181" spans="1:13" ht="15" thickBot="1" x14ac:dyDescent="0.35">
      <c r="A181" s="27" t="str">
        <f>IF('Australian Transaction'!A181= "","",'Australian Transaction'!A181)</f>
        <v/>
      </c>
      <c r="B181" s="28" t="str">
        <f>IF('Australian Transaction'!B181= "","",'Australian Transaction'!B181)</f>
        <v/>
      </c>
      <c r="C181" s="28" t="str">
        <f>IF('Australian Transaction'!C181= "","",IF(B181="BUY",'Australian Transaction'!C181,-'Australian Transaction'!C181))</f>
        <v/>
      </c>
      <c r="D181" s="28" t="str">
        <f>IF('Australian Transaction'!D181 = "","",IF($B181 = "BUY", 'Australian Transaction'!D181,-'Australian Transaction'!D181))</f>
        <v/>
      </c>
      <c r="E181" s="28" t="str">
        <f>IF('Australian Transaction'!E181= "","",'Australian Transaction'!E181)</f>
        <v/>
      </c>
      <c r="F181" s="23"/>
      <c r="G181" s="28" t="str">
        <f t="shared" si="17"/>
        <v/>
      </c>
      <c r="H181" s="28" t="str">
        <f>IF(A181="","",COUNTIF($G$2:G181,G181))</f>
        <v/>
      </c>
      <c r="I181" s="28" t="str">
        <f t="shared" si="18"/>
        <v/>
      </c>
      <c r="J181" s="28" t="str">
        <f>IF(G181="","",IF(COUNTIF($G$2:G181,G181)&gt;1,SUMIF($A$2:A181,G181,$C$2:C181),C181))</f>
        <v/>
      </c>
      <c r="K181" s="45" t="str">
        <f>IF(G181="","",IF(COUNTIF($G$2:G181,G181)&gt;1,SUMIF($A$2:A181,G181,$D$2:D181),D181) +SUMIF($G$2:G181,G181,$M$2:M181))</f>
        <v/>
      </c>
      <c r="L181" s="45" t="str">
        <f t="shared" si="19"/>
        <v/>
      </c>
      <c r="M181" s="46" t="str">
        <f>IF(G181="","",IF(B181 = "BUY", 0,(E181-VLOOKUP(CONCATENATE(G181,(H181-1)),$I$2:L180,4,FALSE))*-C181))</f>
        <v/>
      </c>
    </row>
    <row r="182" spans="1:13" ht="15" thickBot="1" x14ac:dyDescent="0.35">
      <c r="A182" s="27" t="str">
        <f>IF('Australian Transaction'!A182= "","",'Australian Transaction'!A182)</f>
        <v/>
      </c>
      <c r="B182" s="28" t="str">
        <f>IF('Australian Transaction'!B182= "","",'Australian Transaction'!B182)</f>
        <v/>
      </c>
      <c r="C182" s="28" t="str">
        <f>IF('Australian Transaction'!C182= "","",IF(B182="BUY",'Australian Transaction'!C182,-'Australian Transaction'!C182))</f>
        <v/>
      </c>
      <c r="D182" s="28" t="str">
        <f>IF('Australian Transaction'!D182 = "","",IF($B182 = "BUY", 'Australian Transaction'!D182,-'Australian Transaction'!D182))</f>
        <v/>
      </c>
      <c r="E182" s="28" t="str">
        <f>IF('Australian Transaction'!E182= "","",'Australian Transaction'!E182)</f>
        <v/>
      </c>
      <c r="F182" s="23"/>
      <c r="G182" s="28" t="str">
        <f t="shared" si="17"/>
        <v/>
      </c>
      <c r="H182" s="28" t="str">
        <f>IF(A182="","",COUNTIF($G$2:G182,G182))</f>
        <v/>
      </c>
      <c r="I182" s="28" t="str">
        <f t="shared" si="18"/>
        <v/>
      </c>
      <c r="J182" s="28" t="str">
        <f>IF(G182="","",IF(COUNTIF($G$2:G182,G182)&gt;1,SUMIF($A$2:A182,G182,$C$2:C182),C182))</f>
        <v/>
      </c>
      <c r="K182" s="45" t="str">
        <f>IF(G182="","",IF(COUNTIF($G$2:G182,G182)&gt;1,SUMIF($A$2:A182,G182,$D$2:D182),D182) +SUMIF($G$2:G182,G182,$M$2:M182))</f>
        <v/>
      </c>
      <c r="L182" s="45" t="str">
        <f t="shared" si="19"/>
        <v/>
      </c>
      <c r="M182" s="46" t="str">
        <f>IF(G182="","",IF(B182 = "BUY", 0,(E182-VLOOKUP(CONCATENATE(G182,(H182-1)),$I$2:L181,4,FALSE))*-C182))</f>
        <v/>
      </c>
    </row>
    <row r="183" spans="1:13" ht="15" thickBot="1" x14ac:dyDescent="0.35">
      <c r="A183" s="27" t="str">
        <f>IF('Australian Transaction'!A183= "","",'Australian Transaction'!A183)</f>
        <v/>
      </c>
      <c r="B183" s="28" t="str">
        <f>IF('Australian Transaction'!B183= "","",'Australian Transaction'!B183)</f>
        <v/>
      </c>
      <c r="C183" s="28" t="str">
        <f>IF('Australian Transaction'!C183= "","",IF(B183="BUY",'Australian Transaction'!C183,-'Australian Transaction'!C183))</f>
        <v/>
      </c>
      <c r="D183" s="28" t="str">
        <f>IF('Australian Transaction'!D183 = "","",IF($B183 = "BUY", 'Australian Transaction'!D183,-'Australian Transaction'!D183))</f>
        <v/>
      </c>
      <c r="E183" s="28" t="str">
        <f>IF('Australian Transaction'!E183= "","",'Australian Transaction'!E183)</f>
        <v/>
      </c>
      <c r="F183" s="23"/>
      <c r="G183" s="28" t="str">
        <f t="shared" si="17"/>
        <v/>
      </c>
      <c r="H183" s="28" t="str">
        <f>IF(A183="","",COUNTIF($G$2:G183,G183))</f>
        <v/>
      </c>
      <c r="I183" s="28" t="str">
        <f t="shared" si="18"/>
        <v/>
      </c>
      <c r="J183" s="28" t="str">
        <f>IF(G183="","",IF(COUNTIF($G$2:G183,G183)&gt;1,SUMIF($A$2:A183,G183,$C$2:C183),C183))</f>
        <v/>
      </c>
      <c r="K183" s="45" t="str">
        <f>IF(G183="","",IF(COUNTIF($G$2:G183,G183)&gt;1,SUMIF($A$2:A183,G183,$D$2:D183),D183) +SUMIF($G$2:G183,G183,$M$2:M183))</f>
        <v/>
      </c>
      <c r="L183" s="45" t="str">
        <f t="shared" si="19"/>
        <v/>
      </c>
      <c r="M183" s="46" t="str">
        <f>IF(G183="","",IF(B183 = "BUY", 0,(E183-VLOOKUP(CONCATENATE(G183,(H183-1)),$I$2:L182,4,FALSE))*-C183))</f>
        <v/>
      </c>
    </row>
    <row r="184" spans="1:13" ht="15" thickBot="1" x14ac:dyDescent="0.35">
      <c r="A184" s="27" t="str">
        <f>IF('Australian Transaction'!A184= "","",'Australian Transaction'!A184)</f>
        <v/>
      </c>
      <c r="B184" s="28" t="str">
        <f>IF('Australian Transaction'!B184= "","",'Australian Transaction'!B184)</f>
        <v/>
      </c>
      <c r="C184" s="28" t="str">
        <f>IF('Australian Transaction'!C184= "","",IF(B184="BUY",'Australian Transaction'!C184,-'Australian Transaction'!C184))</f>
        <v/>
      </c>
      <c r="D184" s="28" t="str">
        <f>IF('Australian Transaction'!D184 = "","",IF($B184 = "BUY", 'Australian Transaction'!D184,-'Australian Transaction'!D184))</f>
        <v/>
      </c>
      <c r="E184" s="28" t="str">
        <f>IF('Australian Transaction'!E184= "","",'Australian Transaction'!E184)</f>
        <v/>
      </c>
      <c r="F184" s="23"/>
      <c r="G184" s="28" t="str">
        <f t="shared" si="17"/>
        <v/>
      </c>
      <c r="H184" s="28" t="str">
        <f>IF(A184="","",COUNTIF($G$2:G184,G184))</f>
        <v/>
      </c>
      <c r="I184" s="28" t="str">
        <f t="shared" si="18"/>
        <v/>
      </c>
      <c r="J184" s="28" t="str">
        <f>IF(G184="","",IF(COUNTIF($G$2:G184,G184)&gt;1,SUMIF($A$2:A184,G184,$C$2:C184),C184))</f>
        <v/>
      </c>
      <c r="K184" s="45" t="str">
        <f>IF(G184="","",IF(COUNTIF($G$2:G184,G184)&gt;1,SUMIF($A$2:A184,G184,$D$2:D184),D184) +SUMIF($G$2:G184,G184,$M$2:M184))</f>
        <v/>
      </c>
      <c r="L184" s="45" t="str">
        <f t="shared" si="19"/>
        <v/>
      </c>
      <c r="M184" s="46" t="str">
        <f>IF(G184="","",IF(B184 = "BUY", 0,(E184-VLOOKUP(CONCATENATE(G184,(H184-1)),$I$2:L183,4,FALSE))*-C184))</f>
        <v/>
      </c>
    </row>
    <row r="185" spans="1:13" ht="15" thickBot="1" x14ac:dyDescent="0.35">
      <c r="A185" s="27" t="str">
        <f>IF('Australian Transaction'!A185= "","",'Australian Transaction'!A185)</f>
        <v/>
      </c>
      <c r="B185" s="28" t="str">
        <f>IF('Australian Transaction'!B185= "","",'Australian Transaction'!B185)</f>
        <v/>
      </c>
      <c r="C185" s="28" t="str">
        <f>IF('Australian Transaction'!C185= "","",IF(B185="BUY",'Australian Transaction'!C185,-'Australian Transaction'!C185))</f>
        <v/>
      </c>
      <c r="D185" s="28" t="str">
        <f>IF('Australian Transaction'!D185 = "","",IF($B185 = "BUY", 'Australian Transaction'!D185,-'Australian Transaction'!D185))</f>
        <v/>
      </c>
      <c r="E185" s="28" t="str">
        <f>IF('Australian Transaction'!E185= "","",'Australian Transaction'!E185)</f>
        <v/>
      </c>
      <c r="F185" s="23"/>
      <c r="G185" s="28" t="str">
        <f t="shared" si="17"/>
        <v/>
      </c>
      <c r="H185" s="28" t="str">
        <f>IF(A185="","",COUNTIF($G$2:G185,G185))</f>
        <v/>
      </c>
      <c r="I185" s="28" t="str">
        <f t="shared" si="18"/>
        <v/>
      </c>
      <c r="J185" s="28" t="str">
        <f>IF(G185="","",IF(COUNTIF($G$2:G185,G185)&gt;1,SUMIF($A$2:A185,G185,$C$2:C185),C185))</f>
        <v/>
      </c>
      <c r="K185" s="45" t="str">
        <f>IF(G185="","",IF(COUNTIF($G$2:G185,G185)&gt;1,SUMIF($A$2:A185,G185,$D$2:D185),D185) +SUMIF($G$2:G185,G185,$M$2:M185))</f>
        <v/>
      </c>
      <c r="L185" s="45" t="str">
        <f t="shared" si="19"/>
        <v/>
      </c>
      <c r="M185" s="46" t="str">
        <f>IF(G185="","",IF(B185 = "BUY", 0,(E185-VLOOKUP(CONCATENATE(G185,(H185-1)),$I$2:L184,4,FALSE))*-C185))</f>
        <v/>
      </c>
    </row>
    <row r="186" spans="1:13" ht="15" thickBot="1" x14ac:dyDescent="0.35">
      <c r="A186" s="27" t="str">
        <f>IF('Australian Transaction'!A186= "","",'Australian Transaction'!A186)</f>
        <v/>
      </c>
      <c r="B186" s="28" t="str">
        <f>IF('Australian Transaction'!B186= "","",'Australian Transaction'!B186)</f>
        <v/>
      </c>
      <c r="C186" s="28" t="str">
        <f>IF('Australian Transaction'!C186= "","",IF(B186="BUY",'Australian Transaction'!C186,-'Australian Transaction'!C186))</f>
        <v/>
      </c>
      <c r="D186" s="28" t="str">
        <f>IF('Australian Transaction'!D186 = "","",IF($B186 = "BUY", 'Australian Transaction'!D186,-'Australian Transaction'!D186))</f>
        <v/>
      </c>
      <c r="E186" s="28" t="str">
        <f>IF('Australian Transaction'!E186= "","",'Australian Transaction'!E186)</f>
        <v/>
      </c>
      <c r="F186" s="23"/>
      <c r="G186" s="28" t="str">
        <f t="shared" si="17"/>
        <v/>
      </c>
      <c r="H186" s="28" t="str">
        <f>IF(A186="","",COUNTIF($G$2:G186,G186))</f>
        <v/>
      </c>
      <c r="I186" s="28" t="str">
        <f t="shared" si="18"/>
        <v/>
      </c>
      <c r="J186" s="28" t="str">
        <f>IF(G186="","",IF(COUNTIF($G$2:G186,G186)&gt;1,SUMIF($A$2:A186,G186,$C$2:C186),C186))</f>
        <v/>
      </c>
      <c r="K186" s="45" t="str">
        <f>IF(G186="","",IF(COUNTIF($G$2:G186,G186)&gt;1,SUMIF($A$2:A186,G186,$D$2:D186),D186) +SUMIF($G$2:G186,G186,$M$2:M186))</f>
        <v/>
      </c>
      <c r="L186" s="45" t="str">
        <f t="shared" si="19"/>
        <v/>
      </c>
      <c r="M186" s="46" t="str">
        <f>IF(G186="","",IF(B186 = "BUY", 0,(E186-VLOOKUP(CONCATENATE(G186,(H186-1)),$I$2:L185,4,FALSE))*-C186))</f>
        <v/>
      </c>
    </row>
    <row r="187" spans="1:13" ht="15" thickBot="1" x14ac:dyDescent="0.35">
      <c r="A187" s="27" t="str">
        <f>IF('Australian Transaction'!A187= "","",'Australian Transaction'!A187)</f>
        <v/>
      </c>
      <c r="B187" s="28" t="str">
        <f>IF('Australian Transaction'!B187= "","",'Australian Transaction'!B187)</f>
        <v/>
      </c>
      <c r="C187" s="28" t="str">
        <f>IF('Australian Transaction'!C187= "","",IF(B187="BUY",'Australian Transaction'!C187,-'Australian Transaction'!C187))</f>
        <v/>
      </c>
      <c r="D187" s="28" t="str">
        <f>IF('Australian Transaction'!D187 = "","",IF($B187 = "BUY", 'Australian Transaction'!D187,-'Australian Transaction'!D187))</f>
        <v/>
      </c>
      <c r="E187" s="28" t="str">
        <f>IF('Australian Transaction'!E187= "","",'Australian Transaction'!E187)</f>
        <v/>
      </c>
      <c r="F187" s="23"/>
      <c r="G187" s="28" t="str">
        <f t="shared" si="17"/>
        <v/>
      </c>
      <c r="H187" s="28" t="str">
        <f>IF(A187="","",COUNTIF($G$2:G187,G187))</f>
        <v/>
      </c>
      <c r="I187" s="28" t="str">
        <f t="shared" si="18"/>
        <v/>
      </c>
      <c r="J187" s="28" t="str">
        <f>IF(G187="","",IF(COUNTIF($G$2:G187,G187)&gt;1,SUMIF($A$2:A187,G187,$C$2:C187),C187))</f>
        <v/>
      </c>
      <c r="K187" s="45" t="str">
        <f>IF(G187="","",IF(COUNTIF($G$2:G187,G187)&gt;1,SUMIF($A$2:A187,G187,$D$2:D187),D187) +SUMIF($G$2:G187,G187,$M$2:M187))</f>
        <v/>
      </c>
      <c r="L187" s="45" t="str">
        <f t="shared" si="19"/>
        <v/>
      </c>
      <c r="M187" s="46" t="str">
        <f>IF(G187="","",IF(B187 = "BUY", 0,(E187-VLOOKUP(CONCATENATE(G187,(H187-1)),$I$2:L186,4,FALSE))*-C187))</f>
        <v/>
      </c>
    </row>
    <row r="188" spans="1:13" ht="15" thickBot="1" x14ac:dyDescent="0.35">
      <c r="A188" s="27" t="str">
        <f>IF('Australian Transaction'!A188= "","",'Australian Transaction'!A188)</f>
        <v/>
      </c>
      <c r="B188" s="28" t="str">
        <f>IF('Australian Transaction'!B188= "","",'Australian Transaction'!B188)</f>
        <v/>
      </c>
      <c r="C188" s="28" t="str">
        <f>IF('Australian Transaction'!C188= "","",IF(B188="BUY",'Australian Transaction'!C188,-'Australian Transaction'!C188))</f>
        <v/>
      </c>
      <c r="D188" s="28" t="str">
        <f>IF('Australian Transaction'!D188 = "","",IF($B188 = "BUY", 'Australian Transaction'!D188,-'Australian Transaction'!D188))</f>
        <v/>
      </c>
      <c r="E188" s="28" t="str">
        <f>IF('Australian Transaction'!E188= "","",'Australian Transaction'!E188)</f>
        <v/>
      </c>
      <c r="F188" s="23"/>
      <c r="G188" s="28" t="str">
        <f t="shared" si="17"/>
        <v/>
      </c>
      <c r="H188" s="28" t="str">
        <f>IF(A188="","",COUNTIF($G$2:G188,G188))</f>
        <v/>
      </c>
      <c r="I188" s="28" t="str">
        <f t="shared" si="18"/>
        <v/>
      </c>
      <c r="J188" s="28" t="str">
        <f>IF(G188="","",IF(COUNTIF($G$2:G188,G188)&gt;1,SUMIF($A$2:A188,G188,$C$2:C188),C188))</f>
        <v/>
      </c>
      <c r="K188" s="45" t="str">
        <f>IF(G188="","",IF(COUNTIF($G$2:G188,G188)&gt;1,SUMIF($A$2:A188,G188,$D$2:D188),D188) +SUMIF($G$2:G188,G188,$M$2:M188))</f>
        <v/>
      </c>
      <c r="L188" s="45" t="str">
        <f t="shared" si="19"/>
        <v/>
      </c>
      <c r="M188" s="46" t="str">
        <f>IF(G188="","",IF(B188 = "BUY", 0,(E188-VLOOKUP(CONCATENATE(G188,(H188-1)),$I$2:L187,4,FALSE))*-C188))</f>
        <v/>
      </c>
    </row>
    <row r="189" spans="1:13" ht="15" thickBot="1" x14ac:dyDescent="0.35">
      <c r="A189" s="27" t="str">
        <f>IF('Australian Transaction'!A189= "","",'Australian Transaction'!A189)</f>
        <v/>
      </c>
      <c r="B189" s="28" t="str">
        <f>IF('Australian Transaction'!B189= "","",'Australian Transaction'!B189)</f>
        <v/>
      </c>
      <c r="C189" s="28" t="str">
        <f>IF('Australian Transaction'!C189= "","",IF(B189="BUY",'Australian Transaction'!C189,-'Australian Transaction'!C189))</f>
        <v/>
      </c>
      <c r="D189" s="28" t="str">
        <f>IF('Australian Transaction'!D189 = "","",IF($B189 = "BUY", 'Australian Transaction'!D189,-'Australian Transaction'!D189))</f>
        <v/>
      </c>
      <c r="E189" s="28" t="str">
        <f>IF('Australian Transaction'!E189= "","",'Australian Transaction'!E189)</f>
        <v/>
      </c>
      <c r="F189" s="23"/>
      <c r="G189" s="28" t="str">
        <f t="shared" si="17"/>
        <v/>
      </c>
      <c r="H189" s="28" t="str">
        <f>IF(A189="","",COUNTIF($G$2:G189,G189))</f>
        <v/>
      </c>
      <c r="I189" s="28" t="str">
        <f t="shared" si="18"/>
        <v/>
      </c>
      <c r="J189" s="28" t="str">
        <f>IF(G189="","",IF(COUNTIF($G$2:G189,G189)&gt;1,SUMIF($A$2:A189,G189,$C$2:C189),C189))</f>
        <v/>
      </c>
      <c r="K189" s="45" t="str">
        <f>IF(G189="","",IF(COUNTIF($G$2:G189,G189)&gt;1,SUMIF($A$2:A189,G189,$D$2:D189),D189) +SUMIF($G$2:G189,G189,$M$2:M189))</f>
        <v/>
      </c>
      <c r="L189" s="45" t="str">
        <f t="shared" si="19"/>
        <v/>
      </c>
      <c r="M189" s="46" t="str">
        <f>IF(G189="","",IF(B189 = "BUY", 0,(E189-VLOOKUP(CONCATENATE(G189,(H189-1)),$I$2:L188,4,FALSE))*-C189))</f>
        <v/>
      </c>
    </row>
    <row r="190" spans="1:13" ht="15" thickBot="1" x14ac:dyDescent="0.35">
      <c r="A190" s="27" t="str">
        <f>IF('Australian Transaction'!A190= "","",'Australian Transaction'!A190)</f>
        <v/>
      </c>
      <c r="B190" s="28" t="str">
        <f>IF('Australian Transaction'!B190= "","",'Australian Transaction'!B190)</f>
        <v/>
      </c>
      <c r="C190" s="28" t="str">
        <f>IF('Australian Transaction'!C190= "","",IF(B190="BUY",'Australian Transaction'!C190,-'Australian Transaction'!C190))</f>
        <v/>
      </c>
      <c r="D190" s="28" t="str">
        <f>IF('Australian Transaction'!D190 = "","",IF($B190 = "BUY", 'Australian Transaction'!D190,-'Australian Transaction'!D190))</f>
        <v/>
      </c>
      <c r="E190" s="28" t="str">
        <f>IF('Australian Transaction'!E190= "","",'Australian Transaction'!E190)</f>
        <v/>
      </c>
      <c r="F190" s="23"/>
      <c r="G190" s="28" t="str">
        <f t="shared" si="17"/>
        <v/>
      </c>
      <c r="H190" s="28" t="str">
        <f>IF(A190="","",COUNTIF($G$2:G190,G190))</f>
        <v/>
      </c>
      <c r="I190" s="28" t="str">
        <f t="shared" si="18"/>
        <v/>
      </c>
      <c r="J190" s="28" t="str">
        <f>IF(G190="","",IF(COUNTIF($G$2:G190,G190)&gt;1,SUMIF($A$2:A190,G190,$C$2:C190),C190))</f>
        <v/>
      </c>
      <c r="K190" s="45" t="str">
        <f>IF(G190="","",IF(COUNTIF($G$2:G190,G190)&gt;1,SUMIF($A$2:A190,G190,$D$2:D190),D190) +SUMIF($G$2:G190,G190,$M$2:M190))</f>
        <v/>
      </c>
      <c r="L190" s="45" t="str">
        <f t="shared" si="19"/>
        <v/>
      </c>
      <c r="M190" s="46" t="str">
        <f>IF(G190="","",IF(B190 = "BUY", 0,(E190-VLOOKUP(CONCATENATE(G190,(H190-1)),$I$2:L189,4,FALSE))*-C190))</f>
        <v/>
      </c>
    </row>
    <row r="191" spans="1:13" ht="15" thickBot="1" x14ac:dyDescent="0.35">
      <c r="A191" s="27" t="str">
        <f>IF('Australian Transaction'!A191= "","",'Australian Transaction'!A191)</f>
        <v/>
      </c>
      <c r="B191" s="28" t="str">
        <f>IF('Australian Transaction'!B191= "","",'Australian Transaction'!B191)</f>
        <v/>
      </c>
      <c r="C191" s="28" t="str">
        <f>IF('Australian Transaction'!C191= "","",IF(B191="BUY",'Australian Transaction'!C191,-'Australian Transaction'!C191))</f>
        <v/>
      </c>
      <c r="D191" s="28" t="str">
        <f>IF('Australian Transaction'!D191 = "","",IF($B191 = "BUY", 'Australian Transaction'!D191,-'Australian Transaction'!D191))</f>
        <v/>
      </c>
      <c r="E191" s="28" t="str">
        <f>IF('Australian Transaction'!E191= "","",'Australian Transaction'!E191)</f>
        <v/>
      </c>
      <c r="F191" s="23"/>
      <c r="G191" s="28" t="str">
        <f t="shared" si="17"/>
        <v/>
      </c>
      <c r="H191" s="28" t="str">
        <f>IF(A191="","",COUNTIF($G$2:G191,G191))</f>
        <v/>
      </c>
      <c r="I191" s="28" t="str">
        <f t="shared" si="18"/>
        <v/>
      </c>
      <c r="J191" s="28" t="str">
        <f>IF(G191="","",IF(COUNTIF($G$2:G191,G191)&gt;1,SUMIF($A$2:A191,G191,$C$2:C191),C191))</f>
        <v/>
      </c>
      <c r="K191" s="45" t="str">
        <f>IF(G191="","",IF(COUNTIF($G$2:G191,G191)&gt;1,SUMIF($A$2:A191,G191,$D$2:D191),D191) +SUMIF($G$2:G191,G191,$M$2:M191))</f>
        <v/>
      </c>
      <c r="L191" s="45" t="str">
        <f t="shared" si="19"/>
        <v/>
      </c>
      <c r="M191" s="46" t="str">
        <f>IF(G191="","",IF(B191 = "BUY", 0,(E191-VLOOKUP(CONCATENATE(G191,(H191-1)),$I$2:L190,4,FALSE))*-C191))</f>
        <v/>
      </c>
    </row>
    <row r="192" spans="1:13" ht="15" thickBot="1" x14ac:dyDescent="0.35">
      <c r="A192" s="27" t="str">
        <f>IF('Australian Transaction'!A192= "","",'Australian Transaction'!A192)</f>
        <v/>
      </c>
      <c r="B192" s="28" t="str">
        <f>IF('Australian Transaction'!B192= "","",'Australian Transaction'!B192)</f>
        <v/>
      </c>
      <c r="C192" s="28" t="str">
        <f>IF('Australian Transaction'!C192= "","",IF(B192="BUY",'Australian Transaction'!C192,-'Australian Transaction'!C192))</f>
        <v/>
      </c>
      <c r="D192" s="28" t="str">
        <f>IF('Australian Transaction'!D192 = "","",IF($B192 = "BUY", 'Australian Transaction'!D192,-'Australian Transaction'!D192))</f>
        <v/>
      </c>
      <c r="E192" s="28" t="str">
        <f>IF('Australian Transaction'!E192= "","",'Australian Transaction'!E192)</f>
        <v/>
      </c>
      <c r="F192" s="23"/>
      <c r="G192" s="28" t="str">
        <f t="shared" si="17"/>
        <v/>
      </c>
      <c r="H192" s="28" t="str">
        <f>IF(A192="","",COUNTIF($G$2:G192,G192))</f>
        <v/>
      </c>
      <c r="I192" s="28" t="str">
        <f t="shared" si="18"/>
        <v/>
      </c>
      <c r="J192" s="28" t="str">
        <f>IF(G192="","",IF(COUNTIF($G$2:G192,G192)&gt;1,SUMIF($A$2:A192,G192,$C$2:C192),C192))</f>
        <v/>
      </c>
      <c r="K192" s="45" t="str">
        <f>IF(G192="","",IF(COUNTIF($G$2:G192,G192)&gt;1,SUMIF($A$2:A192,G192,$D$2:D192),D192) +SUMIF($G$2:G192,G192,$M$2:M192))</f>
        <v/>
      </c>
      <c r="L192" s="45" t="str">
        <f t="shared" si="19"/>
        <v/>
      </c>
      <c r="M192" s="46" t="str">
        <f>IF(G192="","",IF(B192 = "BUY", 0,(E192-VLOOKUP(CONCATENATE(G192,(H192-1)),$I$2:L191,4,FALSE))*-C192))</f>
        <v/>
      </c>
    </row>
    <row r="193" spans="1:13" ht="15" thickBot="1" x14ac:dyDescent="0.35">
      <c r="A193" s="27" t="str">
        <f>IF('Australian Transaction'!A193= "","",'Australian Transaction'!A193)</f>
        <v/>
      </c>
      <c r="B193" s="28" t="str">
        <f>IF('Australian Transaction'!B193= "","",'Australian Transaction'!B193)</f>
        <v/>
      </c>
      <c r="C193" s="28" t="str">
        <f>IF('Australian Transaction'!C193= "","",IF(B193="BUY",'Australian Transaction'!C193,-'Australian Transaction'!C193))</f>
        <v/>
      </c>
      <c r="D193" s="28" t="str">
        <f>IF('Australian Transaction'!D193 = "","",IF($B193 = "BUY", 'Australian Transaction'!D193,-'Australian Transaction'!D193))</f>
        <v/>
      </c>
      <c r="E193" s="28" t="str">
        <f>IF('Australian Transaction'!E193= "","",'Australian Transaction'!E193)</f>
        <v/>
      </c>
      <c r="F193" s="23"/>
      <c r="G193" s="28" t="str">
        <f t="shared" si="17"/>
        <v/>
      </c>
      <c r="H193" s="28" t="str">
        <f>IF(A193="","",COUNTIF($G$2:G193,G193))</f>
        <v/>
      </c>
      <c r="I193" s="28" t="str">
        <f t="shared" si="18"/>
        <v/>
      </c>
      <c r="J193" s="28" t="str">
        <f>IF(G193="","",IF(COUNTIF($G$2:G193,G193)&gt;1,SUMIF($A$2:A193,G193,$C$2:C193),C193))</f>
        <v/>
      </c>
      <c r="K193" s="45" t="str">
        <f>IF(G193="","",IF(COUNTIF($G$2:G193,G193)&gt;1,SUMIF($A$2:A193,G193,$D$2:D193),D193) +SUMIF($G$2:G193,G193,$M$2:M193))</f>
        <v/>
      </c>
      <c r="L193" s="45" t="str">
        <f t="shared" si="19"/>
        <v/>
      </c>
      <c r="M193" s="46" t="str">
        <f>IF(G193="","",IF(B193 = "BUY", 0,(E193-VLOOKUP(CONCATENATE(G193,(H193-1)),$I$2:L192,4,FALSE))*-C193))</f>
        <v/>
      </c>
    </row>
    <row r="194" spans="1:13" ht="15" thickBot="1" x14ac:dyDescent="0.35">
      <c r="A194" s="27" t="str">
        <f>IF('Australian Transaction'!A194= "","",'Australian Transaction'!A194)</f>
        <v/>
      </c>
      <c r="B194" s="28" t="str">
        <f>IF('Australian Transaction'!B194= "","",'Australian Transaction'!B194)</f>
        <v/>
      </c>
      <c r="C194" s="28" t="str">
        <f>IF('Australian Transaction'!C194= "","",IF(B194="BUY",'Australian Transaction'!C194,-'Australian Transaction'!C194))</f>
        <v/>
      </c>
      <c r="D194" s="28" t="str">
        <f>IF('Australian Transaction'!D194 = "","",IF($B194 = "BUY", 'Australian Transaction'!D194,-'Australian Transaction'!D194))</f>
        <v/>
      </c>
      <c r="E194" s="28" t="str">
        <f>IF('Australian Transaction'!E194= "","",'Australian Transaction'!E194)</f>
        <v/>
      </c>
      <c r="F194" s="23"/>
      <c r="G194" s="28" t="str">
        <f t="shared" si="17"/>
        <v/>
      </c>
      <c r="H194" s="28" t="str">
        <f>IF(A194="","",COUNTIF($G$2:G194,G194))</f>
        <v/>
      </c>
      <c r="I194" s="28" t="str">
        <f t="shared" si="18"/>
        <v/>
      </c>
      <c r="J194" s="28" t="str">
        <f>IF(G194="","",IF(COUNTIF($G$2:G194,G194)&gt;1,SUMIF($A$2:A194,G194,$C$2:C194),C194))</f>
        <v/>
      </c>
      <c r="K194" s="45" t="str">
        <f>IF(G194="","",IF(COUNTIF($G$2:G194,G194)&gt;1,SUMIF($A$2:A194,G194,$D$2:D194),D194) +SUMIF($G$2:G194,G194,$M$2:M194))</f>
        <v/>
      </c>
      <c r="L194" s="45" t="str">
        <f t="shared" si="19"/>
        <v/>
      </c>
      <c r="M194" s="46" t="str">
        <f>IF(G194="","",IF(B194 = "BUY", 0,(E194-VLOOKUP(CONCATENATE(G194,(H194-1)),$I$2:L193,4,FALSE))*-C194))</f>
        <v/>
      </c>
    </row>
    <row r="195" spans="1:13" ht="15" thickBot="1" x14ac:dyDescent="0.35">
      <c r="A195" s="27" t="str">
        <f>IF('Australian Transaction'!A195= "","",'Australian Transaction'!A195)</f>
        <v/>
      </c>
      <c r="B195" s="28" t="str">
        <f>IF('Australian Transaction'!B195= "","",'Australian Transaction'!B195)</f>
        <v/>
      </c>
      <c r="C195" s="28" t="str">
        <f>IF('Australian Transaction'!C195= "","",IF(B195="BUY",'Australian Transaction'!C195,-'Australian Transaction'!C195))</f>
        <v/>
      </c>
      <c r="D195" s="28" t="str">
        <f>IF('Australian Transaction'!D195 = "","",IF($B195 = "BUY", 'Australian Transaction'!D195,-'Australian Transaction'!D195))</f>
        <v/>
      </c>
      <c r="E195" s="28" t="str">
        <f>IF('Australian Transaction'!E195= "","",'Australian Transaction'!E195)</f>
        <v/>
      </c>
      <c r="F195" s="23"/>
      <c r="G195" s="28" t="str">
        <f t="shared" ref="G195:G258" si="20">A195</f>
        <v/>
      </c>
      <c r="H195" s="28" t="str">
        <f>IF(A195="","",COUNTIF($G$2:G195,G195))</f>
        <v/>
      </c>
      <c r="I195" s="28" t="str">
        <f t="shared" ref="I195:I258" si="21">_xlfn.CONCAT(G195,H195)</f>
        <v/>
      </c>
      <c r="J195" s="28" t="str">
        <f>IF(G195="","",IF(COUNTIF($G$2:G195,G195)&gt;1,SUMIF($A$2:A195,G195,$C$2:C195),C195))</f>
        <v/>
      </c>
      <c r="K195" s="45" t="str">
        <f>IF(G195="","",IF(COUNTIF($G$2:G195,G195)&gt;1,SUMIF($A$2:A195,G195,$D$2:D195),D195) +SUMIF($G$2:G195,G195,$M$2:M195))</f>
        <v/>
      </c>
      <c r="L195" s="45" t="str">
        <f t="shared" ref="L195:L258" si="22">IF(G195="","",IFERROR(K195/J195,0))</f>
        <v/>
      </c>
      <c r="M195" s="46" t="str">
        <f>IF(G195="","",IF(B195 = "BUY", 0,(E195-VLOOKUP(CONCATENATE(G195,(H195-1)),$I$2:L194,4,FALSE))*-C195))</f>
        <v/>
      </c>
    </row>
    <row r="196" spans="1:13" ht="15" thickBot="1" x14ac:dyDescent="0.35">
      <c r="A196" s="27" t="str">
        <f>IF('Australian Transaction'!A196= "","",'Australian Transaction'!A196)</f>
        <v/>
      </c>
      <c r="B196" s="28" t="str">
        <f>IF('Australian Transaction'!B196= "","",'Australian Transaction'!B196)</f>
        <v/>
      </c>
      <c r="C196" s="28" t="str">
        <f>IF('Australian Transaction'!C196= "","",IF(B196="BUY",'Australian Transaction'!C196,-'Australian Transaction'!C196))</f>
        <v/>
      </c>
      <c r="D196" s="28" t="str">
        <f>IF('Australian Transaction'!D196 = "","",IF($B196 = "BUY", 'Australian Transaction'!D196,-'Australian Transaction'!D196))</f>
        <v/>
      </c>
      <c r="E196" s="28" t="str">
        <f>IF('Australian Transaction'!E196= "","",'Australian Transaction'!E196)</f>
        <v/>
      </c>
      <c r="F196" s="23"/>
      <c r="G196" s="28" t="str">
        <f t="shared" si="20"/>
        <v/>
      </c>
      <c r="H196" s="28" t="str">
        <f>IF(A196="","",COUNTIF($G$2:G196,G196))</f>
        <v/>
      </c>
      <c r="I196" s="28" t="str">
        <f t="shared" si="21"/>
        <v/>
      </c>
      <c r="J196" s="28" t="str">
        <f>IF(G196="","",IF(COUNTIF($G$2:G196,G196)&gt;1,SUMIF($A$2:A196,G196,$C$2:C196),C196))</f>
        <v/>
      </c>
      <c r="K196" s="45" t="str">
        <f>IF(G196="","",IF(COUNTIF($G$2:G196,G196)&gt;1,SUMIF($A$2:A196,G196,$D$2:D196),D196) +SUMIF($G$2:G196,G196,$M$2:M196))</f>
        <v/>
      </c>
      <c r="L196" s="45" t="str">
        <f t="shared" si="22"/>
        <v/>
      </c>
      <c r="M196" s="46" t="str">
        <f>IF(G196="","",IF(B196 = "BUY", 0,(E196-VLOOKUP(CONCATENATE(G196,(H196-1)),$I$2:L195,4,FALSE))*-C196))</f>
        <v/>
      </c>
    </row>
    <row r="197" spans="1:13" ht="15" thickBot="1" x14ac:dyDescent="0.35">
      <c r="A197" s="27" t="str">
        <f>IF('Australian Transaction'!A197= "","",'Australian Transaction'!A197)</f>
        <v/>
      </c>
      <c r="B197" s="28" t="str">
        <f>IF('Australian Transaction'!B197= "","",'Australian Transaction'!B197)</f>
        <v/>
      </c>
      <c r="C197" s="28" t="str">
        <f>IF('Australian Transaction'!C197= "","",IF(B197="BUY",'Australian Transaction'!C197,-'Australian Transaction'!C197))</f>
        <v/>
      </c>
      <c r="D197" s="28" t="str">
        <f>IF('Australian Transaction'!D197 = "","",IF($B197 = "BUY", 'Australian Transaction'!D197,-'Australian Transaction'!D197))</f>
        <v/>
      </c>
      <c r="E197" s="28" t="str">
        <f>IF('Australian Transaction'!E197= "","",'Australian Transaction'!E197)</f>
        <v/>
      </c>
      <c r="F197" s="23"/>
      <c r="G197" s="28" t="str">
        <f t="shared" si="20"/>
        <v/>
      </c>
      <c r="H197" s="28" t="str">
        <f>IF(A197="","",COUNTIF($G$2:G197,G197))</f>
        <v/>
      </c>
      <c r="I197" s="28" t="str">
        <f t="shared" si="21"/>
        <v/>
      </c>
      <c r="J197" s="28" t="str">
        <f>IF(G197="","",IF(COUNTIF($G$2:G197,G197)&gt;1,SUMIF($A$2:A197,G197,$C$2:C197),C197))</f>
        <v/>
      </c>
      <c r="K197" s="45" t="str">
        <f>IF(G197="","",IF(COUNTIF($G$2:G197,G197)&gt;1,SUMIF($A$2:A197,G197,$D$2:D197),D197) +SUMIF($G$2:G197,G197,$M$2:M197))</f>
        <v/>
      </c>
      <c r="L197" s="45" t="str">
        <f t="shared" si="22"/>
        <v/>
      </c>
      <c r="M197" s="46" t="str">
        <f>IF(G197="","",IF(B197 = "BUY", 0,(E197-VLOOKUP(CONCATENATE(G197,(H197-1)),$I$2:L196,4,FALSE))*-C197))</f>
        <v/>
      </c>
    </row>
    <row r="198" spans="1:13" ht="15" thickBot="1" x14ac:dyDescent="0.35">
      <c r="A198" s="27" t="str">
        <f>IF('Australian Transaction'!A198= "","",'Australian Transaction'!A198)</f>
        <v/>
      </c>
      <c r="B198" s="28" t="str">
        <f>IF('Australian Transaction'!B198= "","",'Australian Transaction'!B198)</f>
        <v/>
      </c>
      <c r="C198" s="28" t="str">
        <f>IF('Australian Transaction'!C198= "","",IF(B198="BUY",'Australian Transaction'!C198,-'Australian Transaction'!C198))</f>
        <v/>
      </c>
      <c r="D198" s="28" t="str">
        <f>IF('Australian Transaction'!D198 = "","",IF($B198 = "BUY", 'Australian Transaction'!D198,-'Australian Transaction'!D198))</f>
        <v/>
      </c>
      <c r="E198" s="28" t="str">
        <f>IF('Australian Transaction'!E198= "","",'Australian Transaction'!E198)</f>
        <v/>
      </c>
      <c r="F198" s="23"/>
      <c r="G198" s="28" t="str">
        <f t="shared" si="20"/>
        <v/>
      </c>
      <c r="H198" s="28" t="str">
        <f>IF(A198="","",COUNTIF($G$2:G198,G198))</f>
        <v/>
      </c>
      <c r="I198" s="28" t="str">
        <f t="shared" si="21"/>
        <v/>
      </c>
      <c r="J198" s="28" t="str">
        <f>IF(G198="","",IF(COUNTIF($G$2:G198,G198)&gt;1,SUMIF($A$2:A198,G198,$C$2:C198),C198))</f>
        <v/>
      </c>
      <c r="K198" s="45" t="str">
        <f>IF(G198="","",IF(COUNTIF($G$2:G198,G198)&gt;1,SUMIF($A$2:A198,G198,$D$2:D198),D198) +SUMIF($G$2:G198,G198,$M$2:M198))</f>
        <v/>
      </c>
      <c r="L198" s="45" t="str">
        <f t="shared" si="22"/>
        <v/>
      </c>
      <c r="M198" s="46" t="str">
        <f>IF(G198="","",IF(B198 = "BUY", 0,(E198-VLOOKUP(CONCATENATE(G198,(H198-1)),$I$2:L197,4,FALSE))*-C198))</f>
        <v/>
      </c>
    </row>
    <row r="199" spans="1:13" ht="15" thickBot="1" x14ac:dyDescent="0.35">
      <c r="A199" s="27" t="str">
        <f>IF('Australian Transaction'!A199= "","",'Australian Transaction'!A199)</f>
        <v/>
      </c>
      <c r="B199" s="28" t="str">
        <f>IF('Australian Transaction'!B199= "","",'Australian Transaction'!B199)</f>
        <v/>
      </c>
      <c r="C199" s="28" t="str">
        <f>IF('Australian Transaction'!C199= "","",IF(B199="BUY",'Australian Transaction'!C199,-'Australian Transaction'!C199))</f>
        <v/>
      </c>
      <c r="D199" s="28" t="str">
        <f>IF('Australian Transaction'!D199 = "","",IF($B199 = "BUY", 'Australian Transaction'!D199,-'Australian Transaction'!D199))</f>
        <v/>
      </c>
      <c r="E199" s="28" t="str">
        <f>IF('Australian Transaction'!E199= "","",'Australian Transaction'!E199)</f>
        <v/>
      </c>
      <c r="F199" s="23"/>
      <c r="G199" s="28" t="str">
        <f t="shared" si="20"/>
        <v/>
      </c>
      <c r="H199" s="28" t="str">
        <f>IF(A199="","",COUNTIF($G$2:G199,G199))</f>
        <v/>
      </c>
      <c r="I199" s="28" t="str">
        <f t="shared" si="21"/>
        <v/>
      </c>
      <c r="J199" s="28" t="str">
        <f>IF(G199="","",IF(COUNTIF($G$2:G199,G199)&gt;1,SUMIF($A$2:A199,G199,$C$2:C199),C199))</f>
        <v/>
      </c>
      <c r="K199" s="45" t="str">
        <f>IF(G199="","",IF(COUNTIF($G$2:G199,G199)&gt;1,SUMIF($A$2:A199,G199,$D$2:D199),D199) +SUMIF($G$2:G199,G199,$M$2:M199))</f>
        <v/>
      </c>
      <c r="L199" s="45" t="str">
        <f t="shared" si="22"/>
        <v/>
      </c>
      <c r="M199" s="46" t="str">
        <f>IF(G199="","",IF(B199 = "BUY", 0,(E199-VLOOKUP(CONCATENATE(G199,(H199-1)),$I$2:L198,4,FALSE))*-C199))</f>
        <v/>
      </c>
    </row>
    <row r="200" spans="1:13" ht="15" thickBot="1" x14ac:dyDescent="0.35">
      <c r="A200" s="27" t="str">
        <f>IF('Australian Transaction'!A200= "","",'Australian Transaction'!A200)</f>
        <v/>
      </c>
      <c r="B200" s="28" t="str">
        <f>IF('Australian Transaction'!B200= "","",'Australian Transaction'!B200)</f>
        <v/>
      </c>
      <c r="C200" s="28" t="str">
        <f>IF('Australian Transaction'!C200= "","",IF(B200="BUY",'Australian Transaction'!C200,-'Australian Transaction'!C200))</f>
        <v/>
      </c>
      <c r="D200" s="28" t="str">
        <f>IF('Australian Transaction'!D200 = "","",IF($B200 = "BUY", 'Australian Transaction'!D200,-'Australian Transaction'!D200))</f>
        <v/>
      </c>
      <c r="E200" s="28" t="str">
        <f>IF('Australian Transaction'!E200= "","",'Australian Transaction'!E200)</f>
        <v/>
      </c>
      <c r="F200" s="23"/>
      <c r="G200" s="28" t="str">
        <f t="shared" si="20"/>
        <v/>
      </c>
      <c r="H200" s="28" t="str">
        <f>IF(A200="","",COUNTIF($G$2:G200,G200))</f>
        <v/>
      </c>
      <c r="I200" s="28" t="str">
        <f t="shared" si="21"/>
        <v/>
      </c>
      <c r="J200" s="28" t="str">
        <f>IF(G200="","",IF(COUNTIF($G$2:G200,G200)&gt;1,SUMIF($A$2:A200,G200,$C$2:C200),C200))</f>
        <v/>
      </c>
      <c r="K200" s="45" t="str">
        <f>IF(G200="","",IF(COUNTIF($G$2:G200,G200)&gt;1,SUMIF($A$2:A200,G200,$D$2:D200),D200) +SUMIF($G$2:G200,G200,$M$2:M200))</f>
        <v/>
      </c>
      <c r="L200" s="45" t="str">
        <f t="shared" si="22"/>
        <v/>
      </c>
      <c r="M200" s="46" t="str">
        <f>IF(G200="","",IF(B200 = "BUY", 0,(E200-VLOOKUP(CONCATENATE(G200,(H200-1)),$I$2:L199,4,FALSE))*-C200))</f>
        <v/>
      </c>
    </row>
    <row r="201" spans="1:13" ht="15" thickBot="1" x14ac:dyDescent="0.35">
      <c r="A201" s="27" t="str">
        <f>IF('Australian Transaction'!A201= "","",'Australian Transaction'!A201)</f>
        <v/>
      </c>
      <c r="B201" s="28" t="str">
        <f>IF('Australian Transaction'!B201= "","",'Australian Transaction'!B201)</f>
        <v/>
      </c>
      <c r="C201" s="28" t="str">
        <f>IF('Australian Transaction'!C201= "","",IF(B201="BUY",'Australian Transaction'!C201,-'Australian Transaction'!C201))</f>
        <v/>
      </c>
      <c r="D201" s="28" t="str">
        <f>IF('Australian Transaction'!D201 = "","",IF($B201 = "BUY", 'Australian Transaction'!D201,-'Australian Transaction'!D201))</f>
        <v/>
      </c>
      <c r="E201" s="28" t="str">
        <f>IF('Australian Transaction'!E201= "","",'Australian Transaction'!E201)</f>
        <v/>
      </c>
      <c r="F201" s="23"/>
      <c r="G201" s="28" t="str">
        <f t="shared" si="20"/>
        <v/>
      </c>
      <c r="H201" s="28" t="str">
        <f>IF(A201="","",COUNTIF($G$2:G201,G201))</f>
        <v/>
      </c>
      <c r="I201" s="28" t="str">
        <f t="shared" si="21"/>
        <v/>
      </c>
      <c r="J201" s="28" t="str">
        <f>IF(G201="","",IF(COUNTIF($G$2:G201,G201)&gt;1,SUMIF($A$2:A201,G201,$C$2:C201),C201))</f>
        <v/>
      </c>
      <c r="K201" s="45" t="str">
        <f>IF(G201="","",IF(COUNTIF($G$2:G201,G201)&gt;1,SUMIF($A$2:A201,G201,$D$2:D201),D201) +SUMIF($G$2:G201,G201,$M$2:M201))</f>
        <v/>
      </c>
      <c r="L201" s="45" t="str">
        <f t="shared" si="22"/>
        <v/>
      </c>
      <c r="M201" s="46" t="str">
        <f>IF(G201="","",IF(B201 = "BUY", 0,(E201-VLOOKUP(CONCATENATE(G201,(H201-1)),$I$2:L200,4,FALSE))*-C201))</f>
        <v/>
      </c>
    </row>
    <row r="202" spans="1:13" ht="15" thickBot="1" x14ac:dyDescent="0.35">
      <c r="A202" s="27" t="str">
        <f>IF('Australian Transaction'!A202= "","",'Australian Transaction'!A202)</f>
        <v/>
      </c>
      <c r="B202" s="28" t="str">
        <f>IF('Australian Transaction'!B202= "","",'Australian Transaction'!B202)</f>
        <v/>
      </c>
      <c r="C202" s="28" t="str">
        <f>IF('Australian Transaction'!C202= "","",IF(B202="BUY",'Australian Transaction'!C202,-'Australian Transaction'!C202))</f>
        <v/>
      </c>
      <c r="D202" s="28" t="str">
        <f>IF('Australian Transaction'!D202 = "","",IF($B202 = "BUY", 'Australian Transaction'!D202,-'Australian Transaction'!D202))</f>
        <v/>
      </c>
      <c r="E202" s="28" t="str">
        <f>IF('Australian Transaction'!E202= "","",'Australian Transaction'!E202)</f>
        <v/>
      </c>
      <c r="F202" s="23"/>
      <c r="G202" s="28" t="str">
        <f t="shared" si="20"/>
        <v/>
      </c>
      <c r="H202" s="28" t="str">
        <f>IF(A202="","",COUNTIF($G$2:G202,G202))</f>
        <v/>
      </c>
      <c r="I202" s="28" t="str">
        <f t="shared" si="21"/>
        <v/>
      </c>
      <c r="J202" s="28" t="str">
        <f>IF(G202="","",IF(COUNTIF($G$2:G202,G202)&gt;1,SUMIF($A$2:A202,G202,$C$2:C202),C202))</f>
        <v/>
      </c>
      <c r="K202" s="45" t="str">
        <f>IF(G202="","",IF(COUNTIF($G$2:G202,G202)&gt;1,SUMIF($A$2:A202,G202,$D$2:D202),D202) +SUMIF($G$2:G202,G202,$M$2:M202))</f>
        <v/>
      </c>
      <c r="L202" s="45" t="str">
        <f t="shared" si="22"/>
        <v/>
      </c>
      <c r="M202" s="46" t="str">
        <f>IF(G202="","",IF(B202 = "BUY", 0,(E202-VLOOKUP(CONCATENATE(G202,(H202-1)),$I$2:L201,4,FALSE))*-C202))</f>
        <v/>
      </c>
    </row>
    <row r="203" spans="1:13" ht="15" thickBot="1" x14ac:dyDescent="0.35">
      <c r="A203" s="27" t="str">
        <f>IF('Australian Transaction'!A203= "","",'Australian Transaction'!A203)</f>
        <v/>
      </c>
      <c r="B203" s="28" t="str">
        <f>IF('Australian Transaction'!B203= "","",'Australian Transaction'!B203)</f>
        <v/>
      </c>
      <c r="C203" s="28" t="str">
        <f>IF('Australian Transaction'!C203= "","",IF(B203="BUY",'Australian Transaction'!C203,-'Australian Transaction'!C203))</f>
        <v/>
      </c>
      <c r="D203" s="28" t="str">
        <f>IF('Australian Transaction'!D203 = "","",IF($B203 = "BUY", 'Australian Transaction'!D203,-'Australian Transaction'!D203))</f>
        <v/>
      </c>
      <c r="E203" s="28" t="str">
        <f>IF('Australian Transaction'!E203= "","",'Australian Transaction'!E203)</f>
        <v/>
      </c>
      <c r="F203" s="23"/>
      <c r="G203" s="28" t="str">
        <f t="shared" si="20"/>
        <v/>
      </c>
      <c r="H203" s="28" t="str">
        <f>IF(A203="","",COUNTIF($G$2:G203,G203))</f>
        <v/>
      </c>
      <c r="I203" s="28" t="str">
        <f t="shared" si="21"/>
        <v/>
      </c>
      <c r="J203" s="28" t="str">
        <f>IF(G203="","",IF(COUNTIF($G$2:G203,G203)&gt;1,SUMIF($A$2:A203,G203,$C$2:C203),C203))</f>
        <v/>
      </c>
      <c r="K203" s="45" t="str">
        <f>IF(G203="","",IF(COUNTIF($G$2:G203,G203)&gt;1,SUMIF($A$2:A203,G203,$D$2:D203),D203) +SUMIF($G$2:G203,G203,$M$2:M203))</f>
        <v/>
      </c>
      <c r="L203" s="45" t="str">
        <f t="shared" si="22"/>
        <v/>
      </c>
      <c r="M203" s="46" t="str">
        <f>IF(G203="","",IF(B203 = "BUY", 0,(E203-VLOOKUP(CONCATENATE(G203,(H203-1)),$I$2:L202,4,FALSE))*-C203))</f>
        <v/>
      </c>
    </row>
    <row r="204" spans="1:13" ht="15" thickBot="1" x14ac:dyDescent="0.35">
      <c r="A204" s="27" t="str">
        <f>IF('Australian Transaction'!A204= "","",'Australian Transaction'!A204)</f>
        <v/>
      </c>
      <c r="B204" s="28" t="str">
        <f>IF('Australian Transaction'!B204= "","",'Australian Transaction'!B204)</f>
        <v/>
      </c>
      <c r="C204" s="28" t="str">
        <f>IF('Australian Transaction'!C204= "","",IF(B204="BUY",'Australian Transaction'!C204,-'Australian Transaction'!C204))</f>
        <v/>
      </c>
      <c r="D204" s="28" t="str">
        <f>IF('Australian Transaction'!D204 = "","",IF($B204 = "BUY", 'Australian Transaction'!D204,-'Australian Transaction'!D204))</f>
        <v/>
      </c>
      <c r="E204" s="28" t="str">
        <f>IF('Australian Transaction'!E204= "","",'Australian Transaction'!E204)</f>
        <v/>
      </c>
      <c r="F204" s="23"/>
      <c r="G204" s="28" t="str">
        <f t="shared" si="20"/>
        <v/>
      </c>
      <c r="H204" s="28" t="str">
        <f>IF(A204="","",COUNTIF($G$2:G204,G204))</f>
        <v/>
      </c>
      <c r="I204" s="28" t="str">
        <f t="shared" si="21"/>
        <v/>
      </c>
      <c r="J204" s="28" t="str">
        <f>IF(G204="","",IF(COUNTIF($G$2:G204,G204)&gt;1,SUMIF($A$2:A204,G204,$C$2:C204),C204))</f>
        <v/>
      </c>
      <c r="K204" s="45" t="str">
        <f>IF(G204="","",IF(COUNTIF($G$2:G204,G204)&gt;1,SUMIF($A$2:A204,G204,$D$2:D204),D204) +SUMIF($G$2:G204,G204,$M$2:M204))</f>
        <v/>
      </c>
      <c r="L204" s="45" t="str">
        <f t="shared" si="22"/>
        <v/>
      </c>
      <c r="M204" s="46" t="str">
        <f>IF(G204="","",IF(B204 = "BUY", 0,(E204-VLOOKUP(CONCATENATE(G204,(H204-1)),$I$2:L203,4,FALSE))*-C204))</f>
        <v/>
      </c>
    </row>
    <row r="205" spans="1:13" ht="15" thickBot="1" x14ac:dyDescent="0.35">
      <c r="A205" s="27" t="str">
        <f>IF('Australian Transaction'!A205= "","",'Australian Transaction'!A205)</f>
        <v/>
      </c>
      <c r="B205" s="28" t="str">
        <f>IF('Australian Transaction'!B205= "","",'Australian Transaction'!B205)</f>
        <v/>
      </c>
      <c r="C205" s="28" t="str">
        <f>IF('Australian Transaction'!C205= "","",IF(B205="BUY",'Australian Transaction'!C205,-'Australian Transaction'!C205))</f>
        <v/>
      </c>
      <c r="D205" s="28" t="str">
        <f>IF('Australian Transaction'!D205 = "","",IF($B205 = "BUY", 'Australian Transaction'!D205,-'Australian Transaction'!D205))</f>
        <v/>
      </c>
      <c r="E205" s="28" t="str">
        <f>IF('Australian Transaction'!E205= "","",'Australian Transaction'!E205)</f>
        <v/>
      </c>
      <c r="F205" s="23"/>
      <c r="G205" s="28" t="str">
        <f t="shared" si="20"/>
        <v/>
      </c>
      <c r="H205" s="28" t="str">
        <f>IF(A205="","",COUNTIF($G$2:G205,G205))</f>
        <v/>
      </c>
      <c r="I205" s="28" t="str">
        <f t="shared" si="21"/>
        <v/>
      </c>
      <c r="J205" s="28" t="str">
        <f>IF(G205="","",IF(COUNTIF($G$2:G205,G205)&gt;1,SUMIF($A$2:A205,G205,$C$2:C205),C205))</f>
        <v/>
      </c>
      <c r="K205" s="45" t="str">
        <f>IF(G205="","",IF(COUNTIF($G$2:G205,G205)&gt;1,SUMIF($A$2:A205,G205,$D$2:D205),D205) +SUMIF($G$2:G205,G205,$M$2:M205))</f>
        <v/>
      </c>
      <c r="L205" s="45" t="str">
        <f t="shared" si="22"/>
        <v/>
      </c>
      <c r="M205" s="46" t="str">
        <f>IF(G205="","",IF(B205 = "BUY", 0,(E205-VLOOKUP(CONCATENATE(G205,(H205-1)),$I$2:L204,4,FALSE))*-C205))</f>
        <v/>
      </c>
    </row>
    <row r="206" spans="1:13" ht="15" thickBot="1" x14ac:dyDescent="0.35">
      <c r="A206" s="27" t="str">
        <f>IF('Australian Transaction'!A206= "","",'Australian Transaction'!A206)</f>
        <v/>
      </c>
      <c r="B206" s="28" t="str">
        <f>IF('Australian Transaction'!B206= "","",'Australian Transaction'!B206)</f>
        <v/>
      </c>
      <c r="C206" s="28" t="str">
        <f>IF('Australian Transaction'!C206= "","",IF(B206="BUY",'Australian Transaction'!C206,-'Australian Transaction'!C206))</f>
        <v/>
      </c>
      <c r="D206" s="28" t="str">
        <f>IF('Australian Transaction'!D206 = "","",IF($B206 = "BUY", 'Australian Transaction'!D206,-'Australian Transaction'!D206))</f>
        <v/>
      </c>
      <c r="E206" s="28" t="str">
        <f>IF('Australian Transaction'!E206= "","",'Australian Transaction'!E206)</f>
        <v/>
      </c>
      <c r="F206" s="23"/>
      <c r="G206" s="28" t="str">
        <f t="shared" si="20"/>
        <v/>
      </c>
      <c r="H206" s="28" t="str">
        <f>IF(A206="","",COUNTIF($G$2:G206,G206))</f>
        <v/>
      </c>
      <c r="I206" s="28" t="str">
        <f t="shared" si="21"/>
        <v/>
      </c>
      <c r="J206" s="28" t="str">
        <f>IF(G206="","",IF(COUNTIF($G$2:G206,G206)&gt;1,SUMIF($A$2:A206,G206,$C$2:C206),C206))</f>
        <v/>
      </c>
      <c r="K206" s="45" t="str">
        <f>IF(G206="","",IF(COUNTIF($G$2:G206,G206)&gt;1,SUMIF($A$2:A206,G206,$D$2:D206),D206) +SUMIF($G$2:G206,G206,$M$2:M206))</f>
        <v/>
      </c>
      <c r="L206" s="45" t="str">
        <f t="shared" si="22"/>
        <v/>
      </c>
      <c r="M206" s="46" t="str">
        <f>IF(G206="","",IF(B206 = "BUY", 0,(E206-VLOOKUP(CONCATENATE(G206,(H206-1)),$I$2:L205,4,FALSE))*-C206))</f>
        <v/>
      </c>
    </row>
    <row r="207" spans="1:13" ht="15" thickBot="1" x14ac:dyDescent="0.35">
      <c r="A207" s="27" t="str">
        <f>IF('Australian Transaction'!A207= "","",'Australian Transaction'!A207)</f>
        <v/>
      </c>
      <c r="B207" s="28" t="str">
        <f>IF('Australian Transaction'!B207= "","",'Australian Transaction'!B207)</f>
        <v/>
      </c>
      <c r="C207" s="28" t="str">
        <f>IF('Australian Transaction'!C207= "","",IF(B207="BUY",'Australian Transaction'!C207,-'Australian Transaction'!C207))</f>
        <v/>
      </c>
      <c r="D207" s="28" t="str">
        <f>IF('Australian Transaction'!D207 = "","",IF($B207 = "BUY", 'Australian Transaction'!D207,-'Australian Transaction'!D207))</f>
        <v/>
      </c>
      <c r="E207" s="28" t="str">
        <f>IF('Australian Transaction'!E207= "","",'Australian Transaction'!E207)</f>
        <v/>
      </c>
      <c r="F207" s="23"/>
      <c r="G207" s="28" t="str">
        <f t="shared" si="20"/>
        <v/>
      </c>
      <c r="H207" s="28" t="str">
        <f>IF(A207="","",COUNTIF($G$2:G207,G207))</f>
        <v/>
      </c>
      <c r="I207" s="28" t="str">
        <f t="shared" si="21"/>
        <v/>
      </c>
      <c r="J207" s="28" t="str">
        <f>IF(G207="","",IF(COUNTIF($G$2:G207,G207)&gt;1,SUMIF($A$2:A207,G207,$C$2:C207),C207))</f>
        <v/>
      </c>
      <c r="K207" s="45" t="str">
        <f>IF(G207="","",IF(COUNTIF($G$2:G207,G207)&gt;1,SUMIF($A$2:A207,G207,$D$2:D207),D207) +SUMIF($G$2:G207,G207,$M$2:M207))</f>
        <v/>
      </c>
      <c r="L207" s="45" t="str">
        <f t="shared" si="22"/>
        <v/>
      </c>
      <c r="M207" s="46" t="str">
        <f>IF(G207="","",IF(B207 = "BUY", 0,(E207-VLOOKUP(CONCATENATE(G207,(H207-1)),$I$2:L206,4,FALSE))*-C207))</f>
        <v/>
      </c>
    </row>
    <row r="208" spans="1:13" ht="15" thickBot="1" x14ac:dyDescent="0.35">
      <c r="A208" s="27" t="str">
        <f>IF('Australian Transaction'!A208= "","",'Australian Transaction'!A208)</f>
        <v/>
      </c>
      <c r="B208" s="28" t="str">
        <f>IF('Australian Transaction'!B208= "","",'Australian Transaction'!B208)</f>
        <v/>
      </c>
      <c r="C208" s="28" t="str">
        <f>IF('Australian Transaction'!C208= "","",IF(B208="BUY",'Australian Transaction'!C208,-'Australian Transaction'!C208))</f>
        <v/>
      </c>
      <c r="D208" s="28" t="str">
        <f>IF('Australian Transaction'!D208 = "","",IF($B208 = "BUY", 'Australian Transaction'!D208,-'Australian Transaction'!D208))</f>
        <v/>
      </c>
      <c r="E208" s="28" t="str">
        <f>IF('Australian Transaction'!E208= "","",'Australian Transaction'!E208)</f>
        <v/>
      </c>
      <c r="F208" s="23"/>
      <c r="G208" s="28" t="str">
        <f t="shared" si="20"/>
        <v/>
      </c>
      <c r="H208" s="28" t="str">
        <f>IF(A208="","",COUNTIF($G$2:G208,G208))</f>
        <v/>
      </c>
      <c r="I208" s="28" t="str">
        <f t="shared" si="21"/>
        <v/>
      </c>
      <c r="J208" s="28" t="str">
        <f>IF(G208="","",IF(COUNTIF($G$2:G208,G208)&gt;1,SUMIF($A$2:A208,G208,$C$2:C208),C208))</f>
        <v/>
      </c>
      <c r="K208" s="45" t="str">
        <f>IF(G208="","",IF(COUNTIF($G$2:G208,G208)&gt;1,SUMIF($A$2:A208,G208,$D$2:D208),D208) +SUMIF($G$2:G208,G208,$M$2:M208))</f>
        <v/>
      </c>
      <c r="L208" s="45" t="str">
        <f t="shared" si="22"/>
        <v/>
      </c>
      <c r="M208" s="46" t="str">
        <f>IF(G208="","",IF(B208 = "BUY", 0,(E208-VLOOKUP(CONCATENATE(G208,(H208-1)),$I$2:L207,4,FALSE))*-C208))</f>
        <v/>
      </c>
    </row>
    <row r="209" spans="1:13" ht="15" thickBot="1" x14ac:dyDescent="0.35">
      <c r="A209" s="27" t="str">
        <f>IF('Australian Transaction'!A209= "","",'Australian Transaction'!A209)</f>
        <v/>
      </c>
      <c r="B209" s="28" t="str">
        <f>IF('Australian Transaction'!B209= "","",'Australian Transaction'!B209)</f>
        <v/>
      </c>
      <c r="C209" s="28" t="str">
        <f>IF('Australian Transaction'!C209= "","",IF(B209="BUY",'Australian Transaction'!C209,-'Australian Transaction'!C209))</f>
        <v/>
      </c>
      <c r="D209" s="28" t="str">
        <f>IF('Australian Transaction'!D209 = "","",IF($B209 = "BUY", 'Australian Transaction'!D209,-'Australian Transaction'!D209))</f>
        <v/>
      </c>
      <c r="E209" s="28" t="str">
        <f>IF('Australian Transaction'!E209= "","",'Australian Transaction'!E209)</f>
        <v/>
      </c>
      <c r="F209" s="23"/>
      <c r="G209" s="28" t="str">
        <f t="shared" si="20"/>
        <v/>
      </c>
      <c r="H209" s="28" t="str">
        <f>IF(A209="","",COUNTIF($G$2:G209,G209))</f>
        <v/>
      </c>
      <c r="I209" s="28" t="str">
        <f t="shared" si="21"/>
        <v/>
      </c>
      <c r="J209" s="28" t="str">
        <f>IF(G209="","",IF(COUNTIF($G$2:G209,G209)&gt;1,SUMIF($A$2:A209,G209,$C$2:C209),C209))</f>
        <v/>
      </c>
      <c r="K209" s="45" t="str">
        <f>IF(G209="","",IF(COUNTIF($G$2:G209,G209)&gt;1,SUMIF($A$2:A209,G209,$D$2:D209),D209) +SUMIF($G$2:G209,G209,$M$2:M209))</f>
        <v/>
      </c>
      <c r="L209" s="45" t="str">
        <f t="shared" si="22"/>
        <v/>
      </c>
      <c r="M209" s="46" t="str">
        <f>IF(G209="","",IF(B209 = "BUY", 0,(E209-VLOOKUP(CONCATENATE(G209,(H209-1)),$I$2:L208,4,FALSE))*-C209))</f>
        <v/>
      </c>
    </row>
    <row r="210" spans="1:13" ht="15" thickBot="1" x14ac:dyDescent="0.35">
      <c r="A210" s="27" t="str">
        <f>IF('Australian Transaction'!A210= "","",'Australian Transaction'!A210)</f>
        <v/>
      </c>
      <c r="B210" s="28" t="str">
        <f>IF('Australian Transaction'!B210= "","",'Australian Transaction'!B210)</f>
        <v/>
      </c>
      <c r="C210" s="28" t="str">
        <f>IF('Australian Transaction'!C210= "","",IF(B210="BUY",'Australian Transaction'!C210,-'Australian Transaction'!C210))</f>
        <v/>
      </c>
      <c r="D210" s="28" t="str">
        <f>IF('Australian Transaction'!D210 = "","",IF($B210 = "BUY", 'Australian Transaction'!D210,-'Australian Transaction'!D210))</f>
        <v/>
      </c>
      <c r="E210" s="28" t="str">
        <f>IF('Australian Transaction'!E210= "","",'Australian Transaction'!E210)</f>
        <v/>
      </c>
      <c r="F210" s="23"/>
      <c r="G210" s="28" t="str">
        <f t="shared" si="20"/>
        <v/>
      </c>
      <c r="H210" s="28" t="str">
        <f>IF(A210="","",COUNTIF($G$2:G210,G210))</f>
        <v/>
      </c>
      <c r="I210" s="28" t="str">
        <f t="shared" si="21"/>
        <v/>
      </c>
      <c r="J210" s="28" t="str">
        <f>IF(G210="","",IF(COUNTIF($G$2:G210,G210)&gt;1,SUMIF($A$2:A210,G210,$C$2:C210),C210))</f>
        <v/>
      </c>
      <c r="K210" s="45" t="str">
        <f>IF(G210="","",IF(COUNTIF($G$2:G210,G210)&gt;1,SUMIF($A$2:A210,G210,$D$2:D210),D210) +SUMIF($G$2:G210,G210,$M$2:M210))</f>
        <v/>
      </c>
      <c r="L210" s="45" t="str">
        <f t="shared" si="22"/>
        <v/>
      </c>
      <c r="M210" s="46" t="str">
        <f>IF(G210="","",IF(B210 = "BUY", 0,(E210-VLOOKUP(CONCATENATE(G210,(H210-1)),$I$2:L209,4,FALSE))*-C210))</f>
        <v/>
      </c>
    </row>
    <row r="211" spans="1:13" ht="15" thickBot="1" x14ac:dyDescent="0.35">
      <c r="A211" s="27" t="str">
        <f>IF('Australian Transaction'!A211= "","",'Australian Transaction'!A211)</f>
        <v/>
      </c>
      <c r="B211" s="28" t="str">
        <f>IF('Australian Transaction'!B211= "","",'Australian Transaction'!B211)</f>
        <v/>
      </c>
      <c r="C211" s="28" t="str">
        <f>IF('Australian Transaction'!C211= "","",IF(B211="BUY",'Australian Transaction'!C211,-'Australian Transaction'!C211))</f>
        <v/>
      </c>
      <c r="D211" s="28" t="str">
        <f>IF('Australian Transaction'!D211 = "","",IF($B211 = "BUY", 'Australian Transaction'!D211,-'Australian Transaction'!D211))</f>
        <v/>
      </c>
      <c r="E211" s="28" t="str">
        <f>IF('Australian Transaction'!E211= "","",'Australian Transaction'!E211)</f>
        <v/>
      </c>
      <c r="F211" s="23"/>
      <c r="G211" s="28" t="str">
        <f t="shared" si="20"/>
        <v/>
      </c>
      <c r="H211" s="28" t="str">
        <f>IF(A211="","",COUNTIF($G$2:G211,G211))</f>
        <v/>
      </c>
      <c r="I211" s="28" t="str">
        <f t="shared" si="21"/>
        <v/>
      </c>
      <c r="J211" s="28" t="str">
        <f>IF(G211="","",IF(COUNTIF($G$2:G211,G211)&gt;1,SUMIF($A$2:A211,G211,$C$2:C211),C211))</f>
        <v/>
      </c>
      <c r="K211" s="45" t="str">
        <f>IF(G211="","",IF(COUNTIF($G$2:G211,G211)&gt;1,SUMIF($A$2:A211,G211,$D$2:D211),D211) +SUMIF($G$2:G211,G211,$M$2:M211))</f>
        <v/>
      </c>
      <c r="L211" s="45" t="str">
        <f t="shared" si="22"/>
        <v/>
      </c>
      <c r="M211" s="46" t="str">
        <f>IF(G211="","",IF(B211 = "BUY", 0,(E211-VLOOKUP(CONCATENATE(G211,(H211-1)),$I$2:L210,4,FALSE))*-C211))</f>
        <v/>
      </c>
    </row>
    <row r="212" spans="1:13" ht="15" thickBot="1" x14ac:dyDescent="0.35">
      <c r="A212" s="27" t="str">
        <f>IF('Australian Transaction'!A212= "","",'Australian Transaction'!A212)</f>
        <v/>
      </c>
      <c r="B212" s="28" t="str">
        <f>IF('Australian Transaction'!B212= "","",'Australian Transaction'!B212)</f>
        <v/>
      </c>
      <c r="C212" s="28" t="str">
        <f>IF('Australian Transaction'!C212= "","",IF(B212="BUY",'Australian Transaction'!C212,-'Australian Transaction'!C212))</f>
        <v/>
      </c>
      <c r="D212" s="28" t="str">
        <f>IF('Australian Transaction'!D212 = "","",IF($B212 = "BUY", 'Australian Transaction'!D212,-'Australian Transaction'!D212))</f>
        <v/>
      </c>
      <c r="E212" s="28" t="str">
        <f>IF('Australian Transaction'!E212= "","",'Australian Transaction'!E212)</f>
        <v/>
      </c>
      <c r="F212" s="23"/>
      <c r="G212" s="28" t="str">
        <f t="shared" si="20"/>
        <v/>
      </c>
      <c r="H212" s="28" t="str">
        <f>IF(A212="","",COUNTIF($G$2:G212,G212))</f>
        <v/>
      </c>
      <c r="I212" s="28" t="str">
        <f t="shared" si="21"/>
        <v/>
      </c>
      <c r="J212" s="28" t="str">
        <f>IF(G212="","",IF(COUNTIF($G$2:G212,G212)&gt;1,SUMIF($A$2:A212,G212,$C$2:C212),C212))</f>
        <v/>
      </c>
      <c r="K212" s="45" t="str">
        <f>IF(G212="","",IF(COUNTIF($G$2:G212,G212)&gt;1,SUMIF($A$2:A212,G212,$D$2:D212),D212) +SUMIF($G$2:G212,G212,$M$2:M212))</f>
        <v/>
      </c>
      <c r="L212" s="45" t="str">
        <f t="shared" si="22"/>
        <v/>
      </c>
      <c r="M212" s="46" t="str">
        <f>IF(G212="","",IF(B212 = "BUY", 0,(E212-VLOOKUP(CONCATENATE(G212,(H212-1)),$I$2:L211,4,FALSE))*-C212))</f>
        <v/>
      </c>
    </row>
    <row r="213" spans="1:13" ht="15" thickBot="1" x14ac:dyDescent="0.35">
      <c r="A213" s="27" t="str">
        <f>IF('Australian Transaction'!A213= "","",'Australian Transaction'!A213)</f>
        <v/>
      </c>
      <c r="B213" s="28" t="str">
        <f>IF('Australian Transaction'!B213= "","",'Australian Transaction'!B213)</f>
        <v/>
      </c>
      <c r="C213" s="28" t="str">
        <f>IF('Australian Transaction'!C213= "","",IF(B213="BUY",'Australian Transaction'!C213,-'Australian Transaction'!C213))</f>
        <v/>
      </c>
      <c r="D213" s="28" t="str">
        <f>IF('Australian Transaction'!D213 = "","",IF($B213 = "BUY", 'Australian Transaction'!D213,-'Australian Transaction'!D213))</f>
        <v/>
      </c>
      <c r="E213" s="28" t="str">
        <f>IF('Australian Transaction'!E213= "","",'Australian Transaction'!E213)</f>
        <v/>
      </c>
      <c r="F213" s="23"/>
      <c r="G213" s="28" t="str">
        <f t="shared" si="20"/>
        <v/>
      </c>
      <c r="H213" s="28" t="str">
        <f>IF(A213="","",COUNTIF($G$2:G213,G213))</f>
        <v/>
      </c>
      <c r="I213" s="28" t="str">
        <f t="shared" si="21"/>
        <v/>
      </c>
      <c r="J213" s="28" t="str">
        <f>IF(G213="","",IF(COUNTIF($G$2:G213,G213)&gt;1,SUMIF($A$2:A213,G213,$C$2:C213),C213))</f>
        <v/>
      </c>
      <c r="K213" s="45" t="str">
        <f>IF(G213="","",IF(COUNTIF($G$2:G213,G213)&gt;1,SUMIF($A$2:A213,G213,$D$2:D213),D213) +SUMIF($G$2:G213,G213,$M$2:M213))</f>
        <v/>
      </c>
      <c r="L213" s="45" t="str">
        <f t="shared" si="22"/>
        <v/>
      </c>
      <c r="M213" s="46" t="str">
        <f>IF(G213="","",IF(B213 = "BUY", 0,(E213-VLOOKUP(CONCATENATE(G213,(H213-1)),$I$2:L212,4,FALSE))*-C213))</f>
        <v/>
      </c>
    </row>
    <row r="214" spans="1:13" ht="15" thickBot="1" x14ac:dyDescent="0.35">
      <c r="A214" s="27" t="str">
        <f>IF('Australian Transaction'!A214= "","",'Australian Transaction'!A214)</f>
        <v/>
      </c>
      <c r="B214" s="28" t="str">
        <f>IF('Australian Transaction'!B214= "","",'Australian Transaction'!B214)</f>
        <v/>
      </c>
      <c r="C214" s="28" t="str">
        <f>IF('Australian Transaction'!C214= "","",IF(B214="BUY",'Australian Transaction'!C214,-'Australian Transaction'!C214))</f>
        <v/>
      </c>
      <c r="D214" s="28" t="str">
        <f>IF('Australian Transaction'!D214 = "","",IF($B214 = "BUY", 'Australian Transaction'!D214,-'Australian Transaction'!D214))</f>
        <v/>
      </c>
      <c r="E214" s="28" t="str">
        <f>IF('Australian Transaction'!E214= "","",'Australian Transaction'!E214)</f>
        <v/>
      </c>
      <c r="F214" s="23"/>
      <c r="G214" s="28" t="str">
        <f t="shared" si="20"/>
        <v/>
      </c>
      <c r="H214" s="28" t="str">
        <f>IF(A214="","",COUNTIF($G$2:G214,G214))</f>
        <v/>
      </c>
      <c r="I214" s="28" t="str">
        <f t="shared" si="21"/>
        <v/>
      </c>
      <c r="J214" s="28" t="str">
        <f>IF(G214="","",IF(COUNTIF($G$2:G214,G214)&gt;1,SUMIF($A$2:A214,G214,$C$2:C214),C214))</f>
        <v/>
      </c>
      <c r="K214" s="45" t="str">
        <f>IF(G214="","",IF(COUNTIF($G$2:G214,G214)&gt;1,SUMIF($A$2:A214,G214,$D$2:D214),D214) +SUMIF($G$2:G214,G214,$M$2:M214))</f>
        <v/>
      </c>
      <c r="L214" s="45" t="str">
        <f t="shared" si="22"/>
        <v/>
      </c>
      <c r="M214" s="46" t="str">
        <f>IF(G214="","",IF(B214 = "BUY", 0,(E214-VLOOKUP(CONCATENATE(G214,(H214-1)),$I$2:L213,4,FALSE))*-C214))</f>
        <v/>
      </c>
    </row>
    <row r="215" spans="1:13" ht="15" thickBot="1" x14ac:dyDescent="0.35">
      <c r="A215" s="27" t="str">
        <f>IF('Australian Transaction'!A215= "","",'Australian Transaction'!A215)</f>
        <v/>
      </c>
      <c r="B215" s="28" t="str">
        <f>IF('Australian Transaction'!B215= "","",'Australian Transaction'!B215)</f>
        <v/>
      </c>
      <c r="C215" s="28" t="str">
        <f>IF('Australian Transaction'!C215= "","",IF(B215="BUY",'Australian Transaction'!C215,-'Australian Transaction'!C215))</f>
        <v/>
      </c>
      <c r="D215" s="28" t="str">
        <f>IF('Australian Transaction'!D215 = "","",IF($B215 = "BUY", 'Australian Transaction'!D215,-'Australian Transaction'!D215))</f>
        <v/>
      </c>
      <c r="E215" s="28" t="str">
        <f>IF('Australian Transaction'!E215= "","",'Australian Transaction'!E215)</f>
        <v/>
      </c>
      <c r="F215" s="23"/>
      <c r="G215" s="28" t="str">
        <f t="shared" si="20"/>
        <v/>
      </c>
      <c r="H215" s="28" t="str">
        <f>IF(A215="","",COUNTIF($G$2:G215,G215))</f>
        <v/>
      </c>
      <c r="I215" s="28" t="str">
        <f t="shared" si="21"/>
        <v/>
      </c>
      <c r="J215" s="28" t="str">
        <f>IF(G215="","",IF(COUNTIF($G$2:G215,G215)&gt;1,SUMIF($A$2:A215,G215,$C$2:C215),C215))</f>
        <v/>
      </c>
      <c r="K215" s="45" t="str">
        <f>IF(G215="","",IF(COUNTIF($G$2:G215,G215)&gt;1,SUMIF($A$2:A215,G215,$D$2:D215),D215) +SUMIF($G$2:G215,G215,$M$2:M215))</f>
        <v/>
      </c>
      <c r="L215" s="45" t="str">
        <f t="shared" si="22"/>
        <v/>
      </c>
      <c r="M215" s="46" t="str">
        <f>IF(G215="","",IF(B215 = "BUY", 0,(E215-VLOOKUP(CONCATENATE(G215,(H215-1)),$I$2:L214,4,FALSE))*-C215))</f>
        <v/>
      </c>
    </row>
    <row r="216" spans="1:13" ht="15" thickBot="1" x14ac:dyDescent="0.35">
      <c r="A216" s="27" t="str">
        <f>IF('Australian Transaction'!A216= "","",'Australian Transaction'!A216)</f>
        <v/>
      </c>
      <c r="B216" s="28" t="str">
        <f>IF('Australian Transaction'!B216= "","",'Australian Transaction'!B216)</f>
        <v/>
      </c>
      <c r="C216" s="28" t="str">
        <f>IF('Australian Transaction'!C216= "","",IF(B216="BUY",'Australian Transaction'!C216,-'Australian Transaction'!C216))</f>
        <v/>
      </c>
      <c r="D216" s="28" t="str">
        <f>IF('Australian Transaction'!D216 = "","",IF($B216 = "BUY", 'Australian Transaction'!D216,-'Australian Transaction'!D216))</f>
        <v/>
      </c>
      <c r="E216" s="28" t="str">
        <f>IF('Australian Transaction'!E216= "","",'Australian Transaction'!E216)</f>
        <v/>
      </c>
      <c r="F216" s="23"/>
      <c r="G216" s="28" t="str">
        <f t="shared" si="20"/>
        <v/>
      </c>
      <c r="H216" s="28" t="str">
        <f>IF(A216="","",COUNTIF($G$2:G216,G216))</f>
        <v/>
      </c>
      <c r="I216" s="28" t="str">
        <f t="shared" si="21"/>
        <v/>
      </c>
      <c r="J216" s="28" t="str">
        <f>IF(G216="","",IF(COUNTIF($G$2:G216,G216)&gt;1,SUMIF($A$2:A216,G216,$C$2:C216),C216))</f>
        <v/>
      </c>
      <c r="K216" s="45" t="str">
        <f>IF(G216="","",IF(COUNTIF($G$2:G216,G216)&gt;1,SUMIF($A$2:A216,G216,$D$2:D216),D216) +SUMIF($G$2:G216,G216,$M$2:M216))</f>
        <v/>
      </c>
      <c r="L216" s="45" t="str">
        <f t="shared" si="22"/>
        <v/>
      </c>
      <c r="M216" s="46" t="str">
        <f>IF(G216="","",IF(B216 = "BUY", 0,(E216-VLOOKUP(CONCATENATE(G216,(H216-1)),$I$2:L215,4,FALSE))*-C216))</f>
        <v/>
      </c>
    </row>
    <row r="217" spans="1:13" ht="15" thickBot="1" x14ac:dyDescent="0.35">
      <c r="A217" s="27" t="str">
        <f>IF('Australian Transaction'!A217= "","",'Australian Transaction'!A217)</f>
        <v/>
      </c>
      <c r="B217" s="28" t="str">
        <f>IF('Australian Transaction'!B217= "","",'Australian Transaction'!B217)</f>
        <v/>
      </c>
      <c r="C217" s="28" t="str">
        <f>IF('Australian Transaction'!C217= "","",IF(B217="BUY",'Australian Transaction'!C217,-'Australian Transaction'!C217))</f>
        <v/>
      </c>
      <c r="D217" s="28" t="str">
        <f>IF('Australian Transaction'!D217 = "","",IF($B217 = "BUY", 'Australian Transaction'!D217,-'Australian Transaction'!D217))</f>
        <v/>
      </c>
      <c r="E217" s="28" t="str">
        <f>IF('Australian Transaction'!E217= "","",'Australian Transaction'!E217)</f>
        <v/>
      </c>
      <c r="F217" s="23"/>
      <c r="G217" s="28" t="str">
        <f t="shared" si="20"/>
        <v/>
      </c>
      <c r="H217" s="28" t="str">
        <f>IF(A217="","",COUNTIF($G$2:G217,G217))</f>
        <v/>
      </c>
      <c r="I217" s="28" t="str">
        <f t="shared" si="21"/>
        <v/>
      </c>
      <c r="J217" s="28" t="str">
        <f>IF(G217="","",IF(COUNTIF($G$2:G217,G217)&gt;1,SUMIF($A$2:A217,G217,$C$2:C217),C217))</f>
        <v/>
      </c>
      <c r="K217" s="45" t="str">
        <f>IF(G217="","",IF(COUNTIF($G$2:G217,G217)&gt;1,SUMIF($A$2:A217,G217,$D$2:D217),D217) +SUMIF($G$2:G217,G217,$M$2:M217))</f>
        <v/>
      </c>
      <c r="L217" s="45" t="str">
        <f t="shared" si="22"/>
        <v/>
      </c>
      <c r="M217" s="46" t="str">
        <f>IF(G217="","",IF(B217 = "BUY", 0,(E217-VLOOKUP(CONCATENATE(G217,(H217-1)),$I$2:L216,4,FALSE))*-C217))</f>
        <v/>
      </c>
    </row>
    <row r="218" spans="1:13" ht="15" thickBot="1" x14ac:dyDescent="0.35">
      <c r="A218" s="27" t="str">
        <f>IF('Australian Transaction'!A218= "","",'Australian Transaction'!A218)</f>
        <v/>
      </c>
      <c r="B218" s="28" t="str">
        <f>IF('Australian Transaction'!B218= "","",'Australian Transaction'!B218)</f>
        <v/>
      </c>
      <c r="C218" s="28" t="str">
        <f>IF('Australian Transaction'!C218= "","",IF(B218="BUY",'Australian Transaction'!C218,-'Australian Transaction'!C218))</f>
        <v/>
      </c>
      <c r="D218" s="28" t="str">
        <f>IF('Australian Transaction'!D218 = "","",IF($B218 = "BUY", 'Australian Transaction'!D218,-'Australian Transaction'!D218))</f>
        <v/>
      </c>
      <c r="E218" s="28" t="str">
        <f>IF('Australian Transaction'!E218= "","",'Australian Transaction'!E218)</f>
        <v/>
      </c>
      <c r="F218" s="23"/>
      <c r="G218" s="28" t="str">
        <f t="shared" si="20"/>
        <v/>
      </c>
      <c r="H218" s="28" t="str">
        <f>IF(A218="","",COUNTIF($G$2:G218,G218))</f>
        <v/>
      </c>
      <c r="I218" s="28" t="str">
        <f t="shared" si="21"/>
        <v/>
      </c>
      <c r="J218" s="28" t="str">
        <f>IF(G218="","",IF(COUNTIF($G$2:G218,G218)&gt;1,SUMIF($A$2:A218,G218,$C$2:C218),C218))</f>
        <v/>
      </c>
      <c r="K218" s="45" t="str">
        <f>IF(G218="","",IF(COUNTIF($G$2:G218,G218)&gt;1,SUMIF($A$2:A218,G218,$D$2:D218),D218) +SUMIF($G$2:G218,G218,$M$2:M218))</f>
        <v/>
      </c>
      <c r="L218" s="45" t="str">
        <f t="shared" si="22"/>
        <v/>
      </c>
      <c r="M218" s="46" t="str">
        <f>IF(G218="","",IF(B218 = "BUY", 0,(E218-VLOOKUP(CONCATENATE(G218,(H218-1)),$I$2:L217,4,FALSE))*-C218))</f>
        <v/>
      </c>
    </row>
    <row r="219" spans="1:13" ht="15" thickBot="1" x14ac:dyDescent="0.35">
      <c r="A219" s="27" t="str">
        <f>IF('Australian Transaction'!A219= "","",'Australian Transaction'!A219)</f>
        <v/>
      </c>
      <c r="B219" s="28" t="str">
        <f>IF('Australian Transaction'!B219= "","",'Australian Transaction'!B219)</f>
        <v/>
      </c>
      <c r="C219" s="28" t="str">
        <f>IF('Australian Transaction'!C219= "","",IF(B219="BUY",'Australian Transaction'!C219,-'Australian Transaction'!C219))</f>
        <v/>
      </c>
      <c r="D219" s="28" t="str">
        <f>IF('Australian Transaction'!D219 = "","",IF($B219 = "BUY", 'Australian Transaction'!D219,-'Australian Transaction'!D219))</f>
        <v/>
      </c>
      <c r="E219" s="28" t="str">
        <f>IF('Australian Transaction'!E219= "","",'Australian Transaction'!E219)</f>
        <v/>
      </c>
      <c r="F219" s="23"/>
      <c r="G219" s="28" t="str">
        <f t="shared" si="20"/>
        <v/>
      </c>
      <c r="H219" s="28" t="str">
        <f>IF(A219="","",COUNTIF($G$2:G219,G219))</f>
        <v/>
      </c>
      <c r="I219" s="28" t="str">
        <f t="shared" si="21"/>
        <v/>
      </c>
      <c r="J219" s="28" t="str">
        <f>IF(G219="","",IF(COUNTIF($G$2:G219,G219)&gt;1,SUMIF($A$2:A219,G219,$C$2:C219),C219))</f>
        <v/>
      </c>
      <c r="K219" s="45" t="str">
        <f>IF(G219="","",IF(COUNTIF($G$2:G219,G219)&gt;1,SUMIF($A$2:A219,G219,$D$2:D219),D219) +SUMIF($G$2:G219,G219,$M$2:M219))</f>
        <v/>
      </c>
      <c r="L219" s="45" t="str">
        <f t="shared" si="22"/>
        <v/>
      </c>
      <c r="M219" s="46" t="str">
        <f>IF(G219="","",IF(B219 = "BUY", 0,(E219-VLOOKUP(CONCATENATE(G219,(H219-1)),$I$2:L218,4,FALSE))*-C219))</f>
        <v/>
      </c>
    </row>
    <row r="220" spans="1:13" ht="15" thickBot="1" x14ac:dyDescent="0.35">
      <c r="A220" s="27" t="str">
        <f>IF('Australian Transaction'!A220= "","",'Australian Transaction'!A220)</f>
        <v/>
      </c>
      <c r="B220" s="28" t="str">
        <f>IF('Australian Transaction'!B220= "","",'Australian Transaction'!B220)</f>
        <v/>
      </c>
      <c r="C220" s="28" t="str">
        <f>IF('Australian Transaction'!C220= "","",IF(B220="BUY",'Australian Transaction'!C220,-'Australian Transaction'!C220))</f>
        <v/>
      </c>
      <c r="D220" s="28" t="str">
        <f>IF('Australian Transaction'!D220 = "","",IF($B220 = "BUY", 'Australian Transaction'!D220,-'Australian Transaction'!D220))</f>
        <v/>
      </c>
      <c r="E220" s="28" t="str">
        <f>IF('Australian Transaction'!E220= "","",'Australian Transaction'!E220)</f>
        <v/>
      </c>
      <c r="F220" s="23"/>
      <c r="G220" s="28" t="str">
        <f t="shared" si="20"/>
        <v/>
      </c>
      <c r="H220" s="28" t="str">
        <f>IF(A220="","",COUNTIF($G$2:G220,G220))</f>
        <v/>
      </c>
      <c r="I220" s="28" t="str">
        <f t="shared" si="21"/>
        <v/>
      </c>
      <c r="J220" s="28" t="str">
        <f>IF(G220="","",IF(COUNTIF($G$2:G220,G220)&gt;1,SUMIF($A$2:A220,G220,$C$2:C220),C220))</f>
        <v/>
      </c>
      <c r="K220" s="45" t="str">
        <f>IF(G220="","",IF(COUNTIF($G$2:G220,G220)&gt;1,SUMIF($A$2:A220,G220,$D$2:D220),D220) +SUMIF($G$2:G220,G220,$M$2:M220))</f>
        <v/>
      </c>
      <c r="L220" s="45" t="str">
        <f t="shared" si="22"/>
        <v/>
      </c>
      <c r="M220" s="46" t="str">
        <f>IF(G220="","",IF(B220 = "BUY", 0,(E220-VLOOKUP(CONCATENATE(G220,(H220-1)),$I$2:L219,4,FALSE))*-C220))</f>
        <v/>
      </c>
    </row>
    <row r="221" spans="1:13" ht="15" thickBot="1" x14ac:dyDescent="0.35">
      <c r="A221" s="27" t="str">
        <f>IF('Australian Transaction'!A221= "","",'Australian Transaction'!A221)</f>
        <v/>
      </c>
      <c r="B221" s="28" t="str">
        <f>IF('Australian Transaction'!B221= "","",'Australian Transaction'!B221)</f>
        <v/>
      </c>
      <c r="C221" s="28" t="str">
        <f>IF('Australian Transaction'!C221= "","",IF(B221="BUY",'Australian Transaction'!C221,-'Australian Transaction'!C221))</f>
        <v/>
      </c>
      <c r="D221" s="28" t="str">
        <f>IF('Australian Transaction'!D221 = "","",IF($B221 = "BUY", 'Australian Transaction'!D221,-'Australian Transaction'!D221))</f>
        <v/>
      </c>
      <c r="E221" s="28" t="str">
        <f>IF('Australian Transaction'!E221= "","",'Australian Transaction'!E221)</f>
        <v/>
      </c>
      <c r="F221" s="23"/>
      <c r="G221" s="28" t="str">
        <f t="shared" si="20"/>
        <v/>
      </c>
      <c r="H221" s="28" t="str">
        <f>IF(A221="","",COUNTIF($G$2:G221,G221))</f>
        <v/>
      </c>
      <c r="I221" s="28" t="str">
        <f t="shared" si="21"/>
        <v/>
      </c>
      <c r="J221" s="28" t="str">
        <f>IF(G221="","",IF(COUNTIF($G$2:G221,G221)&gt;1,SUMIF($A$2:A221,G221,$C$2:C221),C221))</f>
        <v/>
      </c>
      <c r="K221" s="45" t="str">
        <f>IF(G221="","",IF(COUNTIF($G$2:G221,G221)&gt;1,SUMIF($A$2:A221,G221,$D$2:D221),D221) +SUMIF($G$2:G221,G221,$M$2:M221))</f>
        <v/>
      </c>
      <c r="L221" s="45" t="str">
        <f t="shared" si="22"/>
        <v/>
      </c>
      <c r="M221" s="46" t="str">
        <f>IF(G221="","",IF(B221 = "BUY", 0,(E221-VLOOKUP(CONCATENATE(G221,(H221-1)),$I$2:L220,4,FALSE))*-C221))</f>
        <v/>
      </c>
    </row>
    <row r="222" spans="1:13" ht="15" thickBot="1" x14ac:dyDescent="0.35">
      <c r="A222" s="27" t="str">
        <f>IF('Australian Transaction'!A222= "","",'Australian Transaction'!A222)</f>
        <v/>
      </c>
      <c r="B222" s="28" t="str">
        <f>IF('Australian Transaction'!B222= "","",'Australian Transaction'!B222)</f>
        <v/>
      </c>
      <c r="C222" s="28" t="str">
        <f>IF('Australian Transaction'!C222= "","",IF(B222="BUY",'Australian Transaction'!C222,-'Australian Transaction'!C222))</f>
        <v/>
      </c>
      <c r="D222" s="28" t="str">
        <f>IF('Australian Transaction'!D222 = "","",IF($B222 = "BUY", 'Australian Transaction'!D222,-'Australian Transaction'!D222))</f>
        <v/>
      </c>
      <c r="E222" s="28" t="str">
        <f>IF('Australian Transaction'!E222= "","",'Australian Transaction'!E222)</f>
        <v/>
      </c>
      <c r="F222" s="23"/>
      <c r="G222" s="28" t="str">
        <f t="shared" si="20"/>
        <v/>
      </c>
      <c r="H222" s="28" t="str">
        <f>IF(A222="","",COUNTIF($G$2:G222,G222))</f>
        <v/>
      </c>
      <c r="I222" s="28" t="str">
        <f t="shared" si="21"/>
        <v/>
      </c>
      <c r="J222" s="28" t="str">
        <f>IF(G222="","",IF(COUNTIF($G$2:G222,G222)&gt;1,SUMIF($A$2:A222,G222,$C$2:C222),C222))</f>
        <v/>
      </c>
      <c r="K222" s="45" t="str">
        <f>IF(G222="","",IF(COUNTIF($G$2:G222,G222)&gt;1,SUMIF($A$2:A222,G222,$D$2:D222),D222) +SUMIF($G$2:G222,G222,$M$2:M222))</f>
        <v/>
      </c>
      <c r="L222" s="45" t="str">
        <f t="shared" si="22"/>
        <v/>
      </c>
      <c r="M222" s="46" t="str">
        <f>IF(G222="","",IF(B222 = "BUY", 0,(E222-VLOOKUP(CONCATENATE(G222,(H222-1)),$I$2:L221,4,FALSE))*-C222))</f>
        <v/>
      </c>
    </row>
    <row r="223" spans="1:13" ht="15" thickBot="1" x14ac:dyDescent="0.35">
      <c r="A223" s="27" t="str">
        <f>IF('Australian Transaction'!A223= "","",'Australian Transaction'!A223)</f>
        <v/>
      </c>
      <c r="B223" s="28" t="str">
        <f>IF('Australian Transaction'!B223= "","",'Australian Transaction'!B223)</f>
        <v/>
      </c>
      <c r="C223" s="28" t="str">
        <f>IF('Australian Transaction'!C223= "","",IF(B223="BUY",'Australian Transaction'!C223,-'Australian Transaction'!C223))</f>
        <v/>
      </c>
      <c r="D223" s="28" t="str">
        <f>IF('Australian Transaction'!D223 = "","",IF($B223 = "BUY", 'Australian Transaction'!D223,-'Australian Transaction'!D223))</f>
        <v/>
      </c>
      <c r="E223" s="28" t="str">
        <f>IF('Australian Transaction'!E223= "","",'Australian Transaction'!E223)</f>
        <v/>
      </c>
      <c r="F223" s="23"/>
      <c r="G223" s="28" t="str">
        <f t="shared" si="20"/>
        <v/>
      </c>
      <c r="H223" s="28" t="str">
        <f>IF(A223="","",COUNTIF($G$2:G223,G223))</f>
        <v/>
      </c>
      <c r="I223" s="28" t="str">
        <f t="shared" si="21"/>
        <v/>
      </c>
      <c r="J223" s="28" t="str">
        <f>IF(G223="","",IF(COUNTIF($G$2:G223,G223)&gt;1,SUMIF($A$2:A223,G223,$C$2:C223),C223))</f>
        <v/>
      </c>
      <c r="K223" s="45" t="str">
        <f>IF(G223="","",IF(COUNTIF($G$2:G223,G223)&gt;1,SUMIF($A$2:A223,G223,$D$2:D223),D223) +SUMIF($G$2:G223,G223,$M$2:M223))</f>
        <v/>
      </c>
      <c r="L223" s="45" t="str">
        <f t="shared" si="22"/>
        <v/>
      </c>
      <c r="M223" s="46" t="str">
        <f>IF(G223="","",IF(B223 = "BUY", 0,(E223-VLOOKUP(CONCATENATE(G223,(H223-1)),$I$2:L222,4,FALSE))*-C223))</f>
        <v/>
      </c>
    </row>
    <row r="224" spans="1:13" ht="15" thickBot="1" x14ac:dyDescent="0.35">
      <c r="A224" s="27" t="str">
        <f>IF('Australian Transaction'!A224= "","",'Australian Transaction'!A224)</f>
        <v/>
      </c>
      <c r="B224" s="28" t="str">
        <f>IF('Australian Transaction'!B224= "","",'Australian Transaction'!B224)</f>
        <v/>
      </c>
      <c r="C224" s="28" t="str">
        <f>IF('Australian Transaction'!C224= "","",IF(B224="BUY",'Australian Transaction'!C224,-'Australian Transaction'!C224))</f>
        <v/>
      </c>
      <c r="D224" s="28" t="str">
        <f>IF('Australian Transaction'!D224 = "","",IF($B224 = "BUY", 'Australian Transaction'!D224,-'Australian Transaction'!D224))</f>
        <v/>
      </c>
      <c r="E224" s="28" t="str">
        <f>IF('Australian Transaction'!E224= "","",'Australian Transaction'!E224)</f>
        <v/>
      </c>
      <c r="F224" s="23"/>
      <c r="G224" s="28" t="str">
        <f t="shared" si="20"/>
        <v/>
      </c>
      <c r="H224" s="28" t="str">
        <f>IF(A224="","",COUNTIF($G$2:G224,G224))</f>
        <v/>
      </c>
      <c r="I224" s="28" t="str">
        <f t="shared" si="21"/>
        <v/>
      </c>
      <c r="J224" s="28" t="str">
        <f>IF(G224="","",IF(COUNTIF($G$2:G224,G224)&gt;1,SUMIF($A$2:A224,G224,$C$2:C224),C224))</f>
        <v/>
      </c>
      <c r="K224" s="45" t="str">
        <f>IF(G224="","",IF(COUNTIF($G$2:G224,G224)&gt;1,SUMIF($A$2:A224,G224,$D$2:D224),D224) +SUMIF($G$2:G224,G224,$M$2:M224))</f>
        <v/>
      </c>
      <c r="L224" s="45" t="str">
        <f t="shared" si="22"/>
        <v/>
      </c>
      <c r="M224" s="46" t="str">
        <f>IF(G224="","",IF(B224 = "BUY", 0,(E224-VLOOKUP(CONCATENATE(G224,(H224-1)),$I$2:L223,4,FALSE))*-C224))</f>
        <v/>
      </c>
    </row>
    <row r="225" spans="1:13" ht="15" thickBot="1" x14ac:dyDescent="0.35">
      <c r="A225" s="27" t="str">
        <f>IF('Australian Transaction'!A225= "","",'Australian Transaction'!A225)</f>
        <v/>
      </c>
      <c r="B225" s="28" t="str">
        <f>IF('Australian Transaction'!B225= "","",'Australian Transaction'!B225)</f>
        <v/>
      </c>
      <c r="C225" s="28" t="str">
        <f>IF('Australian Transaction'!C225= "","",IF(B225="BUY",'Australian Transaction'!C225,-'Australian Transaction'!C225))</f>
        <v/>
      </c>
      <c r="D225" s="28" t="str">
        <f>IF('Australian Transaction'!D225 = "","",IF($B225 = "BUY", 'Australian Transaction'!D225,-'Australian Transaction'!D225))</f>
        <v/>
      </c>
      <c r="E225" s="28" t="str">
        <f>IF('Australian Transaction'!E225= "","",'Australian Transaction'!E225)</f>
        <v/>
      </c>
      <c r="F225" s="23"/>
      <c r="G225" s="28" t="str">
        <f t="shared" si="20"/>
        <v/>
      </c>
      <c r="H225" s="28" t="str">
        <f>IF(A225="","",COUNTIF($G$2:G225,G225))</f>
        <v/>
      </c>
      <c r="I225" s="28" t="str">
        <f t="shared" si="21"/>
        <v/>
      </c>
      <c r="J225" s="28" t="str">
        <f>IF(G225="","",IF(COUNTIF($G$2:G225,G225)&gt;1,SUMIF($A$2:A225,G225,$C$2:C225),C225))</f>
        <v/>
      </c>
      <c r="K225" s="45" t="str">
        <f>IF(G225="","",IF(COUNTIF($G$2:G225,G225)&gt;1,SUMIF($A$2:A225,G225,$D$2:D225),D225) +SUMIF($G$2:G225,G225,$M$2:M225))</f>
        <v/>
      </c>
      <c r="L225" s="45" t="str">
        <f t="shared" si="22"/>
        <v/>
      </c>
      <c r="M225" s="46" t="str">
        <f>IF(G225="","",IF(B225 = "BUY", 0,(E225-VLOOKUP(CONCATENATE(G225,(H225-1)),$I$2:L224,4,FALSE))*-C225))</f>
        <v/>
      </c>
    </row>
    <row r="226" spans="1:13" ht="15" thickBot="1" x14ac:dyDescent="0.35">
      <c r="A226" s="27" t="str">
        <f>IF('Australian Transaction'!A226= "","",'Australian Transaction'!A226)</f>
        <v/>
      </c>
      <c r="B226" s="28" t="str">
        <f>IF('Australian Transaction'!B226= "","",'Australian Transaction'!B226)</f>
        <v/>
      </c>
      <c r="C226" s="28" t="str">
        <f>IF('Australian Transaction'!C226= "","",IF(B226="BUY",'Australian Transaction'!C226,-'Australian Transaction'!C226))</f>
        <v/>
      </c>
      <c r="D226" s="28" t="str">
        <f>IF('Australian Transaction'!D226 = "","",IF($B226 = "BUY", 'Australian Transaction'!D226,-'Australian Transaction'!D226))</f>
        <v/>
      </c>
      <c r="E226" s="28" t="str">
        <f>IF('Australian Transaction'!E226= "","",'Australian Transaction'!E226)</f>
        <v/>
      </c>
      <c r="F226" s="23"/>
      <c r="G226" s="28" t="str">
        <f t="shared" si="20"/>
        <v/>
      </c>
      <c r="H226" s="28" t="str">
        <f>IF(A226="","",COUNTIF($G$2:G226,G226))</f>
        <v/>
      </c>
      <c r="I226" s="28" t="str">
        <f t="shared" si="21"/>
        <v/>
      </c>
      <c r="J226" s="28" t="str">
        <f>IF(G226="","",IF(COUNTIF($G$2:G226,G226)&gt;1,SUMIF($A$2:A226,G226,$C$2:C226),C226))</f>
        <v/>
      </c>
      <c r="K226" s="45" t="str">
        <f>IF(G226="","",IF(COUNTIF($G$2:G226,G226)&gt;1,SUMIF($A$2:A226,G226,$D$2:D226),D226) +SUMIF($G$2:G226,G226,$M$2:M226))</f>
        <v/>
      </c>
      <c r="L226" s="45" t="str">
        <f t="shared" si="22"/>
        <v/>
      </c>
      <c r="M226" s="46" t="str">
        <f>IF(G226="","",IF(B226 = "BUY", 0,(E226-VLOOKUP(CONCATENATE(G226,(H226-1)),$I$2:L225,4,FALSE))*-C226))</f>
        <v/>
      </c>
    </row>
    <row r="227" spans="1:13" ht="15" thickBot="1" x14ac:dyDescent="0.35">
      <c r="A227" s="27" t="str">
        <f>IF('Australian Transaction'!A227= "","",'Australian Transaction'!A227)</f>
        <v/>
      </c>
      <c r="B227" s="28" t="str">
        <f>IF('Australian Transaction'!B227= "","",'Australian Transaction'!B227)</f>
        <v/>
      </c>
      <c r="C227" s="28" t="str">
        <f>IF('Australian Transaction'!C227= "","",IF(B227="BUY",'Australian Transaction'!C227,-'Australian Transaction'!C227))</f>
        <v/>
      </c>
      <c r="D227" s="28" t="str">
        <f>IF('Australian Transaction'!D227 = "","",IF($B227 = "BUY", 'Australian Transaction'!D227,-'Australian Transaction'!D227))</f>
        <v/>
      </c>
      <c r="E227" s="28" t="str">
        <f>IF('Australian Transaction'!E227= "","",'Australian Transaction'!E227)</f>
        <v/>
      </c>
      <c r="F227" s="23"/>
      <c r="G227" s="28" t="str">
        <f t="shared" si="20"/>
        <v/>
      </c>
      <c r="H227" s="28" t="str">
        <f>IF(A227="","",COUNTIF($G$2:G227,G227))</f>
        <v/>
      </c>
      <c r="I227" s="28" t="str">
        <f t="shared" si="21"/>
        <v/>
      </c>
      <c r="J227" s="28" t="str">
        <f>IF(G227="","",IF(COUNTIF($G$2:G227,G227)&gt;1,SUMIF($A$2:A227,G227,$C$2:C227),C227))</f>
        <v/>
      </c>
      <c r="K227" s="45" t="str">
        <f>IF(G227="","",IF(COUNTIF($G$2:G227,G227)&gt;1,SUMIF($A$2:A227,G227,$D$2:D227),D227) +SUMIF($G$2:G227,G227,$M$2:M227))</f>
        <v/>
      </c>
      <c r="L227" s="45" t="str">
        <f t="shared" si="22"/>
        <v/>
      </c>
      <c r="M227" s="46" t="str">
        <f>IF(G227="","",IF(B227 = "BUY", 0,(E227-VLOOKUP(CONCATENATE(G227,(H227-1)),$I$2:L226,4,FALSE))*-C227))</f>
        <v/>
      </c>
    </row>
    <row r="228" spans="1:13" ht="15" thickBot="1" x14ac:dyDescent="0.35">
      <c r="A228" s="27" t="str">
        <f>IF('Australian Transaction'!A228= "","",'Australian Transaction'!A228)</f>
        <v/>
      </c>
      <c r="B228" s="28" t="str">
        <f>IF('Australian Transaction'!B228= "","",'Australian Transaction'!B228)</f>
        <v/>
      </c>
      <c r="C228" s="28" t="str">
        <f>IF('Australian Transaction'!C228= "","",IF(B228="BUY",'Australian Transaction'!C228,-'Australian Transaction'!C228))</f>
        <v/>
      </c>
      <c r="D228" s="28" t="str">
        <f>IF('Australian Transaction'!D228 = "","",IF($B228 = "BUY", 'Australian Transaction'!D228,-'Australian Transaction'!D228))</f>
        <v/>
      </c>
      <c r="E228" s="28" t="str">
        <f>IF('Australian Transaction'!E228= "","",'Australian Transaction'!E228)</f>
        <v/>
      </c>
      <c r="F228" s="23"/>
      <c r="G228" s="28" t="str">
        <f t="shared" si="20"/>
        <v/>
      </c>
      <c r="H228" s="28" t="str">
        <f>IF(A228="","",COUNTIF($G$2:G228,G228))</f>
        <v/>
      </c>
      <c r="I228" s="28" t="str">
        <f t="shared" si="21"/>
        <v/>
      </c>
      <c r="J228" s="28" t="str">
        <f>IF(G228="","",IF(COUNTIF($G$2:G228,G228)&gt;1,SUMIF($A$2:A228,G228,$C$2:C228),C228))</f>
        <v/>
      </c>
      <c r="K228" s="45" t="str">
        <f>IF(G228="","",IF(COUNTIF($G$2:G228,G228)&gt;1,SUMIF($A$2:A228,G228,$D$2:D228),D228) +SUMIF($G$2:G228,G228,$M$2:M228))</f>
        <v/>
      </c>
      <c r="L228" s="45" t="str">
        <f t="shared" si="22"/>
        <v/>
      </c>
      <c r="M228" s="46" t="str">
        <f>IF(G228="","",IF(B228 = "BUY", 0,(E228-VLOOKUP(CONCATENATE(G228,(H228-1)),$I$2:L227,4,FALSE))*-C228))</f>
        <v/>
      </c>
    </row>
    <row r="229" spans="1:13" ht="15" thickBot="1" x14ac:dyDescent="0.35">
      <c r="A229" s="27" t="str">
        <f>IF('Australian Transaction'!A229= "","",'Australian Transaction'!A229)</f>
        <v/>
      </c>
      <c r="B229" s="28" t="str">
        <f>IF('Australian Transaction'!B229= "","",'Australian Transaction'!B229)</f>
        <v/>
      </c>
      <c r="C229" s="28" t="str">
        <f>IF('Australian Transaction'!C229= "","",IF(B229="BUY",'Australian Transaction'!C229,-'Australian Transaction'!C229))</f>
        <v/>
      </c>
      <c r="D229" s="28" t="str">
        <f>IF('Australian Transaction'!D229 = "","",IF($B229 = "BUY", 'Australian Transaction'!D229,-'Australian Transaction'!D229))</f>
        <v/>
      </c>
      <c r="E229" s="28" t="str">
        <f>IF('Australian Transaction'!E229= "","",'Australian Transaction'!E229)</f>
        <v/>
      </c>
      <c r="F229" s="23"/>
      <c r="G229" s="28" t="str">
        <f t="shared" si="20"/>
        <v/>
      </c>
      <c r="H229" s="28" t="str">
        <f>IF(A229="","",COUNTIF($G$2:G229,G229))</f>
        <v/>
      </c>
      <c r="I229" s="28" t="str">
        <f t="shared" si="21"/>
        <v/>
      </c>
      <c r="J229" s="28" t="str">
        <f>IF(G229="","",IF(COUNTIF($G$2:G229,G229)&gt;1,SUMIF($A$2:A229,G229,$C$2:C229),C229))</f>
        <v/>
      </c>
      <c r="K229" s="45" t="str">
        <f>IF(G229="","",IF(COUNTIF($G$2:G229,G229)&gt;1,SUMIF($A$2:A229,G229,$D$2:D229),D229) +SUMIF($G$2:G229,G229,$M$2:M229))</f>
        <v/>
      </c>
      <c r="L229" s="45" t="str">
        <f t="shared" si="22"/>
        <v/>
      </c>
      <c r="M229" s="46" t="str">
        <f>IF(G229="","",IF(B229 = "BUY", 0,(E229-VLOOKUP(CONCATENATE(G229,(H229-1)),$I$2:L228,4,FALSE))*-C229))</f>
        <v/>
      </c>
    </row>
    <row r="230" spans="1:13" ht="15" thickBot="1" x14ac:dyDescent="0.35">
      <c r="A230" s="27" t="str">
        <f>IF('Australian Transaction'!A230= "","",'Australian Transaction'!A230)</f>
        <v/>
      </c>
      <c r="B230" s="28" t="str">
        <f>IF('Australian Transaction'!B230= "","",'Australian Transaction'!B230)</f>
        <v/>
      </c>
      <c r="C230" s="28" t="str">
        <f>IF('Australian Transaction'!C230= "","",IF(B230="BUY",'Australian Transaction'!C230,-'Australian Transaction'!C230))</f>
        <v/>
      </c>
      <c r="D230" s="28" t="str">
        <f>IF('Australian Transaction'!D230 = "","",IF($B230 = "BUY", 'Australian Transaction'!D230,-'Australian Transaction'!D230))</f>
        <v/>
      </c>
      <c r="E230" s="28" t="str">
        <f>IF('Australian Transaction'!E230= "","",'Australian Transaction'!E230)</f>
        <v/>
      </c>
      <c r="F230" s="23"/>
      <c r="G230" s="28" t="str">
        <f t="shared" si="20"/>
        <v/>
      </c>
      <c r="H230" s="28" t="str">
        <f>IF(A230="","",COUNTIF($G$2:G230,G230))</f>
        <v/>
      </c>
      <c r="I230" s="28" t="str">
        <f t="shared" si="21"/>
        <v/>
      </c>
      <c r="J230" s="28" t="str">
        <f>IF(G230="","",IF(COUNTIF($G$2:G230,G230)&gt;1,SUMIF($A$2:A230,G230,$C$2:C230),C230))</f>
        <v/>
      </c>
      <c r="K230" s="45" t="str">
        <f>IF(G230="","",IF(COUNTIF($G$2:G230,G230)&gt;1,SUMIF($A$2:A230,G230,$D$2:D230),D230) +SUMIF($G$2:G230,G230,$M$2:M230))</f>
        <v/>
      </c>
      <c r="L230" s="45" t="str">
        <f t="shared" si="22"/>
        <v/>
      </c>
      <c r="M230" s="46" t="str">
        <f>IF(G230="","",IF(B230 = "BUY", 0,(E230-VLOOKUP(CONCATENATE(G230,(H230-1)),$I$2:L229,4,FALSE))*-C230))</f>
        <v/>
      </c>
    </row>
    <row r="231" spans="1:13" ht="15" thickBot="1" x14ac:dyDescent="0.35">
      <c r="A231" s="27" t="str">
        <f>IF('Australian Transaction'!A231= "","",'Australian Transaction'!A231)</f>
        <v/>
      </c>
      <c r="B231" s="28" t="str">
        <f>IF('Australian Transaction'!B231= "","",'Australian Transaction'!B231)</f>
        <v/>
      </c>
      <c r="C231" s="28" t="str">
        <f>IF('Australian Transaction'!C231= "","",IF(B231="BUY",'Australian Transaction'!C231,-'Australian Transaction'!C231))</f>
        <v/>
      </c>
      <c r="D231" s="28" t="str">
        <f>IF('Australian Transaction'!D231 = "","",IF($B231 = "BUY", 'Australian Transaction'!D231,-'Australian Transaction'!D231))</f>
        <v/>
      </c>
      <c r="E231" s="28" t="str">
        <f>IF('Australian Transaction'!E231= "","",'Australian Transaction'!E231)</f>
        <v/>
      </c>
      <c r="F231" s="23"/>
      <c r="G231" s="28" t="str">
        <f t="shared" si="20"/>
        <v/>
      </c>
      <c r="H231" s="28" t="str">
        <f>IF(A231="","",COUNTIF($G$2:G231,G231))</f>
        <v/>
      </c>
      <c r="I231" s="28" t="str">
        <f t="shared" si="21"/>
        <v/>
      </c>
      <c r="J231" s="28" t="str">
        <f>IF(G231="","",IF(COUNTIF($G$2:G231,G231)&gt;1,SUMIF($A$2:A231,G231,$C$2:C231),C231))</f>
        <v/>
      </c>
      <c r="K231" s="45" t="str">
        <f>IF(G231="","",IF(COUNTIF($G$2:G231,G231)&gt;1,SUMIF($A$2:A231,G231,$D$2:D231),D231) +SUMIF($G$2:G231,G231,$M$2:M231))</f>
        <v/>
      </c>
      <c r="L231" s="45" t="str">
        <f t="shared" si="22"/>
        <v/>
      </c>
      <c r="M231" s="46" t="str">
        <f>IF(G231="","",IF(B231 = "BUY", 0,(E231-VLOOKUP(CONCATENATE(G231,(H231-1)),$I$2:L230,4,FALSE))*-C231))</f>
        <v/>
      </c>
    </row>
    <row r="232" spans="1:13" ht="15" thickBot="1" x14ac:dyDescent="0.35">
      <c r="A232" s="27" t="str">
        <f>IF('Australian Transaction'!A232= "","",'Australian Transaction'!A232)</f>
        <v/>
      </c>
      <c r="B232" s="28" t="str">
        <f>IF('Australian Transaction'!B232= "","",'Australian Transaction'!B232)</f>
        <v/>
      </c>
      <c r="C232" s="28" t="str">
        <f>IF('Australian Transaction'!C232= "","",IF(B232="BUY",'Australian Transaction'!C232,-'Australian Transaction'!C232))</f>
        <v/>
      </c>
      <c r="D232" s="28" t="str">
        <f>IF('Australian Transaction'!D232 = "","",IF($B232 = "BUY", 'Australian Transaction'!D232,-'Australian Transaction'!D232))</f>
        <v/>
      </c>
      <c r="E232" s="28" t="str">
        <f>IF('Australian Transaction'!E232= "","",'Australian Transaction'!E232)</f>
        <v/>
      </c>
      <c r="F232" s="23"/>
      <c r="G232" s="28" t="str">
        <f t="shared" si="20"/>
        <v/>
      </c>
      <c r="H232" s="28" t="str">
        <f>IF(A232="","",COUNTIF($G$2:G232,G232))</f>
        <v/>
      </c>
      <c r="I232" s="28" t="str">
        <f t="shared" si="21"/>
        <v/>
      </c>
      <c r="J232" s="28" t="str">
        <f>IF(G232="","",IF(COUNTIF($G$2:G232,G232)&gt;1,SUMIF($A$2:A232,G232,$C$2:C232),C232))</f>
        <v/>
      </c>
      <c r="K232" s="45" t="str">
        <f>IF(G232="","",IF(COUNTIF($G$2:G232,G232)&gt;1,SUMIF($A$2:A232,G232,$D$2:D232),D232) +SUMIF($G$2:G232,G232,$M$2:M232))</f>
        <v/>
      </c>
      <c r="L232" s="45" t="str">
        <f t="shared" si="22"/>
        <v/>
      </c>
      <c r="M232" s="46" t="str">
        <f>IF(G232="","",IF(B232 = "BUY", 0,(E232-VLOOKUP(CONCATENATE(G232,(H232-1)),$I$2:L231,4,FALSE))*-C232))</f>
        <v/>
      </c>
    </row>
    <row r="233" spans="1:13" ht="15" thickBot="1" x14ac:dyDescent="0.35">
      <c r="A233" s="27" t="str">
        <f>IF('Australian Transaction'!A233= "","",'Australian Transaction'!A233)</f>
        <v/>
      </c>
      <c r="B233" s="28" t="str">
        <f>IF('Australian Transaction'!B233= "","",'Australian Transaction'!B233)</f>
        <v/>
      </c>
      <c r="C233" s="28" t="str">
        <f>IF('Australian Transaction'!C233= "","",IF(B233="BUY",'Australian Transaction'!C233,-'Australian Transaction'!C233))</f>
        <v/>
      </c>
      <c r="D233" s="28" t="str">
        <f>IF('Australian Transaction'!D233 = "","",IF($B233 = "BUY", 'Australian Transaction'!D233,-'Australian Transaction'!D233))</f>
        <v/>
      </c>
      <c r="E233" s="28" t="str">
        <f>IF('Australian Transaction'!E233= "","",'Australian Transaction'!E233)</f>
        <v/>
      </c>
      <c r="F233" s="23"/>
      <c r="G233" s="28" t="str">
        <f t="shared" si="20"/>
        <v/>
      </c>
      <c r="H233" s="28" t="str">
        <f>IF(A233="","",COUNTIF($G$2:G233,G233))</f>
        <v/>
      </c>
      <c r="I233" s="28" t="str">
        <f t="shared" si="21"/>
        <v/>
      </c>
      <c r="J233" s="28" t="str">
        <f>IF(G233="","",IF(COUNTIF($G$2:G233,G233)&gt;1,SUMIF($A$2:A233,G233,$C$2:C233),C233))</f>
        <v/>
      </c>
      <c r="K233" s="45" t="str">
        <f>IF(G233="","",IF(COUNTIF($G$2:G233,G233)&gt;1,SUMIF($A$2:A233,G233,$D$2:D233),D233) +SUMIF($G$2:G233,G233,$M$2:M233))</f>
        <v/>
      </c>
      <c r="L233" s="45" t="str">
        <f t="shared" si="22"/>
        <v/>
      </c>
      <c r="M233" s="46" t="str">
        <f>IF(G233="","",IF(B233 = "BUY", 0,(E233-VLOOKUP(CONCATENATE(G233,(H233-1)),$I$2:L232,4,FALSE))*-C233))</f>
        <v/>
      </c>
    </row>
    <row r="234" spans="1:13" ht="15" thickBot="1" x14ac:dyDescent="0.35">
      <c r="A234" s="27" t="str">
        <f>IF('Australian Transaction'!A234= "","",'Australian Transaction'!A234)</f>
        <v/>
      </c>
      <c r="B234" s="28" t="str">
        <f>IF('Australian Transaction'!B234= "","",'Australian Transaction'!B234)</f>
        <v/>
      </c>
      <c r="C234" s="28" t="str">
        <f>IF('Australian Transaction'!C234= "","",IF(B234="BUY",'Australian Transaction'!C234,-'Australian Transaction'!C234))</f>
        <v/>
      </c>
      <c r="D234" s="28" t="str">
        <f>IF('Australian Transaction'!D234 = "","",IF($B234 = "BUY", 'Australian Transaction'!D234,-'Australian Transaction'!D234))</f>
        <v/>
      </c>
      <c r="E234" s="28" t="str">
        <f>IF('Australian Transaction'!E234= "","",'Australian Transaction'!E234)</f>
        <v/>
      </c>
      <c r="F234" s="23"/>
      <c r="G234" s="28" t="str">
        <f t="shared" si="20"/>
        <v/>
      </c>
      <c r="H234" s="28" t="str">
        <f>IF(A234="","",COUNTIF($G$2:G234,G234))</f>
        <v/>
      </c>
      <c r="I234" s="28" t="str">
        <f t="shared" si="21"/>
        <v/>
      </c>
      <c r="J234" s="28" t="str">
        <f>IF(G234="","",IF(COUNTIF($G$2:G234,G234)&gt;1,SUMIF($A$2:A234,G234,$C$2:C234),C234))</f>
        <v/>
      </c>
      <c r="K234" s="45" t="str">
        <f>IF(G234="","",IF(COUNTIF($G$2:G234,G234)&gt;1,SUMIF($A$2:A234,G234,$D$2:D234),D234) +SUMIF($G$2:G234,G234,$M$2:M234))</f>
        <v/>
      </c>
      <c r="L234" s="45" t="str">
        <f t="shared" si="22"/>
        <v/>
      </c>
      <c r="M234" s="46" t="str">
        <f>IF(G234="","",IF(B234 = "BUY", 0,(E234-VLOOKUP(CONCATENATE(G234,(H234-1)),$I$2:L233,4,FALSE))*-C234))</f>
        <v/>
      </c>
    </row>
    <row r="235" spans="1:13" ht="15" thickBot="1" x14ac:dyDescent="0.35">
      <c r="A235" s="27" t="str">
        <f>IF('Australian Transaction'!A235= "","",'Australian Transaction'!A235)</f>
        <v/>
      </c>
      <c r="B235" s="28" t="str">
        <f>IF('Australian Transaction'!B235= "","",'Australian Transaction'!B235)</f>
        <v/>
      </c>
      <c r="C235" s="28" t="str">
        <f>IF('Australian Transaction'!C235= "","",IF(B235="BUY",'Australian Transaction'!C235,-'Australian Transaction'!C235))</f>
        <v/>
      </c>
      <c r="D235" s="28" t="str">
        <f>IF('Australian Transaction'!D235 = "","",IF($B235 = "BUY", 'Australian Transaction'!D235,-'Australian Transaction'!D235))</f>
        <v/>
      </c>
      <c r="E235" s="28" t="str">
        <f>IF('Australian Transaction'!E235= "","",'Australian Transaction'!E235)</f>
        <v/>
      </c>
      <c r="F235" s="23"/>
      <c r="G235" s="28" t="str">
        <f t="shared" si="20"/>
        <v/>
      </c>
      <c r="H235" s="28" t="str">
        <f>IF(A235="","",COUNTIF($G$2:G235,G235))</f>
        <v/>
      </c>
      <c r="I235" s="28" t="str">
        <f t="shared" si="21"/>
        <v/>
      </c>
      <c r="J235" s="28" t="str">
        <f>IF(G235="","",IF(COUNTIF($G$2:G235,G235)&gt;1,SUMIF($A$2:A235,G235,$C$2:C235),C235))</f>
        <v/>
      </c>
      <c r="K235" s="45" t="str">
        <f>IF(G235="","",IF(COUNTIF($G$2:G235,G235)&gt;1,SUMIF($A$2:A235,G235,$D$2:D235),D235) +SUMIF($G$2:G235,G235,$M$2:M235))</f>
        <v/>
      </c>
      <c r="L235" s="45" t="str">
        <f t="shared" si="22"/>
        <v/>
      </c>
      <c r="M235" s="46" t="str">
        <f>IF(G235="","",IF(B235 = "BUY", 0,(E235-VLOOKUP(CONCATENATE(G235,(H235-1)),$I$2:L234,4,FALSE))*-C235))</f>
        <v/>
      </c>
    </row>
    <row r="236" spans="1:13" ht="15" thickBot="1" x14ac:dyDescent="0.35">
      <c r="A236" s="27" t="str">
        <f>IF('Australian Transaction'!A236= "","",'Australian Transaction'!A236)</f>
        <v/>
      </c>
      <c r="B236" s="28" t="str">
        <f>IF('Australian Transaction'!B236= "","",'Australian Transaction'!B236)</f>
        <v/>
      </c>
      <c r="C236" s="28" t="str">
        <f>IF('Australian Transaction'!C236= "","",IF(B236="BUY",'Australian Transaction'!C236,-'Australian Transaction'!C236))</f>
        <v/>
      </c>
      <c r="D236" s="28" t="str">
        <f>IF('Australian Transaction'!D236 = "","",IF($B236 = "BUY", 'Australian Transaction'!D236,-'Australian Transaction'!D236))</f>
        <v/>
      </c>
      <c r="E236" s="28" t="str">
        <f>IF('Australian Transaction'!E236= "","",'Australian Transaction'!E236)</f>
        <v/>
      </c>
      <c r="F236" s="23"/>
      <c r="G236" s="28" t="str">
        <f t="shared" si="20"/>
        <v/>
      </c>
      <c r="H236" s="28" t="str">
        <f>IF(A236="","",COUNTIF($G$2:G236,G236))</f>
        <v/>
      </c>
      <c r="I236" s="28" t="str">
        <f t="shared" si="21"/>
        <v/>
      </c>
      <c r="J236" s="28" t="str">
        <f>IF(G236="","",IF(COUNTIF($G$2:G236,G236)&gt;1,SUMIF($A$2:A236,G236,$C$2:C236),C236))</f>
        <v/>
      </c>
      <c r="K236" s="45" t="str">
        <f>IF(G236="","",IF(COUNTIF($G$2:G236,G236)&gt;1,SUMIF($A$2:A236,G236,$D$2:D236),D236) +SUMIF($G$2:G236,G236,$M$2:M236))</f>
        <v/>
      </c>
      <c r="L236" s="45" t="str">
        <f t="shared" si="22"/>
        <v/>
      </c>
      <c r="M236" s="46" t="str">
        <f>IF(G236="","",IF(B236 = "BUY", 0,(E236-VLOOKUP(CONCATENATE(G236,(H236-1)),$I$2:L235,4,FALSE))*-C236))</f>
        <v/>
      </c>
    </row>
    <row r="237" spans="1:13" ht="15" thickBot="1" x14ac:dyDescent="0.35">
      <c r="A237" s="27" t="str">
        <f>IF('Australian Transaction'!A237= "","",'Australian Transaction'!A237)</f>
        <v/>
      </c>
      <c r="B237" s="28" t="str">
        <f>IF('Australian Transaction'!B237= "","",'Australian Transaction'!B237)</f>
        <v/>
      </c>
      <c r="C237" s="28" t="str">
        <f>IF('Australian Transaction'!C237= "","",IF(B237="BUY",'Australian Transaction'!C237,-'Australian Transaction'!C237))</f>
        <v/>
      </c>
      <c r="D237" s="28" t="str">
        <f>IF('Australian Transaction'!D237 = "","",IF($B237 = "BUY", 'Australian Transaction'!D237,-'Australian Transaction'!D237))</f>
        <v/>
      </c>
      <c r="E237" s="28" t="str">
        <f>IF('Australian Transaction'!E237= "","",'Australian Transaction'!E237)</f>
        <v/>
      </c>
      <c r="F237" s="23"/>
      <c r="G237" s="28" t="str">
        <f t="shared" si="20"/>
        <v/>
      </c>
      <c r="H237" s="28" t="str">
        <f>IF(A237="","",COUNTIF($G$2:G237,G237))</f>
        <v/>
      </c>
      <c r="I237" s="28" t="str">
        <f t="shared" si="21"/>
        <v/>
      </c>
      <c r="J237" s="28" t="str">
        <f>IF(G237="","",IF(COUNTIF($G$2:G237,G237)&gt;1,SUMIF($A$2:A237,G237,$C$2:C237),C237))</f>
        <v/>
      </c>
      <c r="K237" s="45" t="str">
        <f>IF(G237="","",IF(COUNTIF($G$2:G237,G237)&gt;1,SUMIF($A$2:A237,G237,$D$2:D237),D237) +SUMIF($G$2:G237,G237,$M$2:M237))</f>
        <v/>
      </c>
      <c r="L237" s="45" t="str">
        <f t="shared" si="22"/>
        <v/>
      </c>
      <c r="M237" s="46" t="str">
        <f>IF(G237="","",IF(B237 = "BUY", 0,(E237-VLOOKUP(CONCATENATE(G237,(H237-1)),$I$2:L236,4,FALSE))*-C237))</f>
        <v/>
      </c>
    </row>
    <row r="238" spans="1:13" ht="15" thickBot="1" x14ac:dyDescent="0.35">
      <c r="A238" s="27" t="str">
        <f>IF('Australian Transaction'!A238= "","",'Australian Transaction'!A238)</f>
        <v/>
      </c>
      <c r="B238" s="28" t="str">
        <f>IF('Australian Transaction'!B238= "","",'Australian Transaction'!B238)</f>
        <v/>
      </c>
      <c r="C238" s="28" t="str">
        <f>IF('Australian Transaction'!C238= "","",IF(B238="BUY",'Australian Transaction'!C238,-'Australian Transaction'!C238))</f>
        <v/>
      </c>
      <c r="D238" s="28" t="str">
        <f>IF('Australian Transaction'!D238 = "","",IF($B238 = "BUY", 'Australian Transaction'!D238,-'Australian Transaction'!D238))</f>
        <v/>
      </c>
      <c r="E238" s="28" t="str">
        <f>IF('Australian Transaction'!E238= "","",'Australian Transaction'!E238)</f>
        <v/>
      </c>
      <c r="F238" s="23"/>
      <c r="G238" s="28" t="str">
        <f t="shared" si="20"/>
        <v/>
      </c>
      <c r="H238" s="28" t="str">
        <f>IF(A238="","",COUNTIF($G$2:G238,G238))</f>
        <v/>
      </c>
      <c r="I238" s="28" t="str">
        <f t="shared" si="21"/>
        <v/>
      </c>
      <c r="J238" s="28" t="str">
        <f>IF(G238="","",IF(COUNTIF($G$2:G238,G238)&gt;1,SUMIF($A$2:A238,G238,$C$2:C238),C238))</f>
        <v/>
      </c>
      <c r="K238" s="45" t="str">
        <f>IF(G238="","",IF(COUNTIF($G$2:G238,G238)&gt;1,SUMIF($A$2:A238,G238,$D$2:D238),D238) +SUMIF($G$2:G238,G238,$M$2:M238))</f>
        <v/>
      </c>
      <c r="L238" s="45" t="str">
        <f t="shared" si="22"/>
        <v/>
      </c>
      <c r="M238" s="46" t="str">
        <f>IF(G238="","",IF(B238 = "BUY", 0,(E238-VLOOKUP(CONCATENATE(G238,(H238-1)),$I$2:L237,4,FALSE))*-C238))</f>
        <v/>
      </c>
    </row>
    <row r="239" spans="1:13" ht="15" thickBot="1" x14ac:dyDescent="0.35">
      <c r="A239" s="27" t="str">
        <f>IF('Australian Transaction'!A239= "","",'Australian Transaction'!A239)</f>
        <v/>
      </c>
      <c r="B239" s="28" t="str">
        <f>IF('Australian Transaction'!B239= "","",'Australian Transaction'!B239)</f>
        <v/>
      </c>
      <c r="C239" s="28" t="str">
        <f>IF('Australian Transaction'!C239= "","",IF(B239="BUY",'Australian Transaction'!C239,-'Australian Transaction'!C239))</f>
        <v/>
      </c>
      <c r="D239" s="28" t="str">
        <f>IF('Australian Transaction'!D239 = "","",IF($B239 = "BUY", 'Australian Transaction'!D239,-'Australian Transaction'!D239))</f>
        <v/>
      </c>
      <c r="E239" s="28" t="str">
        <f>IF('Australian Transaction'!E239= "","",'Australian Transaction'!E239)</f>
        <v/>
      </c>
      <c r="F239" s="23"/>
      <c r="G239" s="28" t="str">
        <f t="shared" si="20"/>
        <v/>
      </c>
      <c r="H239" s="28" t="str">
        <f>IF(A239="","",COUNTIF($G$2:G239,G239))</f>
        <v/>
      </c>
      <c r="I239" s="28" t="str">
        <f t="shared" si="21"/>
        <v/>
      </c>
      <c r="J239" s="28" t="str">
        <f>IF(G239="","",IF(COUNTIF($G$2:G239,G239)&gt;1,SUMIF($A$2:A239,G239,$C$2:C239),C239))</f>
        <v/>
      </c>
      <c r="K239" s="45" t="str">
        <f>IF(G239="","",IF(COUNTIF($G$2:G239,G239)&gt;1,SUMIF($A$2:A239,G239,$D$2:D239),D239) +SUMIF($G$2:G239,G239,$M$2:M239))</f>
        <v/>
      </c>
      <c r="L239" s="45" t="str">
        <f t="shared" si="22"/>
        <v/>
      </c>
      <c r="M239" s="46" t="str">
        <f>IF(G239="","",IF(B239 = "BUY", 0,(E239-VLOOKUP(CONCATENATE(G239,(H239-1)),$I$2:L238,4,FALSE))*-C239))</f>
        <v/>
      </c>
    </row>
    <row r="240" spans="1:13" ht="15" thickBot="1" x14ac:dyDescent="0.35">
      <c r="A240" s="27" t="str">
        <f>IF('Australian Transaction'!A240= "","",'Australian Transaction'!A240)</f>
        <v/>
      </c>
      <c r="B240" s="28" t="str">
        <f>IF('Australian Transaction'!B240= "","",'Australian Transaction'!B240)</f>
        <v/>
      </c>
      <c r="C240" s="28" t="str">
        <f>IF('Australian Transaction'!C240= "","",IF(B240="BUY",'Australian Transaction'!C240,-'Australian Transaction'!C240))</f>
        <v/>
      </c>
      <c r="D240" s="28" t="str">
        <f>IF('Australian Transaction'!D240 = "","",IF($B240 = "BUY", 'Australian Transaction'!D240,-'Australian Transaction'!D240))</f>
        <v/>
      </c>
      <c r="E240" s="28" t="str">
        <f>IF('Australian Transaction'!E240= "","",'Australian Transaction'!E240)</f>
        <v/>
      </c>
      <c r="F240" s="23"/>
      <c r="G240" s="28" t="str">
        <f t="shared" si="20"/>
        <v/>
      </c>
      <c r="H240" s="28" t="str">
        <f>IF(A240="","",COUNTIF($G$2:G240,G240))</f>
        <v/>
      </c>
      <c r="I240" s="28" t="str">
        <f t="shared" si="21"/>
        <v/>
      </c>
      <c r="J240" s="28" t="str">
        <f>IF(G240="","",IF(COUNTIF($G$2:G240,G240)&gt;1,SUMIF($A$2:A240,G240,$C$2:C240),C240))</f>
        <v/>
      </c>
      <c r="K240" s="45" t="str">
        <f>IF(G240="","",IF(COUNTIF($G$2:G240,G240)&gt;1,SUMIF($A$2:A240,G240,$D$2:D240),D240) +SUMIF($G$2:G240,G240,$M$2:M240))</f>
        <v/>
      </c>
      <c r="L240" s="45" t="str">
        <f t="shared" si="22"/>
        <v/>
      </c>
      <c r="M240" s="46" t="str">
        <f>IF(G240="","",IF(B240 = "BUY", 0,(E240-VLOOKUP(CONCATENATE(G240,(H240-1)),$I$2:L239,4,FALSE))*-C240))</f>
        <v/>
      </c>
    </row>
    <row r="241" spans="1:13" ht="15" thickBot="1" x14ac:dyDescent="0.35">
      <c r="A241" s="27" t="str">
        <f>IF('Australian Transaction'!A241= "","",'Australian Transaction'!A241)</f>
        <v/>
      </c>
      <c r="B241" s="28" t="str">
        <f>IF('Australian Transaction'!B241= "","",'Australian Transaction'!B241)</f>
        <v/>
      </c>
      <c r="C241" s="28" t="str">
        <f>IF('Australian Transaction'!C241= "","",IF(B241="BUY",'Australian Transaction'!C241,-'Australian Transaction'!C241))</f>
        <v/>
      </c>
      <c r="D241" s="28" t="str">
        <f>IF('Australian Transaction'!D241 = "","",IF($B241 = "BUY", 'Australian Transaction'!D241,-'Australian Transaction'!D241))</f>
        <v/>
      </c>
      <c r="E241" s="28" t="str">
        <f>IF('Australian Transaction'!E241= "","",'Australian Transaction'!E241)</f>
        <v/>
      </c>
      <c r="F241" s="23"/>
      <c r="G241" s="28" t="str">
        <f t="shared" si="20"/>
        <v/>
      </c>
      <c r="H241" s="28" t="str">
        <f>IF(A241="","",COUNTIF($G$2:G241,G241))</f>
        <v/>
      </c>
      <c r="I241" s="28" t="str">
        <f t="shared" si="21"/>
        <v/>
      </c>
      <c r="J241" s="28" t="str">
        <f>IF(G241="","",IF(COUNTIF($G$2:G241,G241)&gt;1,SUMIF($A$2:A241,G241,$C$2:C241),C241))</f>
        <v/>
      </c>
      <c r="K241" s="45" t="str">
        <f>IF(G241="","",IF(COUNTIF($G$2:G241,G241)&gt;1,SUMIF($A$2:A241,G241,$D$2:D241),D241) +SUMIF($G$2:G241,G241,$M$2:M241))</f>
        <v/>
      </c>
      <c r="L241" s="45" t="str">
        <f t="shared" si="22"/>
        <v/>
      </c>
      <c r="M241" s="46" t="str">
        <f>IF(G241="","",IF(B241 = "BUY", 0,(E241-VLOOKUP(CONCATENATE(G241,(H241-1)),$I$2:L240,4,FALSE))*-C241))</f>
        <v/>
      </c>
    </row>
    <row r="242" spans="1:13" ht="15" thickBot="1" x14ac:dyDescent="0.35">
      <c r="A242" s="27" t="str">
        <f>IF('Australian Transaction'!A242= "","",'Australian Transaction'!A242)</f>
        <v/>
      </c>
      <c r="B242" s="28" t="str">
        <f>IF('Australian Transaction'!B242= "","",'Australian Transaction'!B242)</f>
        <v/>
      </c>
      <c r="C242" s="28" t="str">
        <f>IF('Australian Transaction'!C242= "","",IF(B242="BUY",'Australian Transaction'!C242,-'Australian Transaction'!C242))</f>
        <v/>
      </c>
      <c r="D242" s="28" t="str">
        <f>IF('Australian Transaction'!D242 = "","",IF($B242 = "BUY", 'Australian Transaction'!D242,-'Australian Transaction'!D242))</f>
        <v/>
      </c>
      <c r="E242" s="28" t="str">
        <f>IF('Australian Transaction'!E242= "","",'Australian Transaction'!E242)</f>
        <v/>
      </c>
      <c r="F242" s="23"/>
      <c r="G242" s="28" t="str">
        <f t="shared" si="20"/>
        <v/>
      </c>
      <c r="H242" s="28" t="str">
        <f>IF(A242="","",COUNTIF($G$2:G242,G242))</f>
        <v/>
      </c>
      <c r="I242" s="28" t="str">
        <f t="shared" si="21"/>
        <v/>
      </c>
      <c r="J242" s="28" t="str">
        <f>IF(G242="","",IF(COUNTIF($G$2:G242,G242)&gt;1,SUMIF($A$2:A242,G242,$C$2:C242),C242))</f>
        <v/>
      </c>
      <c r="K242" s="45" t="str">
        <f>IF(G242="","",IF(COUNTIF($G$2:G242,G242)&gt;1,SUMIF($A$2:A242,G242,$D$2:D242),D242) +SUMIF($G$2:G242,G242,$M$2:M242))</f>
        <v/>
      </c>
      <c r="L242" s="45" t="str">
        <f t="shared" si="22"/>
        <v/>
      </c>
      <c r="M242" s="46" t="str">
        <f>IF(G242="","",IF(B242 = "BUY", 0,(E242-VLOOKUP(CONCATENATE(G242,(H242-1)),$I$2:L241,4,FALSE))*-C242))</f>
        <v/>
      </c>
    </row>
    <row r="243" spans="1:13" ht="15" thickBot="1" x14ac:dyDescent="0.35">
      <c r="A243" s="27" t="str">
        <f>IF('Australian Transaction'!A243= "","",'Australian Transaction'!A243)</f>
        <v/>
      </c>
      <c r="B243" s="28" t="str">
        <f>IF('Australian Transaction'!B243= "","",'Australian Transaction'!B243)</f>
        <v/>
      </c>
      <c r="C243" s="28" t="str">
        <f>IF('Australian Transaction'!C243= "","",IF(B243="BUY",'Australian Transaction'!C243,-'Australian Transaction'!C243))</f>
        <v/>
      </c>
      <c r="D243" s="28" t="str">
        <f>IF('Australian Transaction'!D243 = "","",IF($B243 = "BUY", 'Australian Transaction'!D243,-'Australian Transaction'!D243))</f>
        <v/>
      </c>
      <c r="E243" s="28" t="str">
        <f>IF('Australian Transaction'!E243= "","",'Australian Transaction'!E243)</f>
        <v/>
      </c>
      <c r="F243" s="23"/>
      <c r="G243" s="28" t="str">
        <f t="shared" si="20"/>
        <v/>
      </c>
      <c r="H243" s="28" t="str">
        <f>IF(A243="","",COUNTIF($G$2:G243,G243))</f>
        <v/>
      </c>
      <c r="I243" s="28" t="str">
        <f t="shared" si="21"/>
        <v/>
      </c>
      <c r="J243" s="28" t="str">
        <f>IF(G243="","",IF(COUNTIF($G$2:G243,G243)&gt;1,SUMIF($A$2:A243,G243,$C$2:C243),C243))</f>
        <v/>
      </c>
      <c r="K243" s="45" t="str">
        <f>IF(G243="","",IF(COUNTIF($G$2:G243,G243)&gt;1,SUMIF($A$2:A243,G243,$D$2:D243),D243) +SUMIF($G$2:G243,G243,$M$2:M243))</f>
        <v/>
      </c>
      <c r="L243" s="45" t="str">
        <f t="shared" si="22"/>
        <v/>
      </c>
      <c r="M243" s="46" t="str">
        <f>IF(G243="","",IF(B243 = "BUY", 0,(E243-VLOOKUP(CONCATENATE(G243,(H243-1)),$I$2:L242,4,FALSE))*-C243))</f>
        <v/>
      </c>
    </row>
    <row r="244" spans="1:13" ht="15" thickBot="1" x14ac:dyDescent="0.35">
      <c r="A244" s="27" t="str">
        <f>IF('Australian Transaction'!A244= "","",'Australian Transaction'!A244)</f>
        <v/>
      </c>
      <c r="B244" s="28" t="str">
        <f>IF('Australian Transaction'!B244= "","",'Australian Transaction'!B244)</f>
        <v/>
      </c>
      <c r="C244" s="28" t="str">
        <f>IF('Australian Transaction'!C244= "","",IF(B244="BUY",'Australian Transaction'!C244,-'Australian Transaction'!C244))</f>
        <v/>
      </c>
      <c r="D244" s="28" t="str">
        <f>IF('Australian Transaction'!D244 = "","",IF($B244 = "BUY", 'Australian Transaction'!D244,-'Australian Transaction'!D244))</f>
        <v/>
      </c>
      <c r="E244" s="28" t="str">
        <f>IF('Australian Transaction'!E244= "","",'Australian Transaction'!E244)</f>
        <v/>
      </c>
      <c r="F244" s="23"/>
      <c r="G244" s="28" t="str">
        <f t="shared" si="20"/>
        <v/>
      </c>
      <c r="H244" s="28" t="str">
        <f>IF(A244="","",COUNTIF($G$2:G244,G244))</f>
        <v/>
      </c>
      <c r="I244" s="28" t="str">
        <f t="shared" si="21"/>
        <v/>
      </c>
      <c r="J244" s="28" t="str">
        <f>IF(G244="","",IF(COUNTIF($G$2:G244,G244)&gt;1,SUMIF($A$2:A244,G244,$C$2:C244),C244))</f>
        <v/>
      </c>
      <c r="K244" s="45" t="str">
        <f>IF(G244="","",IF(COUNTIF($G$2:G244,G244)&gt;1,SUMIF($A$2:A244,G244,$D$2:D244),D244) +SUMIF($G$2:G244,G244,$M$2:M244))</f>
        <v/>
      </c>
      <c r="L244" s="45" t="str">
        <f t="shared" si="22"/>
        <v/>
      </c>
      <c r="M244" s="46" t="str">
        <f>IF(G244="","",IF(B244 = "BUY", 0,(E244-VLOOKUP(CONCATENATE(G244,(H244-1)),$I$2:L243,4,FALSE))*-C244))</f>
        <v/>
      </c>
    </row>
    <row r="245" spans="1:13" ht="15" thickBot="1" x14ac:dyDescent="0.35">
      <c r="A245" s="27" t="str">
        <f>IF('Australian Transaction'!A245= "","",'Australian Transaction'!A245)</f>
        <v/>
      </c>
      <c r="B245" s="28" t="str">
        <f>IF('Australian Transaction'!B245= "","",'Australian Transaction'!B245)</f>
        <v/>
      </c>
      <c r="C245" s="28" t="str">
        <f>IF('Australian Transaction'!C245= "","",IF(B245="BUY",'Australian Transaction'!C245,-'Australian Transaction'!C245))</f>
        <v/>
      </c>
      <c r="D245" s="28" t="str">
        <f>IF('Australian Transaction'!D245 = "","",IF($B245 = "BUY", 'Australian Transaction'!D245,-'Australian Transaction'!D245))</f>
        <v/>
      </c>
      <c r="E245" s="28" t="str">
        <f>IF('Australian Transaction'!E245= "","",'Australian Transaction'!E245)</f>
        <v/>
      </c>
      <c r="F245" s="23"/>
      <c r="G245" s="28" t="str">
        <f t="shared" si="20"/>
        <v/>
      </c>
      <c r="H245" s="28" t="str">
        <f>IF(A245="","",COUNTIF($G$2:G245,G245))</f>
        <v/>
      </c>
      <c r="I245" s="28" t="str">
        <f t="shared" si="21"/>
        <v/>
      </c>
      <c r="J245" s="28" t="str">
        <f>IF(G245="","",IF(COUNTIF($G$2:G245,G245)&gt;1,SUMIF($A$2:A245,G245,$C$2:C245),C245))</f>
        <v/>
      </c>
      <c r="K245" s="45" t="str">
        <f>IF(G245="","",IF(COUNTIF($G$2:G245,G245)&gt;1,SUMIF($A$2:A245,G245,$D$2:D245),D245) +SUMIF($G$2:G245,G245,$M$2:M245))</f>
        <v/>
      </c>
      <c r="L245" s="45" t="str">
        <f t="shared" si="22"/>
        <v/>
      </c>
      <c r="M245" s="46" t="str">
        <f>IF(G245="","",IF(B245 = "BUY", 0,(E245-VLOOKUP(CONCATENATE(G245,(H245-1)),$I$2:L244,4,FALSE))*-C245))</f>
        <v/>
      </c>
    </row>
    <row r="246" spans="1:13" ht="15" thickBot="1" x14ac:dyDescent="0.35">
      <c r="A246" s="27" t="str">
        <f>IF('Australian Transaction'!A246= "","",'Australian Transaction'!A246)</f>
        <v/>
      </c>
      <c r="B246" s="28" t="str">
        <f>IF('Australian Transaction'!B246= "","",'Australian Transaction'!B246)</f>
        <v/>
      </c>
      <c r="C246" s="28" t="str">
        <f>IF('Australian Transaction'!C246= "","",IF(B246="BUY",'Australian Transaction'!C246,-'Australian Transaction'!C246))</f>
        <v/>
      </c>
      <c r="D246" s="28" t="str">
        <f>IF('Australian Transaction'!D246 = "","",IF($B246 = "BUY", 'Australian Transaction'!D246,-'Australian Transaction'!D246))</f>
        <v/>
      </c>
      <c r="E246" s="28" t="str">
        <f>IF('Australian Transaction'!E246= "","",'Australian Transaction'!E246)</f>
        <v/>
      </c>
      <c r="F246" s="23"/>
      <c r="G246" s="28" t="str">
        <f t="shared" si="20"/>
        <v/>
      </c>
      <c r="H246" s="28" t="str">
        <f>IF(A246="","",COUNTIF($G$2:G246,G246))</f>
        <v/>
      </c>
      <c r="I246" s="28" t="str">
        <f t="shared" si="21"/>
        <v/>
      </c>
      <c r="J246" s="28" t="str">
        <f>IF(G246="","",IF(COUNTIF($G$2:G246,G246)&gt;1,SUMIF($A$2:A246,G246,$C$2:C246),C246))</f>
        <v/>
      </c>
      <c r="K246" s="45" t="str">
        <f>IF(G246="","",IF(COUNTIF($G$2:G246,G246)&gt;1,SUMIF($A$2:A246,G246,$D$2:D246),D246) +SUMIF($G$2:G246,G246,$M$2:M246))</f>
        <v/>
      </c>
      <c r="L246" s="45" t="str">
        <f t="shared" si="22"/>
        <v/>
      </c>
      <c r="M246" s="46" t="str">
        <f>IF(G246="","",IF(B246 = "BUY", 0,(E246-VLOOKUP(CONCATENATE(G246,(H246-1)),$I$2:L245,4,FALSE))*-C246))</f>
        <v/>
      </c>
    </row>
    <row r="247" spans="1:13" ht="15" thickBot="1" x14ac:dyDescent="0.35">
      <c r="A247" s="27" t="str">
        <f>IF('Australian Transaction'!A247= "","",'Australian Transaction'!A247)</f>
        <v/>
      </c>
      <c r="B247" s="28" t="str">
        <f>IF('Australian Transaction'!B247= "","",'Australian Transaction'!B247)</f>
        <v/>
      </c>
      <c r="C247" s="28" t="str">
        <f>IF('Australian Transaction'!C247= "","",IF(B247="BUY",'Australian Transaction'!C247,-'Australian Transaction'!C247))</f>
        <v/>
      </c>
      <c r="D247" s="28" t="str">
        <f>IF('Australian Transaction'!D247 = "","",IF($B247 = "BUY", 'Australian Transaction'!D247,-'Australian Transaction'!D247))</f>
        <v/>
      </c>
      <c r="E247" s="28" t="str">
        <f>IF('Australian Transaction'!E247= "","",'Australian Transaction'!E247)</f>
        <v/>
      </c>
      <c r="F247" s="23"/>
      <c r="G247" s="28" t="str">
        <f t="shared" si="20"/>
        <v/>
      </c>
      <c r="H247" s="28" t="str">
        <f>IF(A247="","",COUNTIF($G$2:G247,G247))</f>
        <v/>
      </c>
      <c r="I247" s="28" t="str">
        <f t="shared" si="21"/>
        <v/>
      </c>
      <c r="J247" s="28" t="str">
        <f>IF(G247="","",IF(COUNTIF($G$2:G247,G247)&gt;1,SUMIF($A$2:A247,G247,$C$2:C247),C247))</f>
        <v/>
      </c>
      <c r="K247" s="45" t="str">
        <f>IF(G247="","",IF(COUNTIF($G$2:G247,G247)&gt;1,SUMIF($A$2:A247,G247,$D$2:D247),D247) +SUMIF($G$2:G247,G247,$M$2:M247))</f>
        <v/>
      </c>
      <c r="L247" s="45" t="str">
        <f t="shared" si="22"/>
        <v/>
      </c>
      <c r="M247" s="46" t="str">
        <f>IF(G247="","",IF(B247 = "BUY", 0,(E247-VLOOKUP(CONCATENATE(G247,(H247-1)),$I$2:L246,4,FALSE))*-C247))</f>
        <v/>
      </c>
    </row>
    <row r="248" spans="1:13" ht="15" thickBot="1" x14ac:dyDescent="0.35">
      <c r="A248" s="27" t="str">
        <f>IF('Australian Transaction'!A248= "","",'Australian Transaction'!A248)</f>
        <v/>
      </c>
      <c r="B248" s="28" t="str">
        <f>IF('Australian Transaction'!B248= "","",'Australian Transaction'!B248)</f>
        <v/>
      </c>
      <c r="C248" s="28" t="str">
        <f>IF('Australian Transaction'!C248= "","",IF(B248="BUY",'Australian Transaction'!C248,-'Australian Transaction'!C248))</f>
        <v/>
      </c>
      <c r="D248" s="28" t="str">
        <f>IF('Australian Transaction'!D248 = "","",IF($B248 = "BUY", 'Australian Transaction'!D248,-'Australian Transaction'!D248))</f>
        <v/>
      </c>
      <c r="E248" s="28" t="str">
        <f>IF('Australian Transaction'!E248= "","",'Australian Transaction'!E248)</f>
        <v/>
      </c>
      <c r="F248" s="23"/>
      <c r="G248" s="28" t="str">
        <f t="shared" si="20"/>
        <v/>
      </c>
      <c r="H248" s="28" t="str">
        <f>IF(A248="","",COUNTIF($G$2:G248,G248))</f>
        <v/>
      </c>
      <c r="I248" s="28" t="str">
        <f t="shared" si="21"/>
        <v/>
      </c>
      <c r="J248" s="28" t="str">
        <f>IF(G248="","",IF(COUNTIF($G$2:G248,G248)&gt;1,SUMIF($A$2:A248,G248,$C$2:C248),C248))</f>
        <v/>
      </c>
      <c r="K248" s="45" t="str">
        <f>IF(G248="","",IF(COUNTIF($G$2:G248,G248)&gt;1,SUMIF($A$2:A248,G248,$D$2:D248),D248) +SUMIF($G$2:G248,G248,$M$2:M248))</f>
        <v/>
      </c>
      <c r="L248" s="45" t="str">
        <f t="shared" si="22"/>
        <v/>
      </c>
      <c r="M248" s="46" t="str">
        <f>IF(G248="","",IF(B248 = "BUY", 0,(E248-VLOOKUP(CONCATENATE(G248,(H248-1)),$I$2:L247,4,FALSE))*-C248))</f>
        <v/>
      </c>
    </row>
    <row r="249" spans="1:13" ht="15" thickBot="1" x14ac:dyDescent="0.35">
      <c r="A249" s="27" t="str">
        <f>IF('Australian Transaction'!A249= "","",'Australian Transaction'!A249)</f>
        <v/>
      </c>
      <c r="B249" s="28" t="str">
        <f>IF('Australian Transaction'!B249= "","",'Australian Transaction'!B249)</f>
        <v/>
      </c>
      <c r="C249" s="28" t="str">
        <f>IF('Australian Transaction'!C249= "","",IF(B249="BUY",'Australian Transaction'!C249,-'Australian Transaction'!C249))</f>
        <v/>
      </c>
      <c r="D249" s="28" t="str">
        <f>IF('Australian Transaction'!D249 = "","",IF($B249 = "BUY", 'Australian Transaction'!D249,-'Australian Transaction'!D249))</f>
        <v/>
      </c>
      <c r="E249" s="28" t="str">
        <f>IF('Australian Transaction'!E249= "","",'Australian Transaction'!E249)</f>
        <v/>
      </c>
      <c r="F249" s="23"/>
      <c r="G249" s="28" t="str">
        <f t="shared" si="20"/>
        <v/>
      </c>
      <c r="H249" s="28" t="str">
        <f>IF(A249="","",COUNTIF($G$2:G249,G249))</f>
        <v/>
      </c>
      <c r="I249" s="28" t="str">
        <f t="shared" si="21"/>
        <v/>
      </c>
      <c r="J249" s="28" t="str">
        <f>IF(G249="","",IF(COUNTIF($G$2:G249,G249)&gt;1,SUMIF($A$2:A249,G249,$C$2:C249),C249))</f>
        <v/>
      </c>
      <c r="K249" s="45" t="str">
        <f>IF(G249="","",IF(COUNTIF($G$2:G249,G249)&gt;1,SUMIF($A$2:A249,G249,$D$2:D249),D249) +SUMIF($G$2:G249,G249,$M$2:M249))</f>
        <v/>
      </c>
      <c r="L249" s="45" t="str">
        <f t="shared" si="22"/>
        <v/>
      </c>
      <c r="M249" s="46" t="str">
        <f>IF(G249="","",IF(B249 = "BUY", 0,(E249-VLOOKUP(CONCATENATE(G249,(H249-1)),$I$2:L248,4,FALSE))*-C249))</f>
        <v/>
      </c>
    </row>
    <row r="250" spans="1:13" ht="15" thickBot="1" x14ac:dyDescent="0.35">
      <c r="A250" s="27" t="str">
        <f>IF('Australian Transaction'!A250= "","",'Australian Transaction'!A250)</f>
        <v/>
      </c>
      <c r="B250" s="28" t="str">
        <f>IF('Australian Transaction'!B250= "","",'Australian Transaction'!B250)</f>
        <v/>
      </c>
      <c r="C250" s="28" t="str">
        <f>IF('Australian Transaction'!C250= "","",IF(B250="BUY",'Australian Transaction'!C250,-'Australian Transaction'!C250))</f>
        <v/>
      </c>
      <c r="D250" s="28" t="str">
        <f>IF('Australian Transaction'!D250 = "","",IF($B250 = "BUY", 'Australian Transaction'!D250,-'Australian Transaction'!D250))</f>
        <v/>
      </c>
      <c r="E250" s="28" t="str">
        <f>IF('Australian Transaction'!E250= "","",'Australian Transaction'!E250)</f>
        <v/>
      </c>
      <c r="F250" s="23"/>
      <c r="G250" s="28" t="str">
        <f t="shared" si="20"/>
        <v/>
      </c>
      <c r="H250" s="28" t="str">
        <f>IF(A250="","",COUNTIF($G$2:G250,G250))</f>
        <v/>
      </c>
      <c r="I250" s="28" t="str">
        <f t="shared" si="21"/>
        <v/>
      </c>
      <c r="J250" s="28" t="str">
        <f>IF(G250="","",IF(COUNTIF($G$2:G250,G250)&gt;1,SUMIF($A$2:A250,G250,$C$2:C250),C250))</f>
        <v/>
      </c>
      <c r="K250" s="45" t="str">
        <f>IF(G250="","",IF(COUNTIF($G$2:G250,G250)&gt;1,SUMIF($A$2:A250,G250,$D$2:D250),D250) +SUMIF($G$2:G250,G250,$M$2:M250))</f>
        <v/>
      </c>
      <c r="L250" s="45" t="str">
        <f t="shared" si="22"/>
        <v/>
      </c>
      <c r="M250" s="46" t="str">
        <f>IF(G250="","",IF(B250 = "BUY", 0,(E250-VLOOKUP(CONCATENATE(G250,(H250-1)),$I$2:L249,4,FALSE))*-C250))</f>
        <v/>
      </c>
    </row>
    <row r="251" spans="1:13" ht="15" thickBot="1" x14ac:dyDescent="0.35">
      <c r="A251" s="27" t="str">
        <f>IF('Australian Transaction'!A251= "","",'Australian Transaction'!A251)</f>
        <v/>
      </c>
      <c r="B251" s="28" t="str">
        <f>IF('Australian Transaction'!B251= "","",'Australian Transaction'!B251)</f>
        <v/>
      </c>
      <c r="C251" s="28" t="str">
        <f>IF('Australian Transaction'!C251= "","",IF(B251="BUY",'Australian Transaction'!C251,-'Australian Transaction'!C251))</f>
        <v/>
      </c>
      <c r="D251" s="28" t="str">
        <f>IF('Australian Transaction'!D251 = "","",IF($B251 = "BUY", 'Australian Transaction'!D251,-'Australian Transaction'!D251))</f>
        <v/>
      </c>
      <c r="E251" s="28" t="str">
        <f>IF('Australian Transaction'!E251= "","",'Australian Transaction'!E251)</f>
        <v/>
      </c>
      <c r="F251" s="23"/>
      <c r="G251" s="28" t="str">
        <f t="shared" si="20"/>
        <v/>
      </c>
      <c r="H251" s="28" t="str">
        <f>IF(A251="","",COUNTIF($G$2:G251,G251))</f>
        <v/>
      </c>
      <c r="I251" s="28" t="str">
        <f t="shared" si="21"/>
        <v/>
      </c>
      <c r="J251" s="28" t="str">
        <f>IF(G251="","",IF(COUNTIF($G$2:G251,G251)&gt;1,SUMIF($A$2:A251,G251,$C$2:C251),C251))</f>
        <v/>
      </c>
      <c r="K251" s="45" t="str">
        <f>IF(G251="","",IF(COUNTIF($G$2:G251,G251)&gt;1,SUMIF($A$2:A251,G251,$D$2:D251),D251) +SUMIF($G$2:G251,G251,$M$2:M251))</f>
        <v/>
      </c>
      <c r="L251" s="45" t="str">
        <f t="shared" si="22"/>
        <v/>
      </c>
      <c r="M251" s="46" t="str">
        <f>IF(G251="","",IF(B251 = "BUY", 0,(E251-VLOOKUP(CONCATENATE(G251,(H251-1)),$I$2:L250,4,FALSE))*-C251))</f>
        <v/>
      </c>
    </row>
    <row r="252" spans="1:13" ht="15" thickBot="1" x14ac:dyDescent="0.35">
      <c r="A252" s="27" t="str">
        <f>IF('Australian Transaction'!A252= "","",'Australian Transaction'!A252)</f>
        <v/>
      </c>
      <c r="B252" s="28" t="str">
        <f>IF('Australian Transaction'!B252= "","",'Australian Transaction'!B252)</f>
        <v/>
      </c>
      <c r="C252" s="28" t="str">
        <f>IF('Australian Transaction'!C252= "","",IF(B252="BUY",'Australian Transaction'!C252,-'Australian Transaction'!C252))</f>
        <v/>
      </c>
      <c r="D252" s="28" t="str">
        <f>IF('Australian Transaction'!D252 = "","",IF($B252 = "BUY", 'Australian Transaction'!D252,-'Australian Transaction'!D252))</f>
        <v/>
      </c>
      <c r="E252" s="28" t="str">
        <f>IF('Australian Transaction'!E252= "","",'Australian Transaction'!E252)</f>
        <v/>
      </c>
      <c r="F252" s="23"/>
      <c r="G252" s="28" t="str">
        <f t="shared" si="20"/>
        <v/>
      </c>
      <c r="H252" s="28" t="str">
        <f>IF(A252="","",COUNTIF($G$2:G252,G252))</f>
        <v/>
      </c>
      <c r="I252" s="28" t="str">
        <f t="shared" si="21"/>
        <v/>
      </c>
      <c r="J252" s="28" t="str">
        <f>IF(G252="","",IF(COUNTIF($G$2:G252,G252)&gt;1,SUMIF($A$2:A252,G252,$C$2:C252),C252))</f>
        <v/>
      </c>
      <c r="K252" s="45" t="str">
        <f>IF(G252="","",IF(COUNTIF($G$2:G252,G252)&gt;1,SUMIF($A$2:A252,G252,$D$2:D252),D252) +SUMIF($G$2:G252,G252,$M$2:M252))</f>
        <v/>
      </c>
      <c r="L252" s="45" t="str">
        <f t="shared" si="22"/>
        <v/>
      </c>
      <c r="M252" s="46" t="str">
        <f>IF(G252="","",IF(B252 = "BUY", 0,(E252-VLOOKUP(CONCATENATE(G252,(H252-1)),$I$2:L251,4,FALSE))*-C252))</f>
        <v/>
      </c>
    </row>
    <row r="253" spans="1:13" ht="15" thickBot="1" x14ac:dyDescent="0.35">
      <c r="A253" s="27" t="str">
        <f>IF('Australian Transaction'!A253= "","",'Australian Transaction'!A253)</f>
        <v/>
      </c>
      <c r="B253" s="28" t="str">
        <f>IF('Australian Transaction'!B253= "","",'Australian Transaction'!B253)</f>
        <v/>
      </c>
      <c r="C253" s="28" t="str">
        <f>IF('Australian Transaction'!C253= "","",IF(B253="BUY",'Australian Transaction'!C253,-'Australian Transaction'!C253))</f>
        <v/>
      </c>
      <c r="D253" s="28" t="str">
        <f>IF('Australian Transaction'!D253 = "","",IF($B253 = "BUY", 'Australian Transaction'!D253,-'Australian Transaction'!D253))</f>
        <v/>
      </c>
      <c r="E253" s="28" t="str">
        <f>IF('Australian Transaction'!E253= "","",'Australian Transaction'!E253)</f>
        <v/>
      </c>
      <c r="F253" s="23"/>
      <c r="G253" s="28" t="str">
        <f t="shared" si="20"/>
        <v/>
      </c>
      <c r="H253" s="28" t="str">
        <f>IF(A253="","",COUNTIF($G$2:G253,G253))</f>
        <v/>
      </c>
      <c r="I253" s="28" t="str">
        <f t="shared" si="21"/>
        <v/>
      </c>
      <c r="J253" s="28" t="str">
        <f>IF(G253="","",IF(COUNTIF($G$2:G253,G253)&gt;1,SUMIF($A$2:A253,G253,$C$2:C253),C253))</f>
        <v/>
      </c>
      <c r="K253" s="45" t="str">
        <f>IF(G253="","",IF(COUNTIF($G$2:G253,G253)&gt;1,SUMIF($A$2:A253,G253,$D$2:D253),D253) +SUMIF($G$2:G253,G253,$M$2:M253))</f>
        <v/>
      </c>
      <c r="L253" s="45" t="str">
        <f t="shared" si="22"/>
        <v/>
      </c>
      <c r="M253" s="46" t="str">
        <f>IF(G253="","",IF(B253 = "BUY", 0,(E253-VLOOKUP(CONCATENATE(G253,(H253-1)),$I$2:L252,4,FALSE))*-C253))</f>
        <v/>
      </c>
    </row>
    <row r="254" spans="1:13" ht="15" thickBot="1" x14ac:dyDescent="0.35">
      <c r="A254" s="27" t="str">
        <f>IF('Australian Transaction'!A254= "","",'Australian Transaction'!A254)</f>
        <v/>
      </c>
      <c r="B254" s="28" t="str">
        <f>IF('Australian Transaction'!B254= "","",'Australian Transaction'!B254)</f>
        <v/>
      </c>
      <c r="C254" s="28" t="str">
        <f>IF('Australian Transaction'!C254= "","",IF(B254="BUY",'Australian Transaction'!C254,-'Australian Transaction'!C254))</f>
        <v/>
      </c>
      <c r="D254" s="28" t="str">
        <f>IF('Australian Transaction'!D254 = "","",IF($B254 = "BUY", 'Australian Transaction'!D254,-'Australian Transaction'!D254))</f>
        <v/>
      </c>
      <c r="E254" s="28" t="str">
        <f>IF('Australian Transaction'!E254= "","",'Australian Transaction'!E254)</f>
        <v/>
      </c>
      <c r="F254" s="23"/>
      <c r="G254" s="28" t="str">
        <f t="shared" si="20"/>
        <v/>
      </c>
      <c r="H254" s="28" t="str">
        <f>IF(A254="","",COUNTIF($G$2:G254,G254))</f>
        <v/>
      </c>
      <c r="I254" s="28" t="str">
        <f t="shared" si="21"/>
        <v/>
      </c>
      <c r="J254" s="28" t="str">
        <f>IF(G254="","",IF(COUNTIF($G$2:G254,G254)&gt;1,SUMIF($A$2:A254,G254,$C$2:C254),C254))</f>
        <v/>
      </c>
      <c r="K254" s="45" t="str">
        <f>IF(G254="","",IF(COUNTIF($G$2:G254,G254)&gt;1,SUMIF($A$2:A254,G254,$D$2:D254),D254) +SUMIF($G$2:G254,G254,$M$2:M254))</f>
        <v/>
      </c>
      <c r="L254" s="45" t="str">
        <f t="shared" si="22"/>
        <v/>
      </c>
      <c r="M254" s="46" t="str">
        <f>IF(G254="","",IF(B254 = "BUY", 0,(E254-VLOOKUP(CONCATENATE(G254,(H254-1)),$I$2:L253,4,FALSE))*-C254))</f>
        <v/>
      </c>
    </row>
    <row r="255" spans="1:13" ht="15" thickBot="1" x14ac:dyDescent="0.35">
      <c r="A255" s="27" t="str">
        <f>IF('Australian Transaction'!A255= "","",'Australian Transaction'!A255)</f>
        <v/>
      </c>
      <c r="B255" s="28" t="str">
        <f>IF('Australian Transaction'!B255= "","",'Australian Transaction'!B255)</f>
        <v/>
      </c>
      <c r="C255" s="28" t="str">
        <f>IF('Australian Transaction'!C255= "","",IF(B255="BUY",'Australian Transaction'!C255,-'Australian Transaction'!C255))</f>
        <v/>
      </c>
      <c r="D255" s="28" t="str">
        <f>IF('Australian Transaction'!D255 = "","",IF($B255 = "BUY", 'Australian Transaction'!D255,-'Australian Transaction'!D255))</f>
        <v/>
      </c>
      <c r="E255" s="28" t="str">
        <f>IF('Australian Transaction'!E255= "","",'Australian Transaction'!E255)</f>
        <v/>
      </c>
      <c r="F255" s="23"/>
      <c r="G255" s="28" t="str">
        <f t="shared" si="20"/>
        <v/>
      </c>
      <c r="H255" s="28" t="str">
        <f>IF(A255="","",COUNTIF($G$2:G255,G255))</f>
        <v/>
      </c>
      <c r="I255" s="28" t="str">
        <f t="shared" si="21"/>
        <v/>
      </c>
      <c r="J255" s="28" t="str">
        <f>IF(G255="","",IF(COUNTIF($G$2:G255,G255)&gt;1,SUMIF($A$2:A255,G255,$C$2:C255),C255))</f>
        <v/>
      </c>
      <c r="K255" s="45" t="str">
        <f>IF(G255="","",IF(COUNTIF($G$2:G255,G255)&gt;1,SUMIF($A$2:A255,G255,$D$2:D255),D255) +SUMIF($G$2:G255,G255,$M$2:M255))</f>
        <v/>
      </c>
      <c r="L255" s="45" t="str">
        <f t="shared" si="22"/>
        <v/>
      </c>
      <c r="M255" s="46" t="str">
        <f>IF(G255="","",IF(B255 = "BUY", 0,(E255-VLOOKUP(CONCATENATE(G255,(H255-1)),$I$2:L254,4,FALSE))*-C255))</f>
        <v/>
      </c>
    </row>
    <row r="256" spans="1:13" ht="15" thickBot="1" x14ac:dyDescent="0.35">
      <c r="A256" s="27" t="str">
        <f>IF('Australian Transaction'!A256= "","",'Australian Transaction'!A256)</f>
        <v/>
      </c>
      <c r="B256" s="28" t="str">
        <f>IF('Australian Transaction'!B256= "","",'Australian Transaction'!B256)</f>
        <v/>
      </c>
      <c r="C256" s="28" t="str">
        <f>IF('Australian Transaction'!C256= "","",IF(B256="BUY",'Australian Transaction'!C256,-'Australian Transaction'!C256))</f>
        <v/>
      </c>
      <c r="D256" s="28" t="str">
        <f>IF('Australian Transaction'!D256 = "","",IF($B256 = "BUY", 'Australian Transaction'!D256,-'Australian Transaction'!D256))</f>
        <v/>
      </c>
      <c r="E256" s="28" t="str">
        <f>IF('Australian Transaction'!E256= "","",'Australian Transaction'!E256)</f>
        <v/>
      </c>
      <c r="F256" s="23"/>
      <c r="G256" s="28" t="str">
        <f t="shared" si="20"/>
        <v/>
      </c>
      <c r="H256" s="28" t="str">
        <f>IF(A256="","",COUNTIF($G$2:G256,G256))</f>
        <v/>
      </c>
      <c r="I256" s="28" t="str">
        <f t="shared" si="21"/>
        <v/>
      </c>
      <c r="J256" s="28" t="str">
        <f>IF(G256="","",IF(COUNTIF($G$2:G256,G256)&gt;1,SUMIF($A$2:A256,G256,$C$2:C256),C256))</f>
        <v/>
      </c>
      <c r="K256" s="45" t="str">
        <f>IF(G256="","",IF(COUNTIF($G$2:G256,G256)&gt;1,SUMIF($A$2:A256,G256,$D$2:D256),D256) +SUMIF($G$2:G256,G256,$M$2:M256))</f>
        <v/>
      </c>
      <c r="L256" s="45" t="str">
        <f t="shared" si="22"/>
        <v/>
      </c>
      <c r="M256" s="46" t="str">
        <f>IF(G256="","",IF(B256 = "BUY", 0,(E256-VLOOKUP(CONCATENATE(G256,(H256-1)),$I$2:L255,4,FALSE))*-C256))</f>
        <v/>
      </c>
    </row>
    <row r="257" spans="1:13" ht="15" thickBot="1" x14ac:dyDescent="0.35">
      <c r="A257" s="27" t="str">
        <f>IF('Australian Transaction'!A257= "","",'Australian Transaction'!A257)</f>
        <v/>
      </c>
      <c r="B257" s="28" t="str">
        <f>IF('Australian Transaction'!B257= "","",'Australian Transaction'!B257)</f>
        <v/>
      </c>
      <c r="C257" s="28" t="str">
        <f>IF('Australian Transaction'!C257= "","",IF(B257="BUY",'Australian Transaction'!C257,-'Australian Transaction'!C257))</f>
        <v/>
      </c>
      <c r="D257" s="28" t="str">
        <f>IF('Australian Transaction'!D257 = "","",IF($B257 = "BUY", 'Australian Transaction'!D257,-'Australian Transaction'!D257))</f>
        <v/>
      </c>
      <c r="E257" s="28" t="str">
        <f>IF('Australian Transaction'!E257= "","",'Australian Transaction'!E257)</f>
        <v/>
      </c>
      <c r="F257" s="23"/>
      <c r="G257" s="28" t="str">
        <f t="shared" si="20"/>
        <v/>
      </c>
      <c r="H257" s="28" t="str">
        <f>IF(A257="","",COUNTIF($G$2:G257,G257))</f>
        <v/>
      </c>
      <c r="I257" s="28" t="str">
        <f t="shared" si="21"/>
        <v/>
      </c>
      <c r="J257" s="28" t="str">
        <f>IF(G257="","",IF(COUNTIF($G$2:G257,G257)&gt;1,SUMIF($A$2:A257,G257,$C$2:C257),C257))</f>
        <v/>
      </c>
      <c r="K257" s="45" t="str">
        <f>IF(G257="","",IF(COUNTIF($G$2:G257,G257)&gt;1,SUMIF($A$2:A257,G257,$D$2:D257),D257) +SUMIF($G$2:G257,G257,$M$2:M257))</f>
        <v/>
      </c>
      <c r="L257" s="45" t="str">
        <f t="shared" si="22"/>
        <v/>
      </c>
      <c r="M257" s="46" t="str">
        <f>IF(G257="","",IF(B257 = "BUY", 0,(E257-VLOOKUP(CONCATENATE(G257,(H257-1)),$I$2:L256,4,FALSE))*-C257))</f>
        <v/>
      </c>
    </row>
    <row r="258" spans="1:13" ht="15" thickBot="1" x14ac:dyDescent="0.35">
      <c r="A258" s="27" t="str">
        <f>IF('Australian Transaction'!A258= "","",'Australian Transaction'!A258)</f>
        <v/>
      </c>
      <c r="B258" s="28" t="str">
        <f>IF('Australian Transaction'!B258= "","",'Australian Transaction'!B258)</f>
        <v/>
      </c>
      <c r="C258" s="28" t="str">
        <f>IF('Australian Transaction'!C258= "","",IF(B258="BUY",'Australian Transaction'!C258,-'Australian Transaction'!C258))</f>
        <v/>
      </c>
      <c r="D258" s="28" t="str">
        <f>IF('Australian Transaction'!D258 = "","",IF($B258 = "BUY", 'Australian Transaction'!D258,-'Australian Transaction'!D258))</f>
        <v/>
      </c>
      <c r="E258" s="28" t="str">
        <f>IF('Australian Transaction'!E258= "","",'Australian Transaction'!E258)</f>
        <v/>
      </c>
      <c r="F258" s="23"/>
      <c r="G258" s="28" t="str">
        <f t="shared" si="20"/>
        <v/>
      </c>
      <c r="H258" s="28" t="str">
        <f>IF(A258="","",COUNTIF($G$2:G258,G258))</f>
        <v/>
      </c>
      <c r="I258" s="28" t="str">
        <f t="shared" si="21"/>
        <v/>
      </c>
      <c r="J258" s="28" t="str">
        <f>IF(G258="","",IF(COUNTIF($G$2:G258,G258)&gt;1,SUMIF($A$2:A258,G258,$C$2:C258),C258))</f>
        <v/>
      </c>
      <c r="K258" s="45" t="str">
        <f>IF(G258="","",IF(COUNTIF($G$2:G258,G258)&gt;1,SUMIF($A$2:A258,G258,$D$2:D258),D258) +SUMIF($G$2:G258,G258,$M$2:M258))</f>
        <v/>
      </c>
      <c r="L258" s="45" t="str">
        <f t="shared" si="22"/>
        <v/>
      </c>
      <c r="M258" s="46" t="str">
        <f>IF(G258="","",IF(B258 = "BUY", 0,(E258-VLOOKUP(CONCATENATE(G258,(H258-1)),$I$2:L257,4,FALSE))*-C258))</f>
        <v/>
      </c>
    </row>
    <row r="259" spans="1:13" ht="15" thickBot="1" x14ac:dyDescent="0.35">
      <c r="A259" s="27" t="str">
        <f>IF('Australian Transaction'!A259= "","",'Australian Transaction'!A259)</f>
        <v/>
      </c>
      <c r="B259" s="28" t="str">
        <f>IF('Australian Transaction'!B259= "","",'Australian Transaction'!B259)</f>
        <v/>
      </c>
      <c r="C259" s="28" t="str">
        <f>IF('Australian Transaction'!C259= "","",IF(B259="BUY",'Australian Transaction'!C259,-'Australian Transaction'!C259))</f>
        <v/>
      </c>
      <c r="D259" s="28" t="str">
        <f>IF('Australian Transaction'!D259 = "","",IF($B259 = "BUY", 'Australian Transaction'!D259,-'Australian Transaction'!D259))</f>
        <v/>
      </c>
      <c r="E259" s="28" t="str">
        <f>IF('Australian Transaction'!E259= "","",'Australian Transaction'!E259)</f>
        <v/>
      </c>
      <c r="F259" s="23"/>
      <c r="G259" s="28" t="str">
        <f t="shared" ref="G259:G300" si="23">A259</f>
        <v/>
      </c>
      <c r="H259" s="28" t="str">
        <f>IF(A259="","",COUNTIF($G$2:G259,G259))</f>
        <v/>
      </c>
      <c r="I259" s="28" t="str">
        <f t="shared" ref="I259:I300" si="24">_xlfn.CONCAT(G259,H259)</f>
        <v/>
      </c>
      <c r="J259" s="28" t="str">
        <f>IF(G259="","",IF(COUNTIF($G$2:G259,G259)&gt;1,SUMIF($A$2:A259,G259,$C$2:C259),C259))</f>
        <v/>
      </c>
      <c r="K259" s="45" t="str">
        <f>IF(G259="","",IF(COUNTIF($G$2:G259,G259)&gt;1,SUMIF($A$2:A259,G259,$D$2:D259),D259) +SUMIF($G$2:G259,G259,$M$2:M259))</f>
        <v/>
      </c>
      <c r="L259" s="45" t="str">
        <f t="shared" ref="L259:L300" si="25">IF(G259="","",IFERROR(K259/J259,0))</f>
        <v/>
      </c>
      <c r="M259" s="46" t="str">
        <f>IF(G259="","",IF(B259 = "BUY", 0,(E259-VLOOKUP(CONCATENATE(G259,(H259-1)),$I$2:L258,4,FALSE))*-C259))</f>
        <v/>
      </c>
    </row>
    <row r="260" spans="1:13" ht="15" thickBot="1" x14ac:dyDescent="0.35">
      <c r="A260" s="27" t="str">
        <f>IF('Australian Transaction'!A260= "","",'Australian Transaction'!A260)</f>
        <v/>
      </c>
      <c r="B260" s="28" t="str">
        <f>IF('Australian Transaction'!B260= "","",'Australian Transaction'!B260)</f>
        <v/>
      </c>
      <c r="C260" s="28" t="str">
        <f>IF('Australian Transaction'!C260= "","",IF(B260="BUY",'Australian Transaction'!C260,-'Australian Transaction'!C260))</f>
        <v/>
      </c>
      <c r="D260" s="28" t="str">
        <f>IF('Australian Transaction'!D260 = "","",IF($B260 = "BUY", 'Australian Transaction'!D260,-'Australian Transaction'!D260))</f>
        <v/>
      </c>
      <c r="E260" s="28" t="str">
        <f>IF('Australian Transaction'!E260= "","",'Australian Transaction'!E260)</f>
        <v/>
      </c>
      <c r="F260" s="23"/>
      <c r="G260" s="28" t="str">
        <f t="shared" si="23"/>
        <v/>
      </c>
      <c r="H260" s="28" t="str">
        <f>IF(A260="","",COUNTIF($G$2:G260,G260))</f>
        <v/>
      </c>
      <c r="I260" s="28" t="str">
        <f t="shared" si="24"/>
        <v/>
      </c>
      <c r="J260" s="28" t="str">
        <f>IF(G260="","",IF(COUNTIF($G$2:G260,G260)&gt;1,SUMIF($A$2:A260,G260,$C$2:C260),C260))</f>
        <v/>
      </c>
      <c r="K260" s="45" t="str">
        <f>IF(G260="","",IF(COUNTIF($G$2:G260,G260)&gt;1,SUMIF($A$2:A260,G260,$D$2:D260),D260) +SUMIF($G$2:G260,G260,$M$2:M260))</f>
        <v/>
      </c>
      <c r="L260" s="45" t="str">
        <f t="shared" si="25"/>
        <v/>
      </c>
      <c r="M260" s="46" t="str">
        <f>IF(G260="","",IF(B260 = "BUY", 0,(E260-VLOOKUP(CONCATENATE(G260,(H260-1)),$I$2:L259,4,FALSE))*-C260))</f>
        <v/>
      </c>
    </row>
    <row r="261" spans="1:13" ht="15" thickBot="1" x14ac:dyDescent="0.35">
      <c r="A261" s="27" t="str">
        <f>IF('Australian Transaction'!A261= "","",'Australian Transaction'!A261)</f>
        <v/>
      </c>
      <c r="B261" s="28" t="str">
        <f>IF('Australian Transaction'!B261= "","",'Australian Transaction'!B261)</f>
        <v/>
      </c>
      <c r="C261" s="28" t="str">
        <f>IF('Australian Transaction'!C261= "","",IF(B261="BUY",'Australian Transaction'!C261,-'Australian Transaction'!C261))</f>
        <v/>
      </c>
      <c r="D261" s="28" t="str">
        <f>IF('Australian Transaction'!D261 = "","",IF($B261 = "BUY", 'Australian Transaction'!D261,-'Australian Transaction'!D261))</f>
        <v/>
      </c>
      <c r="E261" s="28" t="str">
        <f>IF('Australian Transaction'!E261= "","",'Australian Transaction'!E261)</f>
        <v/>
      </c>
      <c r="F261" s="23"/>
      <c r="G261" s="28" t="str">
        <f t="shared" si="23"/>
        <v/>
      </c>
      <c r="H261" s="28" t="str">
        <f>IF(A261="","",COUNTIF($G$2:G261,G261))</f>
        <v/>
      </c>
      <c r="I261" s="28" t="str">
        <f t="shared" si="24"/>
        <v/>
      </c>
      <c r="J261" s="28" t="str">
        <f>IF(G261="","",IF(COUNTIF($G$2:G261,G261)&gt;1,SUMIF($A$2:A261,G261,$C$2:C261),C261))</f>
        <v/>
      </c>
      <c r="K261" s="45" t="str">
        <f>IF(G261="","",IF(COUNTIF($G$2:G261,G261)&gt;1,SUMIF($A$2:A261,G261,$D$2:D261),D261) +SUMIF($G$2:G261,G261,$M$2:M261))</f>
        <v/>
      </c>
      <c r="L261" s="45" t="str">
        <f t="shared" si="25"/>
        <v/>
      </c>
      <c r="M261" s="46" t="str">
        <f>IF(G261="","",IF(B261 = "BUY", 0,(E261-VLOOKUP(CONCATENATE(G261,(H261-1)),$I$2:L260,4,FALSE))*-C261))</f>
        <v/>
      </c>
    </row>
    <row r="262" spans="1:13" ht="15" thickBot="1" x14ac:dyDescent="0.35">
      <c r="A262" s="27" t="str">
        <f>IF('Australian Transaction'!A262= "","",'Australian Transaction'!A262)</f>
        <v/>
      </c>
      <c r="B262" s="28" t="str">
        <f>IF('Australian Transaction'!B262= "","",'Australian Transaction'!B262)</f>
        <v/>
      </c>
      <c r="C262" s="28" t="str">
        <f>IF('Australian Transaction'!C262= "","",IF(B262="BUY",'Australian Transaction'!C262,-'Australian Transaction'!C262))</f>
        <v/>
      </c>
      <c r="D262" s="28" t="str">
        <f>IF('Australian Transaction'!D262 = "","",IF($B262 = "BUY", 'Australian Transaction'!D262,-'Australian Transaction'!D262))</f>
        <v/>
      </c>
      <c r="E262" s="28" t="str">
        <f>IF('Australian Transaction'!E262= "","",'Australian Transaction'!E262)</f>
        <v/>
      </c>
      <c r="F262" s="23"/>
      <c r="G262" s="28" t="str">
        <f t="shared" si="23"/>
        <v/>
      </c>
      <c r="H262" s="28" t="str">
        <f>IF(A262="","",COUNTIF($G$2:G262,G262))</f>
        <v/>
      </c>
      <c r="I262" s="28" t="str">
        <f t="shared" si="24"/>
        <v/>
      </c>
      <c r="J262" s="28" t="str">
        <f>IF(G262="","",IF(COUNTIF($G$2:G262,G262)&gt;1,SUMIF($A$2:A262,G262,$C$2:C262),C262))</f>
        <v/>
      </c>
      <c r="K262" s="45" t="str">
        <f>IF(G262="","",IF(COUNTIF($G$2:G262,G262)&gt;1,SUMIF($A$2:A262,G262,$D$2:D262),D262) +SUMIF($G$2:G262,G262,$M$2:M262))</f>
        <v/>
      </c>
      <c r="L262" s="45" t="str">
        <f t="shared" si="25"/>
        <v/>
      </c>
      <c r="M262" s="46" t="str">
        <f>IF(G262="","",IF(B262 = "BUY", 0,(E262-VLOOKUP(CONCATENATE(G262,(H262-1)),$I$2:L261,4,FALSE))*-C262))</f>
        <v/>
      </c>
    </row>
    <row r="263" spans="1:13" ht="15" thickBot="1" x14ac:dyDescent="0.35">
      <c r="A263" s="27" t="str">
        <f>IF('Australian Transaction'!A263= "","",'Australian Transaction'!A263)</f>
        <v/>
      </c>
      <c r="B263" s="28" t="str">
        <f>IF('Australian Transaction'!B263= "","",'Australian Transaction'!B263)</f>
        <v/>
      </c>
      <c r="C263" s="28" t="str">
        <f>IF('Australian Transaction'!C263= "","",IF(B263="BUY",'Australian Transaction'!C263,-'Australian Transaction'!C263))</f>
        <v/>
      </c>
      <c r="D263" s="28" t="str">
        <f>IF('Australian Transaction'!D263 = "","",IF($B263 = "BUY", 'Australian Transaction'!D263,-'Australian Transaction'!D263))</f>
        <v/>
      </c>
      <c r="E263" s="28" t="str">
        <f>IF('Australian Transaction'!E263= "","",'Australian Transaction'!E263)</f>
        <v/>
      </c>
      <c r="F263" s="23"/>
      <c r="G263" s="28" t="str">
        <f t="shared" si="23"/>
        <v/>
      </c>
      <c r="H263" s="28" t="str">
        <f>IF(A263="","",COUNTIF($G$2:G263,G263))</f>
        <v/>
      </c>
      <c r="I263" s="28" t="str">
        <f t="shared" si="24"/>
        <v/>
      </c>
      <c r="J263" s="28" t="str">
        <f>IF(G263="","",IF(COUNTIF($G$2:G263,G263)&gt;1,SUMIF($A$2:A263,G263,$C$2:C263),C263))</f>
        <v/>
      </c>
      <c r="K263" s="45" t="str">
        <f>IF(G263="","",IF(COUNTIF($G$2:G263,G263)&gt;1,SUMIF($A$2:A263,G263,$D$2:D263),D263) +SUMIF($G$2:G263,G263,$M$2:M263))</f>
        <v/>
      </c>
      <c r="L263" s="45" t="str">
        <f t="shared" si="25"/>
        <v/>
      </c>
      <c r="M263" s="46" t="str">
        <f>IF(G263="","",IF(B263 = "BUY", 0,(E263-VLOOKUP(CONCATENATE(G263,(H263-1)),$I$2:L262,4,FALSE))*-C263))</f>
        <v/>
      </c>
    </row>
    <row r="264" spans="1:13" ht="15" thickBot="1" x14ac:dyDescent="0.35">
      <c r="A264" s="27" t="str">
        <f>IF('Australian Transaction'!A264= "","",'Australian Transaction'!A264)</f>
        <v/>
      </c>
      <c r="B264" s="28" t="str">
        <f>IF('Australian Transaction'!B264= "","",'Australian Transaction'!B264)</f>
        <v/>
      </c>
      <c r="C264" s="28" t="str">
        <f>IF('Australian Transaction'!C264= "","",IF(B264="BUY",'Australian Transaction'!C264,-'Australian Transaction'!C264))</f>
        <v/>
      </c>
      <c r="D264" s="28" t="str">
        <f>IF('Australian Transaction'!D264 = "","",IF($B264 = "BUY", 'Australian Transaction'!D264,-'Australian Transaction'!D264))</f>
        <v/>
      </c>
      <c r="E264" s="28" t="str">
        <f>IF('Australian Transaction'!E264= "","",'Australian Transaction'!E264)</f>
        <v/>
      </c>
      <c r="F264" s="23"/>
      <c r="G264" s="28" t="str">
        <f t="shared" si="23"/>
        <v/>
      </c>
      <c r="H264" s="28" t="str">
        <f>IF(A264="","",COUNTIF($G$2:G264,G264))</f>
        <v/>
      </c>
      <c r="I264" s="28" t="str">
        <f t="shared" si="24"/>
        <v/>
      </c>
      <c r="J264" s="28" t="str">
        <f>IF(G264="","",IF(COUNTIF($G$2:G264,G264)&gt;1,SUMIF($A$2:A264,G264,$C$2:C264),C264))</f>
        <v/>
      </c>
      <c r="K264" s="45" t="str">
        <f>IF(G264="","",IF(COUNTIF($G$2:G264,G264)&gt;1,SUMIF($A$2:A264,G264,$D$2:D264),D264) +SUMIF($G$2:G264,G264,$M$2:M264))</f>
        <v/>
      </c>
      <c r="L264" s="45" t="str">
        <f t="shared" si="25"/>
        <v/>
      </c>
      <c r="M264" s="46" t="str">
        <f>IF(G264="","",IF(B264 = "BUY", 0,(E264-VLOOKUP(CONCATENATE(G264,(H264-1)),$I$2:L263,4,FALSE))*-C264))</f>
        <v/>
      </c>
    </row>
    <row r="265" spans="1:13" ht="15" thickBot="1" x14ac:dyDescent="0.35">
      <c r="A265" s="27" t="str">
        <f>IF('Australian Transaction'!A265= "","",'Australian Transaction'!A265)</f>
        <v/>
      </c>
      <c r="B265" s="28" t="str">
        <f>IF('Australian Transaction'!B265= "","",'Australian Transaction'!B265)</f>
        <v/>
      </c>
      <c r="C265" s="28" t="str">
        <f>IF('Australian Transaction'!C265= "","",IF(B265="BUY",'Australian Transaction'!C265,-'Australian Transaction'!C265))</f>
        <v/>
      </c>
      <c r="D265" s="28" t="str">
        <f>IF('Australian Transaction'!D265 = "","",IF($B265 = "BUY", 'Australian Transaction'!D265,-'Australian Transaction'!D265))</f>
        <v/>
      </c>
      <c r="E265" s="28" t="str">
        <f>IF('Australian Transaction'!E265= "","",'Australian Transaction'!E265)</f>
        <v/>
      </c>
      <c r="F265" s="23"/>
      <c r="G265" s="28" t="str">
        <f t="shared" si="23"/>
        <v/>
      </c>
      <c r="H265" s="28" t="str">
        <f>IF(A265="","",COUNTIF($G$2:G265,G265))</f>
        <v/>
      </c>
      <c r="I265" s="28" t="str">
        <f t="shared" si="24"/>
        <v/>
      </c>
      <c r="J265" s="28" t="str">
        <f>IF(G265="","",IF(COUNTIF($G$2:G265,G265)&gt;1,SUMIF($A$2:A265,G265,$C$2:C265),C265))</f>
        <v/>
      </c>
      <c r="K265" s="45" t="str">
        <f>IF(G265="","",IF(COUNTIF($G$2:G265,G265)&gt;1,SUMIF($A$2:A265,G265,$D$2:D265),D265) +SUMIF($G$2:G265,G265,$M$2:M265))</f>
        <v/>
      </c>
      <c r="L265" s="45" t="str">
        <f t="shared" si="25"/>
        <v/>
      </c>
      <c r="M265" s="46" t="str">
        <f>IF(G265="","",IF(B265 = "BUY", 0,(E265-VLOOKUP(CONCATENATE(G265,(H265-1)),$I$2:L264,4,FALSE))*-C265))</f>
        <v/>
      </c>
    </row>
    <row r="266" spans="1:13" ht="15" thickBot="1" x14ac:dyDescent="0.35">
      <c r="A266" s="27" t="str">
        <f>IF('Australian Transaction'!A266= "","",'Australian Transaction'!A266)</f>
        <v/>
      </c>
      <c r="B266" s="28" t="str">
        <f>IF('Australian Transaction'!B266= "","",'Australian Transaction'!B266)</f>
        <v/>
      </c>
      <c r="C266" s="28" t="str">
        <f>IF('Australian Transaction'!C266= "","",IF(B266="BUY",'Australian Transaction'!C266,-'Australian Transaction'!C266))</f>
        <v/>
      </c>
      <c r="D266" s="28" t="str">
        <f>IF('Australian Transaction'!D266 = "","",IF($B266 = "BUY", 'Australian Transaction'!D266,-'Australian Transaction'!D266))</f>
        <v/>
      </c>
      <c r="E266" s="28" t="str">
        <f>IF('Australian Transaction'!E266= "","",'Australian Transaction'!E266)</f>
        <v/>
      </c>
      <c r="F266" s="23"/>
      <c r="G266" s="28" t="str">
        <f t="shared" si="23"/>
        <v/>
      </c>
      <c r="H266" s="28" t="str">
        <f>IF(A266="","",COUNTIF($G$2:G266,G266))</f>
        <v/>
      </c>
      <c r="I266" s="28" t="str">
        <f t="shared" si="24"/>
        <v/>
      </c>
      <c r="J266" s="28" t="str">
        <f>IF(G266="","",IF(COUNTIF($G$2:G266,G266)&gt;1,SUMIF($A$2:A266,G266,$C$2:C266),C266))</f>
        <v/>
      </c>
      <c r="K266" s="45" t="str">
        <f>IF(G266="","",IF(COUNTIF($G$2:G266,G266)&gt;1,SUMIF($A$2:A266,G266,$D$2:D266),D266) +SUMIF($G$2:G266,G266,$M$2:M266))</f>
        <v/>
      </c>
      <c r="L266" s="45" t="str">
        <f t="shared" si="25"/>
        <v/>
      </c>
      <c r="M266" s="46" t="str">
        <f>IF(G266="","",IF(B266 = "BUY", 0,(E266-VLOOKUP(CONCATENATE(G266,(H266-1)),$I$2:L265,4,FALSE))*-C266))</f>
        <v/>
      </c>
    </row>
    <row r="267" spans="1:13" ht="15" thickBot="1" x14ac:dyDescent="0.35">
      <c r="A267" s="27" t="str">
        <f>IF('Australian Transaction'!A267= "","",'Australian Transaction'!A267)</f>
        <v/>
      </c>
      <c r="B267" s="28" t="str">
        <f>IF('Australian Transaction'!B267= "","",'Australian Transaction'!B267)</f>
        <v/>
      </c>
      <c r="C267" s="28" t="str">
        <f>IF('Australian Transaction'!C267= "","",IF(B267="BUY",'Australian Transaction'!C267,-'Australian Transaction'!C267))</f>
        <v/>
      </c>
      <c r="D267" s="28" t="str">
        <f>IF('Australian Transaction'!D267 = "","",IF($B267 = "BUY", 'Australian Transaction'!D267,-'Australian Transaction'!D267))</f>
        <v/>
      </c>
      <c r="E267" s="28" t="str">
        <f>IF('Australian Transaction'!E267= "","",'Australian Transaction'!E267)</f>
        <v/>
      </c>
      <c r="F267" s="23"/>
      <c r="G267" s="28" t="str">
        <f t="shared" si="23"/>
        <v/>
      </c>
      <c r="H267" s="28" t="str">
        <f>IF(A267="","",COUNTIF($G$2:G267,G267))</f>
        <v/>
      </c>
      <c r="I267" s="28" t="str">
        <f t="shared" si="24"/>
        <v/>
      </c>
      <c r="J267" s="28" t="str">
        <f>IF(G267="","",IF(COUNTIF($G$2:G267,G267)&gt;1,SUMIF($A$2:A267,G267,$C$2:C267),C267))</f>
        <v/>
      </c>
      <c r="K267" s="45" t="str">
        <f>IF(G267="","",IF(COUNTIF($G$2:G267,G267)&gt;1,SUMIF($A$2:A267,G267,$D$2:D267),D267) +SUMIF($G$2:G267,G267,$M$2:M267))</f>
        <v/>
      </c>
      <c r="L267" s="45" t="str">
        <f t="shared" si="25"/>
        <v/>
      </c>
      <c r="M267" s="46" t="str">
        <f>IF(G267="","",IF(B267 = "BUY", 0,(E267-VLOOKUP(CONCATENATE(G267,(H267-1)),$I$2:L266,4,FALSE))*-C267))</f>
        <v/>
      </c>
    </row>
    <row r="268" spans="1:13" ht="15" thickBot="1" x14ac:dyDescent="0.35">
      <c r="A268" s="27" t="str">
        <f>IF('Australian Transaction'!A268= "","",'Australian Transaction'!A268)</f>
        <v/>
      </c>
      <c r="B268" s="28" t="str">
        <f>IF('Australian Transaction'!B268= "","",'Australian Transaction'!B268)</f>
        <v/>
      </c>
      <c r="C268" s="28" t="str">
        <f>IF('Australian Transaction'!C268= "","",IF(B268="BUY",'Australian Transaction'!C268,-'Australian Transaction'!C268))</f>
        <v/>
      </c>
      <c r="D268" s="28" t="str">
        <f>IF('Australian Transaction'!D268 = "","",IF($B268 = "BUY", 'Australian Transaction'!D268,-'Australian Transaction'!D268))</f>
        <v/>
      </c>
      <c r="E268" s="28" t="str">
        <f>IF('Australian Transaction'!E268= "","",'Australian Transaction'!E268)</f>
        <v/>
      </c>
      <c r="F268" s="23"/>
      <c r="G268" s="28" t="str">
        <f t="shared" si="23"/>
        <v/>
      </c>
      <c r="H268" s="28" t="str">
        <f>IF(A268="","",COUNTIF($G$2:G268,G268))</f>
        <v/>
      </c>
      <c r="I268" s="28" t="str">
        <f t="shared" si="24"/>
        <v/>
      </c>
      <c r="J268" s="28" t="str">
        <f>IF(G268="","",IF(COUNTIF($G$2:G268,G268)&gt;1,SUMIF($A$2:A268,G268,$C$2:C268),C268))</f>
        <v/>
      </c>
      <c r="K268" s="45" t="str">
        <f>IF(G268="","",IF(COUNTIF($G$2:G268,G268)&gt;1,SUMIF($A$2:A268,G268,$D$2:D268),D268) +SUMIF($G$2:G268,G268,$M$2:M268))</f>
        <v/>
      </c>
      <c r="L268" s="45" t="str">
        <f t="shared" si="25"/>
        <v/>
      </c>
      <c r="M268" s="46" t="str">
        <f>IF(G268="","",IF(B268 = "BUY", 0,(E268-VLOOKUP(CONCATENATE(G268,(H268-1)),$I$2:L267,4,FALSE))*-C268))</f>
        <v/>
      </c>
    </row>
    <row r="269" spans="1:13" ht="15" thickBot="1" x14ac:dyDescent="0.35">
      <c r="A269" s="27" t="str">
        <f>IF('Australian Transaction'!A269= "","",'Australian Transaction'!A269)</f>
        <v/>
      </c>
      <c r="B269" s="28" t="str">
        <f>IF('Australian Transaction'!B269= "","",'Australian Transaction'!B269)</f>
        <v/>
      </c>
      <c r="C269" s="28" t="str">
        <f>IF('Australian Transaction'!C269= "","",IF(B269="BUY",'Australian Transaction'!C269,-'Australian Transaction'!C269))</f>
        <v/>
      </c>
      <c r="D269" s="28" t="str">
        <f>IF('Australian Transaction'!D269 = "","",IF($B269 = "BUY", 'Australian Transaction'!D269,-'Australian Transaction'!D269))</f>
        <v/>
      </c>
      <c r="E269" s="28" t="str">
        <f>IF('Australian Transaction'!E269= "","",'Australian Transaction'!E269)</f>
        <v/>
      </c>
      <c r="F269" s="23"/>
      <c r="G269" s="28" t="str">
        <f t="shared" si="23"/>
        <v/>
      </c>
      <c r="H269" s="28" t="str">
        <f>IF(A269="","",COUNTIF($G$2:G269,G269))</f>
        <v/>
      </c>
      <c r="I269" s="28" t="str">
        <f t="shared" si="24"/>
        <v/>
      </c>
      <c r="J269" s="28" t="str">
        <f>IF(G269="","",IF(COUNTIF($G$2:G269,G269)&gt;1,SUMIF($A$2:A269,G269,$C$2:C269),C269))</f>
        <v/>
      </c>
      <c r="K269" s="45" t="str">
        <f>IF(G269="","",IF(COUNTIF($G$2:G269,G269)&gt;1,SUMIF($A$2:A269,G269,$D$2:D269),D269) +SUMIF($G$2:G269,G269,$M$2:M269))</f>
        <v/>
      </c>
      <c r="L269" s="45" t="str">
        <f t="shared" si="25"/>
        <v/>
      </c>
      <c r="M269" s="46" t="str">
        <f>IF(G269="","",IF(B269 = "BUY", 0,(E269-VLOOKUP(CONCATENATE(G269,(H269-1)),$I$2:L268,4,FALSE))*-C269))</f>
        <v/>
      </c>
    </row>
    <row r="270" spans="1:13" ht="15" thickBot="1" x14ac:dyDescent="0.35">
      <c r="A270" s="27" t="str">
        <f>IF('Australian Transaction'!A270= "","",'Australian Transaction'!A270)</f>
        <v/>
      </c>
      <c r="B270" s="28" t="str">
        <f>IF('Australian Transaction'!B270= "","",'Australian Transaction'!B270)</f>
        <v/>
      </c>
      <c r="C270" s="28" t="str">
        <f>IF('Australian Transaction'!C270= "","",IF(B270="BUY",'Australian Transaction'!C270,-'Australian Transaction'!C270))</f>
        <v/>
      </c>
      <c r="D270" s="28" t="str">
        <f>IF('Australian Transaction'!D270 = "","",IF($B270 = "BUY", 'Australian Transaction'!D270,-'Australian Transaction'!D270))</f>
        <v/>
      </c>
      <c r="E270" s="28" t="str">
        <f>IF('Australian Transaction'!E270= "","",'Australian Transaction'!E270)</f>
        <v/>
      </c>
      <c r="F270" s="23"/>
      <c r="G270" s="28" t="str">
        <f t="shared" si="23"/>
        <v/>
      </c>
      <c r="H270" s="28" t="str">
        <f>IF(A270="","",COUNTIF($G$2:G270,G270))</f>
        <v/>
      </c>
      <c r="I270" s="28" t="str">
        <f t="shared" si="24"/>
        <v/>
      </c>
      <c r="J270" s="28" t="str">
        <f>IF(G270="","",IF(COUNTIF($G$2:G270,G270)&gt;1,SUMIF($A$2:A270,G270,$C$2:C270),C270))</f>
        <v/>
      </c>
      <c r="K270" s="45" t="str">
        <f>IF(G270="","",IF(COUNTIF($G$2:G270,G270)&gt;1,SUMIF($A$2:A270,G270,$D$2:D270),D270) +SUMIF($G$2:G270,G270,$M$2:M270))</f>
        <v/>
      </c>
      <c r="L270" s="45" t="str">
        <f t="shared" si="25"/>
        <v/>
      </c>
      <c r="M270" s="46" t="str">
        <f>IF(G270="","",IF(B270 = "BUY", 0,(E270-VLOOKUP(CONCATENATE(G270,(H270-1)),$I$2:L269,4,FALSE))*-C270))</f>
        <v/>
      </c>
    </row>
    <row r="271" spans="1:13" ht="15" thickBot="1" x14ac:dyDescent="0.35">
      <c r="A271" s="27" t="str">
        <f>IF('Australian Transaction'!A271= "","",'Australian Transaction'!A271)</f>
        <v/>
      </c>
      <c r="B271" s="28" t="str">
        <f>IF('Australian Transaction'!B271= "","",'Australian Transaction'!B271)</f>
        <v/>
      </c>
      <c r="C271" s="28" t="str">
        <f>IF('Australian Transaction'!C271= "","",IF(B271="BUY",'Australian Transaction'!C271,-'Australian Transaction'!C271))</f>
        <v/>
      </c>
      <c r="D271" s="28" t="str">
        <f>IF('Australian Transaction'!D271 = "","",IF($B271 = "BUY", 'Australian Transaction'!D271,-'Australian Transaction'!D271))</f>
        <v/>
      </c>
      <c r="E271" s="28" t="str">
        <f>IF('Australian Transaction'!E271= "","",'Australian Transaction'!E271)</f>
        <v/>
      </c>
      <c r="F271" s="23"/>
      <c r="G271" s="28" t="str">
        <f t="shared" si="23"/>
        <v/>
      </c>
      <c r="H271" s="28" t="str">
        <f>IF(A271="","",COUNTIF($G$2:G271,G271))</f>
        <v/>
      </c>
      <c r="I271" s="28" t="str">
        <f t="shared" si="24"/>
        <v/>
      </c>
      <c r="J271" s="28" t="str">
        <f>IF(G271="","",IF(COUNTIF($G$2:G271,G271)&gt;1,SUMIF($A$2:A271,G271,$C$2:C271),C271))</f>
        <v/>
      </c>
      <c r="K271" s="45" t="str">
        <f>IF(G271="","",IF(COUNTIF($G$2:G271,G271)&gt;1,SUMIF($A$2:A271,G271,$D$2:D271),D271) +SUMIF($G$2:G271,G271,$M$2:M271))</f>
        <v/>
      </c>
      <c r="L271" s="45" t="str">
        <f t="shared" si="25"/>
        <v/>
      </c>
      <c r="M271" s="46" t="str">
        <f>IF(G271="","",IF(B271 = "BUY", 0,(E271-VLOOKUP(CONCATENATE(G271,(H271-1)),$I$2:L270,4,FALSE))*-C271))</f>
        <v/>
      </c>
    </row>
    <row r="272" spans="1:13" ht="15" thickBot="1" x14ac:dyDescent="0.35">
      <c r="A272" s="27" t="str">
        <f>IF('Australian Transaction'!A272= "","",'Australian Transaction'!A272)</f>
        <v/>
      </c>
      <c r="B272" s="28" t="str">
        <f>IF('Australian Transaction'!B272= "","",'Australian Transaction'!B272)</f>
        <v/>
      </c>
      <c r="C272" s="28" t="str">
        <f>IF('Australian Transaction'!C272= "","",IF(B272="BUY",'Australian Transaction'!C272,-'Australian Transaction'!C272))</f>
        <v/>
      </c>
      <c r="D272" s="28" t="str">
        <f>IF('Australian Transaction'!D272 = "","",IF($B272 = "BUY", 'Australian Transaction'!D272,-'Australian Transaction'!D272))</f>
        <v/>
      </c>
      <c r="E272" s="28" t="str">
        <f>IF('Australian Transaction'!E272= "","",'Australian Transaction'!E272)</f>
        <v/>
      </c>
      <c r="F272" s="23"/>
      <c r="G272" s="28" t="str">
        <f t="shared" si="23"/>
        <v/>
      </c>
      <c r="H272" s="28" t="str">
        <f>IF(A272="","",COUNTIF($G$2:G272,G272))</f>
        <v/>
      </c>
      <c r="I272" s="28" t="str">
        <f t="shared" si="24"/>
        <v/>
      </c>
      <c r="J272" s="28" t="str">
        <f>IF(G272="","",IF(COUNTIF($G$2:G272,G272)&gt;1,SUMIF($A$2:A272,G272,$C$2:C272),C272))</f>
        <v/>
      </c>
      <c r="K272" s="45" t="str">
        <f>IF(G272="","",IF(COUNTIF($G$2:G272,G272)&gt;1,SUMIF($A$2:A272,G272,$D$2:D272),D272) +SUMIF($G$2:G272,G272,$M$2:M272))</f>
        <v/>
      </c>
      <c r="L272" s="45" t="str">
        <f t="shared" si="25"/>
        <v/>
      </c>
      <c r="M272" s="46" t="str">
        <f>IF(G272="","",IF(B272 = "BUY", 0,(E272-VLOOKUP(CONCATENATE(G272,(H272-1)),$I$2:L271,4,FALSE))*-C272))</f>
        <v/>
      </c>
    </row>
    <row r="273" spans="1:13" ht="15" thickBot="1" x14ac:dyDescent="0.35">
      <c r="A273" s="27" t="str">
        <f>IF('Australian Transaction'!A273= "","",'Australian Transaction'!A273)</f>
        <v/>
      </c>
      <c r="B273" s="28" t="str">
        <f>IF('Australian Transaction'!B273= "","",'Australian Transaction'!B273)</f>
        <v/>
      </c>
      <c r="C273" s="28" t="str">
        <f>IF('Australian Transaction'!C273= "","",IF(B273="BUY",'Australian Transaction'!C273,-'Australian Transaction'!C273))</f>
        <v/>
      </c>
      <c r="D273" s="28" t="str">
        <f>IF('Australian Transaction'!D273 = "","",IF($B273 = "BUY", 'Australian Transaction'!D273,-'Australian Transaction'!D273))</f>
        <v/>
      </c>
      <c r="E273" s="28" t="str">
        <f>IF('Australian Transaction'!E273= "","",'Australian Transaction'!E273)</f>
        <v/>
      </c>
      <c r="F273" s="23"/>
      <c r="G273" s="28" t="str">
        <f t="shared" si="23"/>
        <v/>
      </c>
      <c r="H273" s="28" t="str">
        <f>IF(A273="","",COUNTIF($G$2:G273,G273))</f>
        <v/>
      </c>
      <c r="I273" s="28" t="str">
        <f t="shared" si="24"/>
        <v/>
      </c>
      <c r="J273" s="28" t="str">
        <f>IF(G273="","",IF(COUNTIF($G$2:G273,G273)&gt;1,SUMIF($A$2:A273,G273,$C$2:C273),C273))</f>
        <v/>
      </c>
      <c r="K273" s="45" t="str">
        <f>IF(G273="","",IF(COUNTIF($G$2:G273,G273)&gt;1,SUMIF($A$2:A273,G273,$D$2:D273),D273) +SUMIF($G$2:G273,G273,$M$2:M273))</f>
        <v/>
      </c>
      <c r="L273" s="45" t="str">
        <f t="shared" si="25"/>
        <v/>
      </c>
      <c r="M273" s="46" t="str">
        <f>IF(G273="","",IF(B273 = "BUY", 0,(E273-VLOOKUP(CONCATENATE(G273,(H273-1)),$I$2:L272,4,FALSE))*-C273))</f>
        <v/>
      </c>
    </row>
    <row r="274" spans="1:13" ht="15" thickBot="1" x14ac:dyDescent="0.35">
      <c r="A274" s="27" t="str">
        <f>IF('Australian Transaction'!A274= "","",'Australian Transaction'!A274)</f>
        <v/>
      </c>
      <c r="B274" s="28" t="str">
        <f>IF('Australian Transaction'!B274= "","",'Australian Transaction'!B274)</f>
        <v/>
      </c>
      <c r="C274" s="28" t="str">
        <f>IF('Australian Transaction'!C274= "","",IF(B274="BUY",'Australian Transaction'!C274,-'Australian Transaction'!C274))</f>
        <v/>
      </c>
      <c r="D274" s="28" t="str">
        <f>IF('Australian Transaction'!D274 = "","",IF($B274 = "BUY", 'Australian Transaction'!D274,-'Australian Transaction'!D274))</f>
        <v/>
      </c>
      <c r="E274" s="28" t="str">
        <f>IF('Australian Transaction'!E274= "","",'Australian Transaction'!E274)</f>
        <v/>
      </c>
      <c r="F274" s="23"/>
      <c r="G274" s="28" t="str">
        <f t="shared" si="23"/>
        <v/>
      </c>
      <c r="H274" s="28" t="str">
        <f>IF(A274="","",COUNTIF($G$2:G274,G274))</f>
        <v/>
      </c>
      <c r="I274" s="28" t="str">
        <f t="shared" si="24"/>
        <v/>
      </c>
      <c r="J274" s="28" t="str">
        <f>IF(G274="","",IF(COUNTIF($G$2:G274,G274)&gt;1,SUMIF($A$2:A274,G274,$C$2:C274),C274))</f>
        <v/>
      </c>
      <c r="K274" s="45" t="str">
        <f>IF(G274="","",IF(COUNTIF($G$2:G274,G274)&gt;1,SUMIF($A$2:A274,G274,$D$2:D274),D274) +SUMIF($G$2:G274,G274,$M$2:M274))</f>
        <v/>
      </c>
      <c r="L274" s="45" t="str">
        <f t="shared" si="25"/>
        <v/>
      </c>
      <c r="M274" s="46" t="str">
        <f>IF(G274="","",IF(B274 = "BUY", 0,(E274-VLOOKUP(CONCATENATE(G274,(H274-1)),$I$2:L273,4,FALSE))*-C274))</f>
        <v/>
      </c>
    </row>
    <row r="275" spans="1:13" ht="15" thickBot="1" x14ac:dyDescent="0.35">
      <c r="A275" s="27" t="str">
        <f>IF('Australian Transaction'!A275= "","",'Australian Transaction'!A275)</f>
        <v/>
      </c>
      <c r="B275" s="28" t="str">
        <f>IF('Australian Transaction'!B275= "","",'Australian Transaction'!B275)</f>
        <v/>
      </c>
      <c r="C275" s="28" t="str">
        <f>IF('Australian Transaction'!C275= "","",IF(B275="BUY",'Australian Transaction'!C275,-'Australian Transaction'!C275))</f>
        <v/>
      </c>
      <c r="D275" s="28" t="str">
        <f>IF('Australian Transaction'!D275 = "","",IF($B275 = "BUY", 'Australian Transaction'!D275,-'Australian Transaction'!D275))</f>
        <v/>
      </c>
      <c r="E275" s="28" t="str">
        <f>IF('Australian Transaction'!E275= "","",'Australian Transaction'!E275)</f>
        <v/>
      </c>
      <c r="F275" s="23"/>
      <c r="G275" s="28" t="str">
        <f t="shared" si="23"/>
        <v/>
      </c>
      <c r="H275" s="28" t="str">
        <f>IF(A275="","",COUNTIF($G$2:G275,G275))</f>
        <v/>
      </c>
      <c r="I275" s="28" t="str">
        <f t="shared" si="24"/>
        <v/>
      </c>
      <c r="J275" s="28" t="str">
        <f>IF(G275="","",IF(COUNTIF($G$2:G275,G275)&gt;1,SUMIF($A$2:A275,G275,$C$2:C275),C275))</f>
        <v/>
      </c>
      <c r="K275" s="45" t="str">
        <f>IF(G275="","",IF(COUNTIF($G$2:G275,G275)&gt;1,SUMIF($A$2:A275,G275,$D$2:D275),D275) +SUMIF($G$2:G275,G275,$M$2:M275))</f>
        <v/>
      </c>
      <c r="L275" s="45" t="str">
        <f t="shared" si="25"/>
        <v/>
      </c>
      <c r="M275" s="46" t="str">
        <f>IF(G275="","",IF(B275 = "BUY", 0,(E275-VLOOKUP(CONCATENATE(G275,(H275-1)),$I$2:L274,4,FALSE))*-C275))</f>
        <v/>
      </c>
    </row>
    <row r="276" spans="1:13" ht="15" thickBot="1" x14ac:dyDescent="0.35">
      <c r="A276" s="27" t="str">
        <f>IF('Australian Transaction'!A276= "","",'Australian Transaction'!A276)</f>
        <v/>
      </c>
      <c r="B276" s="28" t="str">
        <f>IF('Australian Transaction'!B276= "","",'Australian Transaction'!B276)</f>
        <v/>
      </c>
      <c r="C276" s="28" t="str">
        <f>IF('Australian Transaction'!C276= "","",IF(B276="BUY",'Australian Transaction'!C276,-'Australian Transaction'!C276))</f>
        <v/>
      </c>
      <c r="D276" s="28" t="str">
        <f>IF('Australian Transaction'!D276 = "","",IF($B276 = "BUY", 'Australian Transaction'!D276,-'Australian Transaction'!D276))</f>
        <v/>
      </c>
      <c r="E276" s="28" t="str">
        <f>IF('Australian Transaction'!E276= "","",'Australian Transaction'!E276)</f>
        <v/>
      </c>
      <c r="F276" s="23"/>
      <c r="G276" s="28" t="str">
        <f t="shared" si="23"/>
        <v/>
      </c>
      <c r="H276" s="28" t="str">
        <f>IF(A276="","",COUNTIF($G$2:G276,G276))</f>
        <v/>
      </c>
      <c r="I276" s="28" t="str">
        <f t="shared" si="24"/>
        <v/>
      </c>
      <c r="J276" s="28" t="str">
        <f>IF(G276="","",IF(COUNTIF($G$2:G276,G276)&gt;1,SUMIF($A$2:A276,G276,$C$2:C276),C276))</f>
        <v/>
      </c>
      <c r="K276" s="45" t="str">
        <f>IF(G276="","",IF(COUNTIF($G$2:G276,G276)&gt;1,SUMIF($A$2:A276,G276,$D$2:D276),D276) +SUMIF($G$2:G276,G276,$M$2:M276))</f>
        <v/>
      </c>
      <c r="L276" s="45" t="str">
        <f t="shared" si="25"/>
        <v/>
      </c>
      <c r="M276" s="46" t="str">
        <f>IF(G276="","",IF(B276 = "BUY", 0,(E276-VLOOKUP(CONCATENATE(G276,(H276-1)),$I$2:L275,4,FALSE))*-C276))</f>
        <v/>
      </c>
    </row>
    <row r="277" spans="1:13" ht="15" thickBot="1" x14ac:dyDescent="0.35">
      <c r="A277" s="27" t="str">
        <f>IF('Australian Transaction'!A277= "","",'Australian Transaction'!A277)</f>
        <v/>
      </c>
      <c r="B277" s="28" t="str">
        <f>IF('Australian Transaction'!B277= "","",'Australian Transaction'!B277)</f>
        <v/>
      </c>
      <c r="C277" s="28" t="str">
        <f>IF('Australian Transaction'!C277= "","",IF(B277="BUY",'Australian Transaction'!C277,-'Australian Transaction'!C277))</f>
        <v/>
      </c>
      <c r="D277" s="28" t="str">
        <f>IF('Australian Transaction'!D277 = "","",IF($B277 = "BUY", 'Australian Transaction'!D277,-'Australian Transaction'!D277))</f>
        <v/>
      </c>
      <c r="E277" s="28" t="str">
        <f>IF('Australian Transaction'!E277= "","",'Australian Transaction'!E277)</f>
        <v/>
      </c>
      <c r="F277" s="23"/>
      <c r="G277" s="28" t="str">
        <f t="shared" si="23"/>
        <v/>
      </c>
      <c r="H277" s="28" t="str">
        <f>IF(A277="","",COUNTIF($G$2:G277,G277))</f>
        <v/>
      </c>
      <c r="I277" s="28" t="str">
        <f t="shared" si="24"/>
        <v/>
      </c>
      <c r="J277" s="28" t="str">
        <f>IF(G277="","",IF(COUNTIF($G$2:G277,G277)&gt;1,SUMIF($A$2:A277,G277,$C$2:C277),C277))</f>
        <v/>
      </c>
      <c r="K277" s="45" t="str">
        <f>IF(G277="","",IF(COUNTIF($G$2:G277,G277)&gt;1,SUMIF($A$2:A277,G277,$D$2:D277),D277) +SUMIF($G$2:G277,G277,$M$2:M277))</f>
        <v/>
      </c>
      <c r="L277" s="45" t="str">
        <f t="shared" si="25"/>
        <v/>
      </c>
      <c r="M277" s="46" t="str">
        <f>IF(G277="","",IF(B277 = "BUY", 0,(E277-VLOOKUP(CONCATENATE(G277,(H277-1)),$I$2:L276,4,FALSE))*-C277))</f>
        <v/>
      </c>
    </row>
    <row r="278" spans="1:13" ht="15" thickBot="1" x14ac:dyDescent="0.35">
      <c r="A278" s="27" t="str">
        <f>IF('Australian Transaction'!A278= "","",'Australian Transaction'!A278)</f>
        <v/>
      </c>
      <c r="B278" s="28" t="str">
        <f>IF('Australian Transaction'!B278= "","",'Australian Transaction'!B278)</f>
        <v/>
      </c>
      <c r="C278" s="28" t="str">
        <f>IF('Australian Transaction'!C278= "","",IF(B278="BUY",'Australian Transaction'!C278,-'Australian Transaction'!C278))</f>
        <v/>
      </c>
      <c r="D278" s="28" t="str">
        <f>IF('Australian Transaction'!D278 = "","",IF($B278 = "BUY", 'Australian Transaction'!D278,-'Australian Transaction'!D278))</f>
        <v/>
      </c>
      <c r="E278" s="28" t="str">
        <f>IF('Australian Transaction'!E278= "","",'Australian Transaction'!E278)</f>
        <v/>
      </c>
      <c r="F278" s="23"/>
      <c r="G278" s="28" t="str">
        <f t="shared" si="23"/>
        <v/>
      </c>
      <c r="H278" s="28" t="str">
        <f>IF(A278="","",COUNTIF($G$2:G278,G278))</f>
        <v/>
      </c>
      <c r="I278" s="28" t="str">
        <f t="shared" si="24"/>
        <v/>
      </c>
      <c r="J278" s="28" t="str">
        <f>IF(G278="","",IF(COUNTIF($G$2:G278,G278)&gt;1,SUMIF($A$2:A278,G278,$C$2:C278),C278))</f>
        <v/>
      </c>
      <c r="K278" s="45" t="str">
        <f>IF(G278="","",IF(COUNTIF($G$2:G278,G278)&gt;1,SUMIF($A$2:A278,G278,$D$2:D278),D278) +SUMIF($G$2:G278,G278,$M$2:M278))</f>
        <v/>
      </c>
      <c r="L278" s="45" t="str">
        <f t="shared" si="25"/>
        <v/>
      </c>
      <c r="M278" s="46" t="str">
        <f>IF(G278="","",IF(B278 = "BUY", 0,(E278-VLOOKUP(CONCATENATE(G278,(H278-1)),$I$2:L277,4,FALSE))*-C278))</f>
        <v/>
      </c>
    </row>
    <row r="279" spans="1:13" ht="15" thickBot="1" x14ac:dyDescent="0.35">
      <c r="A279" s="27" t="str">
        <f>IF('Australian Transaction'!A279= "","",'Australian Transaction'!A279)</f>
        <v/>
      </c>
      <c r="B279" s="28" t="str">
        <f>IF('Australian Transaction'!B279= "","",'Australian Transaction'!B279)</f>
        <v/>
      </c>
      <c r="C279" s="28" t="str">
        <f>IF('Australian Transaction'!C279= "","",IF(B279="BUY",'Australian Transaction'!C279,-'Australian Transaction'!C279))</f>
        <v/>
      </c>
      <c r="D279" s="28" t="str">
        <f>IF('Australian Transaction'!D279 = "","",IF($B279 = "BUY", 'Australian Transaction'!D279,-'Australian Transaction'!D279))</f>
        <v/>
      </c>
      <c r="E279" s="28" t="str">
        <f>IF('Australian Transaction'!E279= "","",'Australian Transaction'!E279)</f>
        <v/>
      </c>
      <c r="F279" s="23"/>
      <c r="G279" s="28" t="str">
        <f t="shared" si="23"/>
        <v/>
      </c>
      <c r="H279" s="28" t="str">
        <f>IF(A279="","",COUNTIF($G$2:G279,G279))</f>
        <v/>
      </c>
      <c r="I279" s="28" t="str">
        <f t="shared" si="24"/>
        <v/>
      </c>
      <c r="J279" s="28" t="str">
        <f>IF(G279="","",IF(COUNTIF($G$2:G279,G279)&gt;1,SUMIF($A$2:A279,G279,$C$2:C279),C279))</f>
        <v/>
      </c>
      <c r="K279" s="45" t="str">
        <f>IF(G279="","",IF(COUNTIF($G$2:G279,G279)&gt;1,SUMIF($A$2:A279,G279,$D$2:D279),D279) +SUMIF($G$2:G279,G279,$M$2:M279))</f>
        <v/>
      </c>
      <c r="L279" s="45" t="str">
        <f t="shared" si="25"/>
        <v/>
      </c>
      <c r="M279" s="46" t="str">
        <f>IF(G279="","",IF(B279 = "BUY", 0,(E279-VLOOKUP(CONCATENATE(G279,(H279-1)),$I$2:L278,4,FALSE))*-C279))</f>
        <v/>
      </c>
    </row>
    <row r="280" spans="1:13" ht="15" thickBot="1" x14ac:dyDescent="0.35">
      <c r="A280" s="27" t="str">
        <f>IF('Australian Transaction'!A280= "","",'Australian Transaction'!A280)</f>
        <v/>
      </c>
      <c r="B280" s="28" t="str">
        <f>IF('Australian Transaction'!B280= "","",'Australian Transaction'!B280)</f>
        <v/>
      </c>
      <c r="C280" s="28" t="str">
        <f>IF('Australian Transaction'!C280= "","",IF(B280="BUY",'Australian Transaction'!C280,-'Australian Transaction'!C280))</f>
        <v/>
      </c>
      <c r="D280" s="28" t="str">
        <f>IF('Australian Transaction'!D280 = "","",IF($B280 = "BUY", 'Australian Transaction'!D280,-'Australian Transaction'!D280))</f>
        <v/>
      </c>
      <c r="E280" s="28" t="str">
        <f>IF('Australian Transaction'!E280= "","",'Australian Transaction'!E280)</f>
        <v/>
      </c>
      <c r="F280" s="23"/>
      <c r="G280" s="28" t="str">
        <f t="shared" si="23"/>
        <v/>
      </c>
      <c r="H280" s="28" t="str">
        <f>IF(A280="","",COUNTIF($G$2:G280,G280))</f>
        <v/>
      </c>
      <c r="I280" s="28" t="str">
        <f t="shared" si="24"/>
        <v/>
      </c>
      <c r="J280" s="28" t="str">
        <f>IF(G280="","",IF(COUNTIF($G$2:G280,G280)&gt;1,SUMIF($A$2:A280,G280,$C$2:C280),C280))</f>
        <v/>
      </c>
      <c r="K280" s="45" t="str">
        <f>IF(G280="","",IF(COUNTIF($G$2:G280,G280)&gt;1,SUMIF($A$2:A280,G280,$D$2:D280),D280) +SUMIF($G$2:G280,G280,$M$2:M280))</f>
        <v/>
      </c>
      <c r="L280" s="45" t="str">
        <f t="shared" si="25"/>
        <v/>
      </c>
      <c r="M280" s="46" t="str">
        <f>IF(G280="","",IF(B280 = "BUY", 0,(E280-VLOOKUP(CONCATENATE(G280,(H280-1)),$I$2:L279,4,FALSE))*-C280))</f>
        <v/>
      </c>
    </row>
    <row r="281" spans="1:13" ht="15" thickBot="1" x14ac:dyDescent="0.35">
      <c r="A281" s="27" t="str">
        <f>IF('Australian Transaction'!A281= "","",'Australian Transaction'!A281)</f>
        <v/>
      </c>
      <c r="B281" s="28" t="str">
        <f>IF('Australian Transaction'!B281= "","",'Australian Transaction'!B281)</f>
        <v/>
      </c>
      <c r="C281" s="28" t="str">
        <f>IF('Australian Transaction'!C281= "","",IF(B281="BUY",'Australian Transaction'!C281,-'Australian Transaction'!C281))</f>
        <v/>
      </c>
      <c r="D281" s="28" t="str">
        <f>IF('Australian Transaction'!D281 = "","",IF($B281 = "BUY", 'Australian Transaction'!D281,-'Australian Transaction'!D281))</f>
        <v/>
      </c>
      <c r="E281" s="28" t="str">
        <f>IF('Australian Transaction'!E281= "","",'Australian Transaction'!E281)</f>
        <v/>
      </c>
      <c r="F281" s="23"/>
      <c r="G281" s="28" t="str">
        <f t="shared" si="23"/>
        <v/>
      </c>
      <c r="H281" s="28" t="str">
        <f>IF(A281="","",COUNTIF($G$2:G281,G281))</f>
        <v/>
      </c>
      <c r="I281" s="28" t="str">
        <f t="shared" si="24"/>
        <v/>
      </c>
      <c r="J281" s="28" t="str">
        <f>IF(G281="","",IF(COUNTIF($G$2:G281,G281)&gt;1,SUMIF($A$2:A281,G281,$C$2:C281),C281))</f>
        <v/>
      </c>
      <c r="K281" s="45" t="str">
        <f>IF(G281="","",IF(COUNTIF($G$2:G281,G281)&gt;1,SUMIF($A$2:A281,G281,$D$2:D281),D281) +SUMIF($G$2:G281,G281,$M$2:M281))</f>
        <v/>
      </c>
      <c r="L281" s="45" t="str">
        <f t="shared" si="25"/>
        <v/>
      </c>
      <c r="M281" s="46" t="str">
        <f>IF(G281="","",IF(B281 = "BUY", 0,(E281-VLOOKUP(CONCATENATE(G281,(H281-1)),$I$2:L280,4,FALSE))*-C281))</f>
        <v/>
      </c>
    </row>
    <row r="282" spans="1:13" ht="15" thickBot="1" x14ac:dyDescent="0.35">
      <c r="A282" s="27" t="str">
        <f>IF('Australian Transaction'!A282= "","",'Australian Transaction'!A282)</f>
        <v/>
      </c>
      <c r="B282" s="28" t="str">
        <f>IF('Australian Transaction'!B282= "","",'Australian Transaction'!B282)</f>
        <v/>
      </c>
      <c r="C282" s="28" t="str">
        <f>IF('Australian Transaction'!C282= "","",IF(B282="BUY",'Australian Transaction'!C282,-'Australian Transaction'!C282))</f>
        <v/>
      </c>
      <c r="D282" s="28" t="str">
        <f>IF('Australian Transaction'!D282 = "","",IF($B282 = "BUY", 'Australian Transaction'!D282,-'Australian Transaction'!D282))</f>
        <v/>
      </c>
      <c r="E282" s="28" t="str">
        <f>IF('Australian Transaction'!E282= "","",'Australian Transaction'!E282)</f>
        <v/>
      </c>
      <c r="F282" s="23"/>
      <c r="G282" s="28" t="str">
        <f t="shared" si="23"/>
        <v/>
      </c>
      <c r="H282" s="28" t="str">
        <f>IF(A282="","",COUNTIF($G$2:G282,G282))</f>
        <v/>
      </c>
      <c r="I282" s="28" t="str">
        <f t="shared" si="24"/>
        <v/>
      </c>
      <c r="J282" s="28" t="str">
        <f>IF(G282="","",IF(COUNTIF($G$2:G282,G282)&gt;1,SUMIF($A$2:A282,G282,$C$2:C282),C282))</f>
        <v/>
      </c>
      <c r="K282" s="45" t="str">
        <f>IF(G282="","",IF(COUNTIF($G$2:G282,G282)&gt;1,SUMIF($A$2:A282,G282,$D$2:D282),D282) +SUMIF($G$2:G282,G282,$M$2:M282))</f>
        <v/>
      </c>
      <c r="L282" s="45" t="str">
        <f t="shared" si="25"/>
        <v/>
      </c>
      <c r="M282" s="46" t="str">
        <f>IF(G282="","",IF(B282 = "BUY", 0,(E282-VLOOKUP(CONCATENATE(G282,(H282-1)),$I$2:L281,4,FALSE))*-C282))</f>
        <v/>
      </c>
    </row>
    <row r="283" spans="1:13" ht="15" thickBot="1" x14ac:dyDescent="0.35">
      <c r="A283" s="27" t="str">
        <f>IF('Australian Transaction'!A283= "","",'Australian Transaction'!A283)</f>
        <v/>
      </c>
      <c r="B283" s="28" t="str">
        <f>IF('Australian Transaction'!B283= "","",'Australian Transaction'!B283)</f>
        <v/>
      </c>
      <c r="C283" s="28" t="str">
        <f>IF('Australian Transaction'!C283= "","",IF(B283="BUY",'Australian Transaction'!C283,-'Australian Transaction'!C283))</f>
        <v/>
      </c>
      <c r="D283" s="28" t="str">
        <f>IF('Australian Transaction'!D283 = "","",IF($B283 = "BUY", 'Australian Transaction'!D283,-'Australian Transaction'!D283))</f>
        <v/>
      </c>
      <c r="E283" s="28" t="str">
        <f>IF('Australian Transaction'!E283= "","",'Australian Transaction'!E283)</f>
        <v/>
      </c>
      <c r="F283" s="23"/>
      <c r="G283" s="28" t="str">
        <f t="shared" si="23"/>
        <v/>
      </c>
      <c r="H283" s="28" t="str">
        <f>IF(A283="","",COUNTIF($G$2:G283,G283))</f>
        <v/>
      </c>
      <c r="I283" s="28" t="str">
        <f t="shared" si="24"/>
        <v/>
      </c>
      <c r="J283" s="28" t="str">
        <f>IF(G283="","",IF(COUNTIF($G$2:G283,G283)&gt;1,SUMIF($A$2:A283,G283,$C$2:C283),C283))</f>
        <v/>
      </c>
      <c r="K283" s="45" t="str">
        <f>IF(G283="","",IF(COUNTIF($G$2:G283,G283)&gt;1,SUMIF($A$2:A283,G283,$D$2:D283),D283) +SUMIF($G$2:G283,G283,$M$2:M283))</f>
        <v/>
      </c>
      <c r="L283" s="45" t="str">
        <f t="shared" si="25"/>
        <v/>
      </c>
      <c r="M283" s="46" t="str">
        <f>IF(G283="","",IF(B283 = "BUY", 0,(E283-VLOOKUP(CONCATENATE(G283,(H283-1)),$I$2:L282,4,FALSE))*-C283))</f>
        <v/>
      </c>
    </row>
    <row r="284" spans="1:13" ht="15" thickBot="1" x14ac:dyDescent="0.35">
      <c r="A284" s="27" t="str">
        <f>IF('Australian Transaction'!A284= "","",'Australian Transaction'!A284)</f>
        <v/>
      </c>
      <c r="B284" s="28" t="str">
        <f>IF('Australian Transaction'!B284= "","",'Australian Transaction'!B284)</f>
        <v/>
      </c>
      <c r="C284" s="28" t="str">
        <f>IF('Australian Transaction'!C284= "","",IF(B284="BUY",'Australian Transaction'!C284,-'Australian Transaction'!C284))</f>
        <v/>
      </c>
      <c r="D284" s="28" t="str">
        <f>IF('Australian Transaction'!D284 = "","",IF($B284 = "BUY", 'Australian Transaction'!D284,-'Australian Transaction'!D284))</f>
        <v/>
      </c>
      <c r="E284" s="28" t="str">
        <f>IF('Australian Transaction'!E284= "","",'Australian Transaction'!E284)</f>
        <v/>
      </c>
      <c r="F284" s="23"/>
      <c r="G284" s="28" t="str">
        <f t="shared" si="23"/>
        <v/>
      </c>
      <c r="H284" s="28" t="str">
        <f>IF(A284="","",COUNTIF($G$2:G284,G284))</f>
        <v/>
      </c>
      <c r="I284" s="28" t="str">
        <f t="shared" si="24"/>
        <v/>
      </c>
      <c r="J284" s="28" t="str">
        <f>IF(G284="","",IF(COUNTIF($G$2:G284,G284)&gt;1,SUMIF($A$2:A284,G284,$C$2:C284),C284))</f>
        <v/>
      </c>
      <c r="K284" s="45" t="str">
        <f>IF(G284="","",IF(COUNTIF($G$2:G284,G284)&gt;1,SUMIF($A$2:A284,G284,$D$2:D284),D284) +SUMIF($G$2:G284,G284,$M$2:M284))</f>
        <v/>
      </c>
      <c r="L284" s="45" t="str">
        <f t="shared" si="25"/>
        <v/>
      </c>
      <c r="M284" s="46" t="str">
        <f>IF(G284="","",IF(B284 = "BUY", 0,(E284-VLOOKUP(CONCATENATE(G284,(H284-1)),$I$2:L283,4,FALSE))*-C284))</f>
        <v/>
      </c>
    </row>
    <row r="285" spans="1:13" ht="15" thickBot="1" x14ac:dyDescent="0.35">
      <c r="A285" s="27" t="str">
        <f>IF('Australian Transaction'!A285= "","",'Australian Transaction'!A285)</f>
        <v/>
      </c>
      <c r="B285" s="28" t="str">
        <f>IF('Australian Transaction'!B285= "","",'Australian Transaction'!B285)</f>
        <v/>
      </c>
      <c r="C285" s="28" t="str">
        <f>IF('Australian Transaction'!C285= "","",IF(B285="BUY",'Australian Transaction'!C285,-'Australian Transaction'!C285))</f>
        <v/>
      </c>
      <c r="D285" s="28" t="str">
        <f>IF('Australian Transaction'!D285 = "","",IF($B285 = "BUY", 'Australian Transaction'!D285,-'Australian Transaction'!D285))</f>
        <v/>
      </c>
      <c r="E285" s="28" t="str">
        <f>IF('Australian Transaction'!E285= "","",'Australian Transaction'!E285)</f>
        <v/>
      </c>
      <c r="F285" s="23"/>
      <c r="G285" s="28" t="str">
        <f t="shared" si="23"/>
        <v/>
      </c>
      <c r="H285" s="28" t="str">
        <f>IF(A285="","",COUNTIF($G$2:G285,G285))</f>
        <v/>
      </c>
      <c r="I285" s="28" t="str">
        <f t="shared" si="24"/>
        <v/>
      </c>
      <c r="J285" s="28" t="str">
        <f>IF(G285="","",IF(COUNTIF($G$2:G285,G285)&gt;1,SUMIF($A$2:A285,G285,$C$2:C285),C285))</f>
        <v/>
      </c>
      <c r="K285" s="45" t="str">
        <f>IF(G285="","",IF(COUNTIF($G$2:G285,G285)&gt;1,SUMIF($A$2:A285,G285,$D$2:D285),D285) +SUMIF($G$2:G285,G285,$M$2:M285))</f>
        <v/>
      </c>
      <c r="L285" s="45" t="str">
        <f t="shared" si="25"/>
        <v/>
      </c>
      <c r="M285" s="46" t="str">
        <f>IF(G285="","",IF(B285 = "BUY", 0,(E285-VLOOKUP(CONCATENATE(G285,(H285-1)),$I$2:L284,4,FALSE))*-C285))</f>
        <v/>
      </c>
    </row>
    <row r="286" spans="1:13" ht="15" thickBot="1" x14ac:dyDescent="0.35">
      <c r="A286" s="27" t="str">
        <f>IF('Australian Transaction'!A286= "","",'Australian Transaction'!A286)</f>
        <v/>
      </c>
      <c r="B286" s="28" t="str">
        <f>IF('Australian Transaction'!B286= "","",'Australian Transaction'!B286)</f>
        <v/>
      </c>
      <c r="C286" s="28" t="str">
        <f>IF('Australian Transaction'!C286= "","",IF(B286="BUY",'Australian Transaction'!C286,-'Australian Transaction'!C286))</f>
        <v/>
      </c>
      <c r="D286" s="28" t="str">
        <f>IF('Australian Transaction'!D286 = "","",IF($B286 = "BUY", 'Australian Transaction'!D286,-'Australian Transaction'!D286))</f>
        <v/>
      </c>
      <c r="E286" s="28" t="str">
        <f>IF('Australian Transaction'!E286= "","",'Australian Transaction'!E286)</f>
        <v/>
      </c>
      <c r="F286" s="23"/>
      <c r="G286" s="28" t="str">
        <f t="shared" si="23"/>
        <v/>
      </c>
      <c r="H286" s="28" t="str">
        <f>IF(A286="","",COUNTIF($G$2:G286,G286))</f>
        <v/>
      </c>
      <c r="I286" s="28" t="str">
        <f t="shared" si="24"/>
        <v/>
      </c>
      <c r="J286" s="28" t="str">
        <f>IF(G286="","",IF(COUNTIF($G$2:G286,G286)&gt;1,SUMIF($A$2:A286,G286,$C$2:C286),C286))</f>
        <v/>
      </c>
      <c r="K286" s="45" t="str">
        <f>IF(G286="","",IF(COUNTIF($G$2:G286,G286)&gt;1,SUMIF($A$2:A286,G286,$D$2:D286),D286) +SUMIF($G$2:G286,G286,$M$2:M286))</f>
        <v/>
      </c>
      <c r="L286" s="45" t="str">
        <f t="shared" si="25"/>
        <v/>
      </c>
      <c r="M286" s="46" t="str">
        <f>IF(G286="","",IF(B286 = "BUY", 0,(E286-VLOOKUP(CONCATENATE(G286,(H286-1)),$I$2:L285,4,FALSE))*-C286))</f>
        <v/>
      </c>
    </row>
    <row r="287" spans="1:13" ht="15" thickBot="1" x14ac:dyDescent="0.35">
      <c r="A287" s="27" t="str">
        <f>IF('Australian Transaction'!A287= "","",'Australian Transaction'!A287)</f>
        <v/>
      </c>
      <c r="B287" s="28" t="str">
        <f>IF('Australian Transaction'!B287= "","",'Australian Transaction'!B287)</f>
        <v/>
      </c>
      <c r="C287" s="28" t="str">
        <f>IF('Australian Transaction'!C287= "","",IF(B287="BUY",'Australian Transaction'!C287,-'Australian Transaction'!C287))</f>
        <v/>
      </c>
      <c r="D287" s="28" t="str">
        <f>IF('Australian Transaction'!D287 = "","",IF($B287 = "BUY", 'Australian Transaction'!D287,-'Australian Transaction'!D287))</f>
        <v/>
      </c>
      <c r="E287" s="28" t="str">
        <f>IF('Australian Transaction'!E287= "","",'Australian Transaction'!E287)</f>
        <v/>
      </c>
      <c r="F287" s="23"/>
      <c r="G287" s="28" t="str">
        <f t="shared" si="23"/>
        <v/>
      </c>
      <c r="H287" s="28" t="str">
        <f>IF(A287="","",COUNTIF($G$2:G287,G287))</f>
        <v/>
      </c>
      <c r="I287" s="28" t="str">
        <f t="shared" si="24"/>
        <v/>
      </c>
      <c r="J287" s="28" t="str">
        <f>IF(G287="","",IF(COUNTIF($G$2:G287,G287)&gt;1,SUMIF($A$2:A287,G287,$C$2:C287),C287))</f>
        <v/>
      </c>
      <c r="K287" s="45" t="str">
        <f>IF(G287="","",IF(COUNTIF($G$2:G287,G287)&gt;1,SUMIF($A$2:A287,G287,$D$2:D287),D287) +SUMIF($G$2:G287,G287,$M$2:M287))</f>
        <v/>
      </c>
      <c r="L287" s="45" t="str">
        <f t="shared" si="25"/>
        <v/>
      </c>
      <c r="M287" s="46" t="str">
        <f>IF(G287="","",IF(B287 = "BUY", 0,(E287-VLOOKUP(CONCATENATE(G287,(H287-1)),$I$2:L286,4,FALSE))*-C287))</f>
        <v/>
      </c>
    </row>
    <row r="288" spans="1:13" ht="15" thickBot="1" x14ac:dyDescent="0.35">
      <c r="A288" s="27" t="str">
        <f>IF('Australian Transaction'!A288= "","",'Australian Transaction'!A288)</f>
        <v/>
      </c>
      <c r="B288" s="28" t="str">
        <f>IF('Australian Transaction'!B288= "","",'Australian Transaction'!B288)</f>
        <v/>
      </c>
      <c r="C288" s="28" t="str">
        <f>IF('Australian Transaction'!C288= "","",IF(B288="BUY",'Australian Transaction'!C288,-'Australian Transaction'!C288))</f>
        <v/>
      </c>
      <c r="D288" s="28" t="str">
        <f>IF('Australian Transaction'!D288 = "","",IF($B288 = "BUY", 'Australian Transaction'!D288,-'Australian Transaction'!D288))</f>
        <v/>
      </c>
      <c r="E288" s="28" t="str">
        <f>IF('Australian Transaction'!E288= "","",'Australian Transaction'!E288)</f>
        <v/>
      </c>
      <c r="F288" s="23"/>
      <c r="G288" s="28" t="str">
        <f t="shared" si="23"/>
        <v/>
      </c>
      <c r="H288" s="28" t="str">
        <f>IF(A288="","",COUNTIF($G$2:G288,G288))</f>
        <v/>
      </c>
      <c r="I288" s="28" t="str">
        <f t="shared" si="24"/>
        <v/>
      </c>
      <c r="J288" s="28" t="str">
        <f>IF(G288="","",IF(COUNTIF($G$2:G288,G288)&gt;1,SUMIF($A$2:A288,G288,$C$2:C288),C288))</f>
        <v/>
      </c>
      <c r="K288" s="45" t="str">
        <f>IF(G288="","",IF(COUNTIF($G$2:G288,G288)&gt;1,SUMIF($A$2:A288,G288,$D$2:D288),D288) +SUMIF($G$2:G288,G288,$M$2:M288))</f>
        <v/>
      </c>
      <c r="L288" s="45" t="str">
        <f t="shared" si="25"/>
        <v/>
      </c>
      <c r="M288" s="46" t="str">
        <f>IF(G288="","",IF(B288 = "BUY", 0,(E288-VLOOKUP(CONCATENATE(G288,(H288-1)),$I$2:L287,4,FALSE))*-C288))</f>
        <v/>
      </c>
    </row>
    <row r="289" spans="1:13" ht="15" thickBot="1" x14ac:dyDescent="0.35">
      <c r="A289" s="27" t="str">
        <f>IF('Australian Transaction'!A289= "","",'Australian Transaction'!A289)</f>
        <v/>
      </c>
      <c r="B289" s="28" t="str">
        <f>IF('Australian Transaction'!B289= "","",'Australian Transaction'!B289)</f>
        <v/>
      </c>
      <c r="C289" s="28" t="str">
        <f>IF('Australian Transaction'!C289= "","",IF(B289="BUY",'Australian Transaction'!C289,-'Australian Transaction'!C289))</f>
        <v/>
      </c>
      <c r="D289" s="28" t="str">
        <f>IF('Australian Transaction'!D289 = "","",IF($B289 = "BUY", 'Australian Transaction'!D289,-'Australian Transaction'!D289))</f>
        <v/>
      </c>
      <c r="E289" s="28" t="str">
        <f>IF('Australian Transaction'!E289= "","",'Australian Transaction'!E289)</f>
        <v/>
      </c>
      <c r="F289" s="23"/>
      <c r="G289" s="28" t="str">
        <f t="shared" si="23"/>
        <v/>
      </c>
      <c r="H289" s="28" t="str">
        <f>IF(A289="","",COUNTIF($G$2:G289,G289))</f>
        <v/>
      </c>
      <c r="I289" s="28" t="str">
        <f t="shared" si="24"/>
        <v/>
      </c>
      <c r="J289" s="28" t="str">
        <f>IF(G289="","",IF(COUNTIF($G$2:G289,G289)&gt;1,SUMIF($A$2:A289,G289,$C$2:C289),C289))</f>
        <v/>
      </c>
      <c r="K289" s="45" t="str">
        <f>IF(G289="","",IF(COUNTIF($G$2:G289,G289)&gt;1,SUMIF($A$2:A289,G289,$D$2:D289),D289) +SUMIF($G$2:G289,G289,$M$2:M289))</f>
        <v/>
      </c>
      <c r="L289" s="45" t="str">
        <f t="shared" si="25"/>
        <v/>
      </c>
      <c r="M289" s="46" t="str">
        <f>IF(G289="","",IF(B289 = "BUY", 0,(E289-VLOOKUP(CONCATENATE(G289,(H289-1)),$I$2:L288,4,FALSE))*-C289))</f>
        <v/>
      </c>
    </row>
    <row r="290" spans="1:13" ht="15" thickBot="1" x14ac:dyDescent="0.35">
      <c r="A290" s="27" t="str">
        <f>IF('Australian Transaction'!A290= "","",'Australian Transaction'!A290)</f>
        <v/>
      </c>
      <c r="B290" s="28" t="str">
        <f>IF('Australian Transaction'!B290= "","",'Australian Transaction'!B290)</f>
        <v/>
      </c>
      <c r="C290" s="28" t="str">
        <f>IF('Australian Transaction'!C290= "","",IF(B290="BUY",'Australian Transaction'!C290,-'Australian Transaction'!C290))</f>
        <v/>
      </c>
      <c r="D290" s="28" t="str">
        <f>IF('Australian Transaction'!D290 = "","",IF($B290 = "BUY", 'Australian Transaction'!D290,-'Australian Transaction'!D290))</f>
        <v/>
      </c>
      <c r="E290" s="28" t="str">
        <f>IF('Australian Transaction'!E290= "","",'Australian Transaction'!E290)</f>
        <v/>
      </c>
      <c r="F290" s="23"/>
      <c r="G290" s="28" t="str">
        <f t="shared" si="23"/>
        <v/>
      </c>
      <c r="H290" s="28" t="str">
        <f>IF(A290="","",COUNTIF($G$2:G290,G290))</f>
        <v/>
      </c>
      <c r="I290" s="28" t="str">
        <f t="shared" si="24"/>
        <v/>
      </c>
      <c r="J290" s="28" t="str">
        <f>IF(G290="","",IF(COUNTIF($G$2:G290,G290)&gt;1,SUMIF($A$2:A290,G290,$C$2:C290),C290))</f>
        <v/>
      </c>
      <c r="K290" s="45" t="str">
        <f>IF(G290="","",IF(COUNTIF($G$2:G290,G290)&gt;1,SUMIF($A$2:A290,G290,$D$2:D290),D290) +SUMIF($G$2:G290,G290,$M$2:M290))</f>
        <v/>
      </c>
      <c r="L290" s="45" t="str">
        <f t="shared" si="25"/>
        <v/>
      </c>
      <c r="M290" s="46" t="str">
        <f>IF(G290="","",IF(B290 = "BUY", 0,(E290-VLOOKUP(CONCATENATE(G290,(H290-1)),$I$2:L289,4,FALSE))*-C290))</f>
        <v/>
      </c>
    </row>
    <row r="291" spans="1:13" ht="15" thickBot="1" x14ac:dyDescent="0.35">
      <c r="A291" s="27" t="str">
        <f>IF('Australian Transaction'!A291= "","",'Australian Transaction'!A291)</f>
        <v/>
      </c>
      <c r="B291" s="28" t="str">
        <f>IF('Australian Transaction'!B291= "","",'Australian Transaction'!B291)</f>
        <v/>
      </c>
      <c r="C291" s="28" t="str">
        <f>IF('Australian Transaction'!C291= "","",IF(B291="BUY",'Australian Transaction'!C291,-'Australian Transaction'!C291))</f>
        <v/>
      </c>
      <c r="D291" s="28" t="str">
        <f>IF('Australian Transaction'!D291 = "","",IF($B291 = "BUY", 'Australian Transaction'!D291,-'Australian Transaction'!D291))</f>
        <v/>
      </c>
      <c r="E291" s="28" t="str">
        <f>IF('Australian Transaction'!E291= "","",'Australian Transaction'!E291)</f>
        <v/>
      </c>
      <c r="F291" s="23"/>
      <c r="G291" s="28" t="str">
        <f t="shared" si="23"/>
        <v/>
      </c>
      <c r="H291" s="28" t="str">
        <f>IF(A291="","",COUNTIF($G$2:G291,G291))</f>
        <v/>
      </c>
      <c r="I291" s="28" t="str">
        <f t="shared" si="24"/>
        <v/>
      </c>
      <c r="J291" s="28" t="str">
        <f>IF(G291="","",IF(COUNTIF($G$2:G291,G291)&gt;1,SUMIF($A$2:A291,G291,$C$2:C291),C291))</f>
        <v/>
      </c>
      <c r="K291" s="45" t="str">
        <f>IF(G291="","",IF(COUNTIF($G$2:G291,G291)&gt;1,SUMIF($A$2:A291,G291,$D$2:D291),D291) +SUMIF($G$2:G291,G291,$M$2:M291))</f>
        <v/>
      </c>
      <c r="L291" s="45" t="str">
        <f t="shared" si="25"/>
        <v/>
      </c>
      <c r="M291" s="46" t="str">
        <f>IF(G291="","",IF(B291 = "BUY", 0,(E291-VLOOKUP(CONCATENATE(G291,(H291-1)),$I$2:L290,4,FALSE))*-C291))</f>
        <v/>
      </c>
    </row>
    <row r="292" spans="1:13" ht="15" thickBot="1" x14ac:dyDescent="0.35">
      <c r="A292" s="27" t="str">
        <f>IF('Australian Transaction'!A292= "","",'Australian Transaction'!A292)</f>
        <v/>
      </c>
      <c r="B292" s="28" t="str">
        <f>IF('Australian Transaction'!B292= "","",'Australian Transaction'!B292)</f>
        <v/>
      </c>
      <c r="C292" s="28" t="str">
        <f>IF('Australian Transaction'!C292= "","",IF(B292="BUY",'Australian Transaction'!C292,-'Australian Transaction'!C292))</f>
        <v/>
      </c>
      <c r="D292" s="28" t="str">
        <f>IF('Australian Transaction'!D292 = "","",IF($B292 = "BUY", 'Australian Transaction'!D292,-'Australian Transaction'!D292))</f>
        <v/>
      </c>
      <c r="E292" s="28" t="str">
        <f>IF('Australian Transaction'!E292= "","",'Australian Transaction'!E292)</f>
        <v/>
      </c>
      <c r="F292" s="23"/>
      <c r="G292" s="28" t="str">
        <f t="shared" si="23"/>
        <v/>
      </c>
      <c r="H292" s="28" t="str">
        <f>IF(A292="","",COUNTIF($G$2:G292,G292))</f>
        <v/>
      </c>
      <c r="I292" s="28" t="str">
        <f t="shared" si="24"/>
        <v/>
      </c>
      <c r="J292" s="28" t="str">
        <f>IF(G292="","",IF(COUNTIF($G$2:G292,G292)&gt;1,SUMIF($A$2:A292,G292,$C$2:C292),C292))</f>
        <v/>
      </c>
      <c r="K292" s="45" t="str">
        <f>IF(G292="","",IF(COUNTIF($G$2:G292,G292)&gt;1,SUMIF($A$2:A292,G292,$D$2:D292),D292) +SUMIF($G$2:G292,G292,$M$2:M292))</f>
        <v/>
      </c>
      <c r="L292" s="45" t="str">
        <f t="shared" si="25"/>
        <v/>
      </c>
      <c r="M292" s="46" t="str">
        <f>IF(G292="","",IF(B292 = "BUY", 0,(E292-VLOOKUP(CONCATENATE(G292,(H292-1)),$I$2:L291,4,FALSE))*-C292))</f>
        <v/>
      </c>
    </row>
    <row r="293" spans="1:13" ht="15" thickBot="1" x14ac:dyDescent="0.35">
      <c r="A293" s="27" t="str">
        <f>IF('Australian Transaction'!A293= "","",'Australian Transaction'!A293)</f>
        <v/>
      </c>
      <c r="B293" s="28" t="str">
        <f>IF('Australian Transaction'!B293= "","",'Australian Transaction'!B293)</f>
        <v/>
      </c>
      <c r="C293" s="28" t="str">
        <f>IF('Australian Transaction'!C293= "","",IF(B293="BUY",'Australian Transaction'!C293,-'Australian Transaction'!C293))</f>
        <v/>
      </c>
      <c r="D293" s="28" t="str">
        <f>IF('Australian Transaction'!D293 = "","",IF($B293 = "BUY", 'Australian Transaction'!D293,-'Australian Transaction'!D293))</f>
        <v/>
      </c>
      <c r="E293" s="28" t="str">
        <f>IF('Australian Transaction'!E293= "","",'Australian Transaction'!E293)</f>
        <v/>
      </c>
      <c r="F293" s="23"/>
      <c r="G293" s="28" t="str">
        <f t="shared" si="23"/>
        <v/>
      </c>
      <c r="H293" s="28" t="str">
        <f>IF(A293="","",COUNTIF($G$2:G293,G293))</f>
        <v/>
      </c>
      <c r="I293" s="28" t="str">
        <f t="shared" si="24"/>
        <v/>
      </c>
      <c r="J293" s="28" t="str">
        <f>IF(G293="","",IF(COUNTIF($G$2:G293,G293)&gt;1,SUMIF($A$2:A293,G293,$C$2:C293),C293))</f>
        <v/>
      </c>
      <c r="K293" s="45" t="str">
        <f>IF(G293="","",IF(COUNTIF($G$2:G293,G293)&gt;1,SUMIF($A$2:A293,G293,$D$2:D293),D293) +SUMIF($G$2:G293,G293,$M$2:M293))</f>
        <v/>
      </c>
      <c r="L293" s="45" t="str">
        <f t="shared" si="25"/>
        <v/>
      </c>
      <c r="M293" s="46" t="str">
        <f>IF(G293="","",IF(B293 = "BUY", 0,(E293-VLOOKUP(CONCATENATE(G293,(H293-1)),$I$2:L292,4,FALSE))*-C293))</f>
        <v/>
      </c>
    </row>
    <row r="294" spans="1:13" ht="15" thickBot="1" x14ac:dyDescent="0.35">
      <c r="A294" s="27" t="str">
        <f>IF('Australian Transaction'!A294= "","",'Australian Transaction'!A294)</f>
        <v/>
      </c>
      <c r="B294" s="28" t="str">
        <f>IF('Australian Transaction'!B294= "","",'Australian Transaction'!B294)</f>
        <v/>
      </c>
      <c r="C294" s="28" t="str">
        <f>IF('Australian Transaction'!C294= "","",IF(B294="BUY",'Australian Transaction'!C294,-'Australian Transaction'!C294))</f>
        <v/>
      </c>
      <c r="D294" s="28" t="str">
        <f>IF('Australian Transaction'!D294 = "","",IF($B294 = "BUY", 'Australian Transaction'!D294,-'Australian Transaction'!D294))</f>
        <v/>
      </c>
      <c r="E294" s="28" t="str">
        <f>IF('Australian Transaction'!E294= "","",'Australian Transaction'!E294)</f>
        <v/>
      </c>
      <c r="F294" s="23"/>
      <c r="G294" s="28" t="str">
        <f t="shared" si="23"/>
        <v/>
      </c>
      <c r="H294" s="28" t="str">
        <f>IF(A294="","",COUNTIF($G$2:G294,G294))</f>
        <v/>
      </c>
      <c r="I294" s="28" t="str">
        <f t="shared" si="24"/>
        <v/>
      </c>
      <c r="J294" s="28" t="str">
        <f>IF(G294="","",IF(COUNTIF($G$2:G294,G294)&gt;1,SUMIF($A$2:A294,G294,$C$2:C294),C294))</f>
        <v/>
      </c>
      <c r="K294" s="45" t="str">
        <f>IF(G294="","",IF(COUNTIF($G$2:G294,G294)&gt;1,SUMIF($A$2:A294,G294,$D$2:D294),D294) +SUMIF($G$2:G294,G294,$M$2:M294))</f>
        <v/>
      </c>
      <c r="L294" s="45" t="str">
        <f t="shared" si="25"/>
        <v/>
      </c>
      <c r="M294" s="46" t="str">
        <f>IF(G294="","",IF(B294 = "BUY", 0,(E294-VLOOKUP(CONCATENATE(G294,(H294-1)),$I$2:L293,4,FALSE))*-C294))</f>
        <v/>
      </c>
    </row>
    <row r="295" spans="1:13" ht="15" thickBot="1" x14ac:dyDescent="0.35">
      <c r="A295" s="27" t="str">
        <f>IF('Australian Transaction'!A295= "","",'Australian Transaction'!A295)</f>
        <v/>
      </c>
      <c r="B295" s="28" t="str">
        <f>IF('Australian Transaction'!B295= "","",'Australian Transaction'!B295)</f>
        <v/>
      </c>
      <c r="C295" s="28" t="str">
        <f>IF('Australian Transaction'!C295= "","",IF(B295="BUY",'Australian Transaction'!C295,-'Australian Transaction'!C295))</f>
        <v/>
      </c>
      <c r="D295" s="28" t="str">
        <f>IF('Australian Transaction'!D295 = "","",IF($B295 = "BUY", 'Australian Transaction'!D295,-'Australian Transaction'!D295))</f>
        <v/>
      </c>
      <c r="E295" s="28" t="str">
        <f>IF('Australian Transaction'!E295= "","",'Australian Transaction'!E295)</f>
        <v/>
      </c>
      <c r="F295" s="23"/>
      <c r="G295" s="28" t="str">
        <f t="shared" si="23"/>
        <v/>
      </c>
      <c r="H295" s="28" t="str">
        <f>IF(A295="","",COUNTIF($G$2:G295,G295))</f>
        <v/>
      </c>
      <c r="I295" s="28" t="str">
        <f t="shared" si="24"/>
        <v/>
      </c>
      <c r="J295" s="28" t="str">
        <f>IF(G295="","",IF(COUNTIF($G$2:G295,G295)&gt;1,SUMIF($A$2:A295,G295,$C$2:C295),C295))</f>
        <v/>
      </c>
      <c r="K295" s="45" t="str">
        <f>IF(G295="","",IF(COUNTIF($G$2:G295,G295)&gt;1,SUMIF($A$2:A295,G295,$D$2:D295),D295) +SUMIF($G$2:G295,G295,$M$2:M295))</f>
        <v/>
      </c>
      <c r="L295" s="45" t="str">
        <f t="shared" si="25"/>
        <v/>
      </c>
      <c r="M295" s="46" t="str">
        <f>IF(G295="","",IF(B295 = "BUY", 0,(E295-VLOOKUP(CONCATENATE(G295,(H295-1)),$I$2:L294,4,FALSE))*-C295))</f>
        <v/>
      </c>
    </row>
    <row r="296" spans="1:13" ht="15" thickBot="1" x14ac:dyDescent="0.35">
      <c r="A296" s="27" t="str">
        <f>IF('Australian Transaction'!A296= "","",'Australian Transaction'!A296)</f>
        <v/>
      </c>
      <c r="B296" s="28" t="str">
        <f>IF('Australian Transaction'!B296= "","",'Australian Transaction'!B296)</f>
        <v/>
      </c>
      <c r="C296" s="28" t="str">
        <f>IF('Australian Transaction'!C296= "","",IF(B296="BUY",'Australian Transaction'!C296,-'Australian Transaction'!C296))</f>
        <v/>
      </c>
      <c r="D296" s="28" t="str">
        <f>IF('Australian Transaction'!D296 = "","",IF($B296 = "BUY", 'Australian Transaction'!D296,-'Australian Transaction'!D296))</f>
        <v/>
      </c>
      <c r="E296" s="28" t="str">
        <f>IF('Australian Transaction'!E296= "","",'Australian Transaction'!E296)</f>
        <v/>
      </c>
      <c r="F296" s="23"/>
      <c r="G296" s="28" t="str">
        <f t="shared" si="23"/>
        <v/>
      </c>
      <c r="H296" s="28" t="str">
        <f>IF(A296="","",COUNTIF($G$2:G296,G296))</f>
        <v/>
      </c>
      <c r="I296" s="28" t="str">
        <f t="shared" si="24"/>
        <v/>
      </c>
      <c r="J296" s="28" t="str">
        <f>IF(G296="","",IF(COUNTIF($G$2:G296,G296)&gt;1,SUMIF($A$2:A296,G296,$C$2:C296),C296))</f>
        <v/>
      </c>
      <c r="K296" s="45" t="str">
        <f>IF(G296="","",IF(COUNTIF($G$2:G296,G296)&gt;1,SUMIF($A$2:A296,G296,$D$2:D296),D296) +SUMIF($G$2:G296,G296,$M$2:M296))</f>
        <v/>
      </c>
      <c r="L296" s="45" t="str">
        <f t="shared" si="25"/>
        <v/>
      </c>
      <c r="M296" s="46" t="str">
        <f>IF(G296="","",IF(B296 = "BUY", 0,(E296-VLOOKUP(CONCATENATE(G296,(H296-1)),$I$2:L295,4,FALSE))*-C296))</f>
        <v/>
      </c>
    </row>
    <row r="297" spans="1:13" ht="15" thickBot="1" x14ac:dyDescent="0.35">
      <c r="A297" s="27" t="str">
        <f>IF('Australian Transaction'!A297= "","",'Australian Transaction'!A297)</f>
        <v/>
      </c>
      <c r="B297" s="28" t="str">
        <f>IF('Australian Transaction'!B297= "","",'Australian Transaction'!B297)</f>
        <v/>
      </c>
      <c r="C297" s="28" t="str">
        <f>IF('Australian Transaction'!C297= "","",IF(B297="BUY",'Australian Transaction'!C297,-'Australian Transaction'!C297))</f>
        <v/>
      </c>
      <c r="D297" s="28" t="str">
        <f>IF('Australian Transaction'!D297 = "","",IF($B297 = "BUY", 'Australian Transaction'!D297,-'Australian Transaction'!D297))</f>
        <v/>
      </c>
      <c r="E297" s="28" t="str">
        <f>IF('Australian Transaction'!E297= "","",'Australian Transaction'!E297)</f>
        <v/>
      </c>
      <c r="F297" s="23"/>
      <c r="G297" s="28" t="str">
        <f t="shared" si="23"/>
        <v/>
      </c>
      <c r="H297" s="28" t="str">
        <f>IF(A297="","",COUNTIF($G$2:G297,G297))</f>
        <v/>
      </c>
      <c r="I297" s="28" t="str">
        <f t="shared" si="24"/>
        <v/>
      </c>
      <c r="J297" s="28" t="str">
        <f>IF(G297="","",IF(COUNTIF($G$2:G297,G297)&gt;1,SUMIF($A$2:A297,G297,$C$2:C297),C297))</f>
        <v/>
      </c>
      <c r="K297" s="45" t="str">
        <f>IF(G297="","",IF(COUNTIF($G$2:G297,G297)&gt;1,SUMIF($A$2:A297,G297,$D$2:D297),D297) +SUMIF($G$2:G297,G297,$M$2:M297))</f>
        <v/>
      </c>
      <c r="L297" s="45" t="str">
        <f t="shared" si="25"/>
        <v/>
      </c>
      <c r="M297" s="46" t="str">
        <f>IF(G297="","",IF(B297 = "BUY", 0,(E297-VLOOKUP(CONCATENATE(G297,(H297-1)),$I$2:L296,4,FALSE))*-C297))</f>
        <v/>
      </c>
    </row>
    <row r="298" spans="1:13" ht="15" thickBot="1" x14ac:dyDescent="0.35">
      <c r="A298" s="27" t="str">
        <f>IF('Australian Transaction'!A298= "","",'Australian Transaction'!A298)</f>
        <v/>
      </c>
      <c r="B298" s="28" t="str">
        <f>IF('Australian Transaction'!B298= "","",'Australian Transaction'!B298)</f>
        <v/>
      </c>
      <c r="C298" s="28" t="str">
        <f>IF('Australian Transaction'!C298= "","",IF(B298="BUY",'Australian Transaction'!C298,-'Australian Transaction'!C298))</f>
        <v/>
      </c>
      <c r="D298" s="28" t="str">
        <f>IF('Australian Transaction'!D298 = "","",IF($B298 = "BUY", 'Australian Transaction'!D298,-'Australian Transaction'!D298))</f>
        <v/>
      </c>
      <c r="E298" s="28" t="str">
        <f>IF('Australian Transaction'!E298= "","",'Australian Transaction'!E298)</f>
        <v/>
      </c>
      <c r="F298" s="23"/>
      <c r="G298" s="28" t="str">
        <f t="shared" si="23"/>
        <v/>
      </c>
      <c r="H298" s="28" t="str">
        <f>IF(A298="","",COUNTIF($G$2:G298,G298))</f>
        <v/>
      </c>
      <c r="I298" s="28" t="str">
        <f t="shared" si="24"/>
        <v/>
      </c>
      <c r="J298" s="28" t="str">
        <f>IF(G298="","",IF(COUNTIF($G$2:G298,G298)&gt;1,SUMIF($A$2:A298,G298,$C$2:C298),C298))</f>
        <v/>
      </c>
      <c r="K298" s="45" t="str">
        <f>IF(G298="","",IF(COUNTIF($G$2:G298,G298)&gt;1,SUMIF($A$2:A298,G298,$D$2:D298),D298) +SUMIF($G$2:G298,G298,$M$2:M298))</f>
        <v/>
      </c>
      <c r="L298" s="45" t="str">
        <f t="shared" si="25"/>
        <v/>
      </c>
      <c r="M298" s="46" t="str">
        <f>IF(G298="","",IF(B298 = "BUY", 0,(E298-VLOOKUP(CONCATENATE(G298,(H298-1)),$I$2:L297,4,FALSE))*-C298))</f>
        <v/>
      </c>
    </row>
    <row r="299" spans="1:13" ht="15" thickBot="1" x14ac:dyDescent="0.35">
      <c r="A299" s="27" t="str">
        <f>IF('Australian Transaction'!A299= "","",'Australian Transaction'!A299)</f>
        <v/>
      </c>
      <c r="B299" s="28" t="str">
        <f>IF('Australian Transaction'!B299= "","",'Australian Transaction'!B299)</f>
        <v/>
      </c>
      <c r="C299" s="28" t="str">
        <f>IF('Australian Transaction'!C299= "","",IF(B299="BUY",'Australian Transaction'!C299,-'Australian Transaction'!C299))</f>
        <v/>
      </c>
      <c r="D299" s="28" t="str">
        <f>IF('Australian Transaction'!D299 = "","",IF($B299 = "BUY", 'Australian Transaction'!D299,-'Australian Transaction'!D299))</f>
        <v/>
      </c>
      <c r="E299" s="28" t="str">
        <f>IF('Australian Transaction'!E299= "","",'Australian Transaction'!E299)</f>
        <v/>
      </c>
      <c r="F299" s="23"/>
      <c r="G299" s="28" t="str">
        <f t="shared" si="23"/>
        <v/>
      </c>
      <c r="H299" s="28" t="str">
        <f>IF(A299="","",COUNTIF($G$2:G299,G299))</f>
        <v/>
      </c>
      <c r="I299" s="28" t="str">
        <f t="shared" si="24"/>
        <v/>
      </c>
      <c r="J299" s="28" t="str">
        <f>IF(G299="","",IF(COUNTIF($G$2:G299,G299)&gt;1,SUMIF($A$2:A299,G299,$C$2:C299),C299))</f>
        <v/>
      </c>
      <c r="K299" s="45" t="str">
        <f>IF(G299="","",IF(COUNTIF($G$2:G299,G299)&gt;1,SUMIF($A$2:A299,G299,$D$2:D299),D299) +SUMIF($G$2:G299,G299,$M$2:M299))</f>
        <v/>
      </c>
      <c r="L299" s="45" t="str">
        <f t="shared" si="25"/>
        <v/>
      </c>
      <c r="M299" s="46" t="str">
        <f>IF(G299="","",IF(B299 = "BUY", 0,(E299-VLOOKUP(CONCATENATE(G299,(H299-1)),$I$2:L298,4,FALSE))*-C299))</f>
        <v/>
      </c>
    </row>
    <row r="300" spans="1:13" ht="15" thickBot="1" x14ac:dyDescent="0.35">
      <c r="A300" s="30" t="str">
        <f>IF('Australian Transaction'!A300= "","",'Australian Transaction'!A300)</f>
        <v/>
      </c>
      <c r="B300" s="31" t="str">
        <f>IF('Australian Transaction'!B300= "","",'Australian Transaction'!B300)</f>
        <v/>
      </c>
      <c r="C300" s="31" t="str">
        <f>IF('Australian Transaction'!C300= "","",IF(B300="BUY",'Australian Transaction'!C300,-'Australian Transaction'!C300))</f>
        <v/>
      </c>
      <c r="D300" s="31" t="str">
        <f>IF('Australian Transaction'!D300= "","",'Australian Transaction'!D300)</f>
        <v/>
      </c>
      <c r="E300" s="31" t="str">
        <f>IF('Australian Transaction'!E300= "","",'Australian Transaction'!E300)</f>
        <v/>
      </c>
      <c r="F300" s="23"/>
      <c r="G300" s="31" t="str">
        <f t="shared" si="23"/>
        <v/>
      </c>
      <c r="H300" s="31"/>
      <c r="I300" s="31" t="str">
        <f t="shared" si="24"/>
        <v/>
      </c>
      <c r="J300" s="31" t="str">
        <f>IF(G300="","",IF(COUNTIF($G$2:G300,G300)&gt;1,SUMIF($A$2:A300,G300,$C$2:C300),C300))</f>
        <v/>
      </c>
      <c r="K300" s="50" t="str">
        <f>IF(G300="","",IF(COUNTIF($G$2:G300,G300)&gt;1,SUMIF($A$2:A300,G300,$D$2:D300),D300) +SUMIF($G$2:G300,G300,$M$2:M300))</f>
        <v/>
      </c>
      <c r="L300" s="50" t="str">
        <f t="shared" si="25"/>
        <v/>
      </c>
      <c r="M300" s="48" t="str">
        <f>IF(G300="","",IF(B300 = "BUY", 0,(E300-VLOOKUP(CONCATENATE(G300,(H300-1)),$I$2:L299,4,FALSE))*-C300))</f>
        <v/>
      </c>
    </row>
    <row r="301" spans="1:13" x14ac:dyDescent="0.3">
      <c r="M301" s="45" t="str">
        <f>IF(G301="","",IF(B301 = "BUY", 0,(E301-VLOOKUP(CONCATENATE(G301,(H301-1)),$I$2:L300,4,FALSE))*-C301))</f>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5E46E-DC35-4780-B45F-5AF2A5AF64C5}">
  <sheetPr codeName="Sheet10"/>
  <dimension ref="A1:L28"/>
  <sheetViews>
    <sheetView workbookViewId="0">
      <selection activeCell="B29" sqref="B29"/>
    </sheetView>
  </sheetViews>
  <sheetFormatPr defaultColWidth="8.88671875" defaultRowHeight="14.4" x14ac:dyDescent="0.3"/>
  <cols>
    <col min="1" max="1" width="8.5546875" style="1" customWidth="1"/>
    <col min="2" max="2" width="46" style="1" customWidth="1"/>
    <col min="3" max="3" width="8.109375" style="1" bestFit="1" customWidth="1"/>
    <col min="4" max="4" width="13.109375" style="1" bestFit="1" customWidth="1"/>
    <col min="5" max="5" width="11.5546875" style="1" bestFit="1" customWidth="1"/>
    <col min="6" max="7" width="14.5546875" style="1" bestFit="1" customWidth="1"/>
    <col min="8" max="8" width="11.44140625" style="1" customWidth="1"/>
    <col min="9" max="10" width="13" style="1" bestFit="1" customWidth="1"/>
    <col min="11" max="11" width="10.88671875" style="1" bestFit="1" customWidth="1"/>
    <col min="12" max="16384" width="8.88671875" style="1"/>
  </cols>
  <sheetData>
    <row r="1" spans="1:12" ht="15" thickBot="1" x14ac:dyDescent="0.35">
      <c r="A1" s="34" t="s">
        <v>45</v>
      </c>
      <c r="B1" s="35" t="s">
        <v>67</v>
      </c>
      <c r="C1" s="35" t="s">
        <v>47</v>
      </c>
      <c r="D1" s="35" t="s">
        <v>68</v>
      </c>
      <c r="E1" s="35" t="s">
        <v>69</v>
      </c>
      <c r="F1" s="35" t="s">
        <v>70</v>
      </c>
      <c r="G1" s="35" t="s">
        <v>71</v>
      </c>
      <c r="H1" s="35" t="s">
        <v>72</v>
      </c>
      <c r="I1" s="35" t="s">
        <v>73</v>
      </c>
      <c r="J1" s="35" t="s">
        <v>74</v>
      </c>
      <c r="K1" s="35" t="s">
        <v>65</v>
      </c>
      <c r="L1" s="36" t="s">
        <v>75</v>
      </c>
    </row>
    <row r="2" spans="1:12" x14ac:dyDescent="0.3">
      <c r="A2" s="40" t="str" cm="1">
        <f t="array" ref="A2">IFERROR(_xlfn.UNIQUE('AUS Calculations'!U2:U21,FALSE,TRUE),"")</f>
        <v/>
      </c>
      <c r="B2" s="41"/>
      <c r="C2" s="42" t="str">
        <f>IF(A2="","",SUMIF('AUS Calculations'!$U$2:$U$21,'AUS Portfolio'!A2,'AUS Calculations'!$W$2:$W$21))</f>
        <v/>
      </c>
      <c r="D2" s="51" t="str">
        <f>IF(A2="","",SUMIF('AUS Calculations'!$U$2:$U$21,'AUS Portfolio'!A2,'AUS Calculations'!$Y$2:$Y$21))</f>
        <v/>
      </c>
      <c r="E2" s="52" t="str" cm="1">
        <f t="array" ref="E2">IF(A2="","",_FV(B2,"Price"))</f>
        <v/>
      </c>
      <c r="F2" s="53" t="str" cm="1">
        <f t="array" ref="F2">IF(A2="","",_FV(B2,"Change"))</f>
        <v/>
      </c>
      <c r="G2" s="53" t="str">
        <f>IFERROR(F2*C2,"")</f>
        <v/>
      </c>
      <c r="H2" s="42" t="str">
        <f>IF(A2="","",SUMIF('AUS Calculations'!$U$2:$U$21,'AUS Portfolio'!A2,'AUS Calculations'!$X$2:$X$21))</f>
        <v/>
      </c>
      <c r="I2" s="52" t="str">
        <f>IFERROR(E2*C2,"")</f>
        <v/>
      </c>
      <c r="J2" s="52" t="str">
        <f>IFERROR(I2-H2,"")</f>
        <v/>
      </c>
      <c r="K2" s="53" t="str">
        <f>IF(A2="","",SUMIF('AUS Calculations'!$U$2:$U$21,'AUS Portfolio'!A2,'AUS Calculations'!$V$2:$V$21))</f>
        <v/>
      </c>
      <c r="L2" s="54"/>
    </row>
    <row r="3" spans="1:12" x14ac:dyDescent="0.3">
      <c r="A3" s="27"/>
      <c r="B3" s="28"/>
      <c r="C3" s="45" t="str">
        <f>IF(A3="","",SUMIF('AUS Calculations'!$U$2:$U$21,'AUS Portfolio'!A3,'AUS Calculations'!$W$2:$W$21))</f>
        <v/>
      </c>
      <c r="D3" s="55" t="str">
        <f>IF(A3="","",SUMIF('AUS Calculations'!$U$2:$U$21,'AUS Portfolio'!A3,'AUS Calculations'!$Y$2:$Y$21))</f>
        <v/>
      </c>
      <c r="E3" s="56" t="str" cm="1">
        <f t="array" ref="E3">IF(A3="","",_FV(B3,"Price"))</f>
        <v/>
      </c>
      <c r="F3" s="14" t="str" cm="1">
        <f t="array" ref="F3">IF(A3="","",_FV(B3,"Change"))</f>
        <v/>
      </c>
      <c r="G3" s="14" t="str">
        <f t="shared" ref="G3:G21" si="0">IFERROR(F3*C3,"")</f>
        <v/>
      </c>
      <c r="H3" s="45" t="str">
        <f>IF(A3="","",SUMIF('AUS Calculations'!$U$2:$U$21,'AUS Portfolio'!A3,'AUS Calculations'!$X$2:$X$21))</f>
        <v/>
      </c>
      <c r="I3" s="56" t="str">
        <f t="shared" ref="I3:I20" si="1">IFERROR(E3*C3,"")</f>
        <v/>
      </c>
      <c r="J3" s="56" t="str">
        <f t="shared" ref="J3:J21" si="2">IFERROR(I3-H3,"")</f>
        <v/>
      </c>
      <c r="K3" s="14" t="str">
        <f>IF(A3="","",SUMIF('AUS Calculations'!$U$2:$U$21,'AUS Portfolio'!A3,'AUS Calculations'!$V$2:$V$21))</f>
        <v/>
      </c>
      <c r="L3" s="57"/>
    </row>
    <row r="4" spans="1:12" x14ac:dyDescent="0.3">
      <c r="A4" s="27"/>
      <c r="B4" s="28"/>
      <c r="C4" s="45" t="str">
        <f>IF(A4="","",SUMIF('AUS Calculations'!$U$2:$U$21,'AUS Portfolio'!A4,'AUS Calculations'!$W$2:$W$21))</f>
        <v/>
      </c>
      <c r="D4" s="55" t="str">
        <f>IF(A4="","",SUMIF('AUS Calculations'!$U$2:$U$21,'AUS Portfolio'!A4,'AUS Calculations'!$Y$2:$Y$21))</f>
        <v/>
      </c>
      <c r="E4" s="56" t="str" cm="1">
        <f t="array" ref="E4">IF(A4="","",_FV(B4,"Price"))</f>
        <v/>
      </c>
      <c r="F4" s="14" t="str" cm="1">
        <f t="array" ref="F4">IF(A4="","",_FV(B4,"Change"))</f>
        <v/>
      </c>
      <c r="G4" s="14" t="str">
        <f t="shared" si="0"/>
        <v/>
      </c>
      <c r="H4" s="45" t="str">
        <f>IF(A4="","",SUMIF('AUS Calculations'!$U$2:$U$21,'AUS Portfolio'!A4,'AUS Calculations'!$X$2:$X$21))</f>
        <v/>
      </c>
      <c r="I4" s="56" t="str">
        <f t="shared" si="1"/>
        <v/>
      </c>
      <c r="J4" s="56" t="str">
        <f t="shared" si="2"/>
        <v/>
      </c>
      <c r="K4" s="14" t="str">
        <f>IF(A4="","",SUMIF('AUS Calculations'!$U$2:$U$21,'AUS Portfolio'!A4,'AUS Calculations'!$V$2:$V$21))</f>
        <v/>
      </c>
      <c r="L4" s="57"/>
    </row>
    <row r="5" spans="1:12" x14ac:dyDescent="0.3">
      <c r="A5" s="27"/>
      <c r="B5" s="28"/>
      <c r="C5" s="45" t="str">
        <f>IF(A5="","",SUMIF('AUS Calculations'!$U$2:$U$21,'AUS Portfolio'!A5,'AUS Calculations'!$W$2:$W$21))</f>
        <v/>
      </c>
      <c r="D5" s="55" t="str">
        <f>IF(A5="","",SUMIF('AUS Calculations'!$U$2:$U$21,'AUS Portfolio'!A5,'AUS Calculations'!$Y$2:$Y$21))</f>
        <v/>
      </c>
      <c r="E5" s="56" t="str" cm="1">
        <f t="array" ref="E5">IF(A5="","",_FV(B5,"Price"))</f>
        <v/>
      </c>
      <c r="F5" s="14" t="str" cm="1">
        <f t="array" ref="F5">IF(A5="","",_FV(B5,"Change"))</f>
        <v/>
      </c>
      <c r="G5" s="14" t="str">
        <f t="shared" si="0"/>
        <v/>
      </c>
      <c r="H5" s="45" t="str">
        <f>IF(A5="","",SUMIF('AUS Calculations'!$U$2:$U$21,'AUS Portfolio'!A5,'AUS Calculations'!$X$2:$X$21))</f>
        <v/>
      </c>
      <c r="I5" s="56" t="str">
        <f t="shared" si="1"/>
        <v/>
      </c>
      <c r="J5" s="56" t="str">
        <f t="shared" si="2"/>
        <v/>
      </c>
      <c r="K5" s="14" t="str">
        <f>IF(A5="","",SUMIF('AUS Calculations'!$U$2:$U$21,'AUS Portfolio'!A5,'AUS Calculations'!$V$2:$V$21))</f>
        <v/>
      </c>
      <c r="L5" s="57"/>
    </row>
    <row r="6" spans="1:12" x14ac:dyDescent="0.3">
      <c r="A6" s="27"/>
      <c r="B6" s="28"/>
      <c r="C6" s="45" t="str">
        <f>IF(A6="","",SUMIF('AUS Calculations'!$U$2:$U$21,'AUS Portfolio'!A6,'AUS Calculations'!$W$2:$W$21))</f>
        <v/>
      </c>
      <c r="D6" s="55" t="str">
        <f>IF(A6="","",SUMIF('AUS Calculations'!$U$2:$U$21,'AUS Portfolio'!A6,'AUS Calculations'!$Y$2:$Y$21))</f>
        <v/>
      </c>
      <c r="E6" s="56" t="str" cm="1">
        <f t="array" ref="E6">IF(A6="","",_FV(B6,"Price"))</f>
        <v/>
      </c>
      <c r="F6" s="14" t="str" cm="1">
        <f t="array" ref="F6">IF(A6="","",_FV(B6,"Change"))</f>
        <v/>
      </c>
      <c r="G6" s="14" t="str">
        <f t="shared" si="0"/>
        <v/>
      </c>
      <c r="H6" s="45" t="str">
        <f>IF(A6="","",SUMIF('AUS Calculations'!$U$2:$U$21,'AUS Portfolio'!A6,'AUS Calculations'!$X$2:$X$21))</f>
        <v/>
      </c>
      <c r="I6" s="56" t="str">
        <f t="shared" si="1"/>
        <v/>
      </c>
      <c r="J6" s="56" t="str">
        <f t="shared" si="2"/>
        <v/>
      </c>
      <c r="K6" s="14" t="str">
        <f>IF(A6="","",SUMIF('AUS Calculations'!$U$2:$U$21,'AUS Portfolio'!A6,'AUS Calculations'!$V$2:$V$21))</f>
        <v/>
      </c>
      <c r="L6" s="57"/>
    </row>
    <row r="7" spans="1:12" x14ac:dyDescent="0.3">
      <c r="A7" s="27"/>
      <c r="B7" s="28"/>
      <c r="C7" s="45" t="str">
        <f>IF(A7="","",SUMIF('AUS Calculations'!$U$2:$U$21,'AUS Portfolio'!A7,'AUS Calculations'!$W$2:$W$21))</f>
        <v/>
      </c>
      <c r="D7" s="55" t="str">
        <f>IF(A7="","",SUMIF('AUS Calculations'!$U$2:$U$21,'AUS Portfolio'!A7,'AUS Calculations'!$Y$2:$Y$21))</f>
        <v/>
      </c>
      <c r="E7" s="56" t="str" cm="1">
        <f t="array" ref="E7">IF(A7="","",_FV(B7,"Price"))</f>
        <v/>
      </c>
      <c r="F7" s="14" t="str" cm="1">
        <f t="array" ref="F7">IF(A7="","",_FV(B7,"Change"))</f>
        <v/>
      </c>
      <c r="G7" s="14" t="str">
        <f t="shared" si="0"/>
        <v/>
      </c>
      <c r="H7" s="45" t="str">
        <f>IF(A7="","",SUMIF('AUS Calculations'!$U$2:$U$21,'AUS Portfolio'!A7,'AUS Calculations'!$X$2:$X$21))</f>
        <v/>
      </c>
      <c r="I7" s="56" t="str">
        <f t="shared" si="1"/>
        <v/>
      </c>
      <c r="J7" s="56" t="str">
        <f t="shared" si="2"/>
        <v/>
      </c>
      <c r="K7" s="14" t="str">
        <f>IF(A7="","",SUMIF('AUS Calculations'!$U$2:$U$21,'AUS Portfolio'!A7,'AUS Calculations'!$V$2:$V$21))</f>
        <v/>
      </c>
      <c r="L7" s="57"/>
    </row>
    <row r="8" spans="1:12" x14ac:dyDescent="0.3">
      <c r="A8" s="27"/>
      <c r="B8" s="28"/>
      <c r="C8" s="45" t="str">
        <f>IF(A8="","",SUMIF('AUS Calculations'!$U$2:$U$21,'AUS Portfolio'!A8,'AUS Calculations'!$W$2:$W$21))</f>
        <v/>
      </c>
      <c r="D8" s="55" t="str">
        <f>IF(A8="","",SUMIF('AUS Calculations'!$U$2:$U$21,'AUS Portfolio'!A8,'AUS Calculations'!$Y$2:$Y$21))</f>
        <v/>
      </c>
      <c r="E8" s="56" t="str" cm="1">
        <f t="array" ref="E8">IF(A8="","",_FV(B8,"Price"))</f>
        <v/>
      </c>
      <c r="F8" s="14" t="str" cm="1">
        <f t="array" ref="F8">IF(A8="","",_FV(B8,"Change"))</f>
        <v/>
      </c>
      <c r="G8" s="14" t="str">
        <f t="shared" si="0"/>
        <v/>
      </c>
      <c r="H8" s="45" t="str">
        <f>IF(A8="","",SUMIF('AUS Calculations'!$U$2:$U$21,'AUS Portfolio'!A8,'AUS Calculations'!$X$2:$X$21))</f>
        <v/>
      </c>
      <c r="I8" s="56" t="str">
        <f t="shared" si="1"/>
        <v/>
      </c>
      <c r="J8" s="56" t="str">
        <f t="shared" si="2"/>
        <v/>
      </c>
      <c r="K8" s="14" t="str">
        <f>IF(A8="","",SUMIF('AUS Calculations'!$U$2:$U$21,'AUS Portfolio'!A8,'AUS Calculations'!$V$2:$V$21))</f>
        <v/>
      </c>
      <c r="L8" s="57"/>
    </row>
    <row r="9" spans="1:12" x14ac:dyDescent="0.3">
      <c r="A9" s="27"/>
      <c r="B9" s="28"/>
      <c r="C9" s="45" t="str">
        <f>IF(A9="","",SUMIF('AUS Calculations'!$U$2:$U$21,'AUS Portfolio'!A9,'AUS Calculations'!$W$2:$W$21))</f>
        <v/>
      </c>
      <c r="D9" s="55" t="str">
        <f>IF(A9="","",SUMIF('AUS Calculations'!$U$2:$U$21,'AUS Portfolio'!A9,'AUS Calculations'!$Y$2:$Y$21))</f>
        <v/>
      </c>
      <c r="E9" s="56" t="str" cm="1">
        <f t="array" ref="E9">IF(A9="","",_FV(B9,"Price"))</f>
        <v/>
      </c>
      <c r="F9" s="14" t="str" cm="1">
        <f t="array" ref="F9">IF(A9="","",_FV(B9,"Change"))</f>
        <v/>
      </c>
      <c r="G9" s="14" t="str">
        <f t="shared" si="0"/>
        <v/>
      </c>
      <c r="H9" s="45" t="str">
        <f>IF(A9="","",SUMIF('AUS Calculations'!$U$2:$U$21,'AUS Portfolio'!A9,'AUS Calculations'!$X$2:$X$21))</f>
        <v/>
      </c>
      <c r="I9" s="56" t="str">
        <f t="shared" si="1"/>
        <v/>
      </c>
      <c r="J9" s="56" t="str">
        <f t="shared" si="2"/>
        <v/>
      </c>
      <c r="K9" s="14" t="str">
        <f>IF(A9="","",SUMIF('AUS Calculations'!$U$2:$U$21,'AUS Portfolio'!A9,'AUS Calculations'!$V$2:$V$21))</f>
        <v/>
      </c>
      <c r="L9" s="57"/>
    </row>
    <row r="10" spans="1:12" x14ac:dyDescent="0.3">
      <c r="A10" s="27"/>
      <c r="B10" s="28"/>
      <c r="C10" s="45" t="str">
        <f>IF(A10="","",SUMIF('AUS Calculations'!$U$2:$U$21,'AUS Portfolio'!A10,'AUS Calculations'!$W$2:$W$21))</f>
        <v/>
      </c>
      <c r="D10" s="55" t="str">
        <f>IF(A10="","",SUMIF('AUS Calculations'!$U$2:$U$21,'AUS Portfolio'!A10,'AUS Calculations'!$Y$2:$Y$21))</f>
        <v/>
      </c>
      <c r="E10" s="56" t="str" cm="1">
        <f t="array" ref="E10">IF(A10="","",_FV(B10,"Price"))</f>
        <v/>
      </c>
      <c r="F10" s="14" t="str" cm="1">
        <f t="array" ref="F10">IF(A10="","",_FV(B10,"Change"))</f>
        <v/>
      </c>
      <c r="G10" s="14" t="str">
        <f t="shared" si="0"/>
        <v/>
      </c>
      <c r="H10" s="45" t="str">
        <f>IF(A10="","",SUMIF('AUS Calculations'!$U$2:$U$21,'AUS Portfolio'!A10,'AUS Calculations'!$X$2:$X$21))</f>
        <v/>
      </c>
      <c r="I10" s="56" t="str">
        <f t="shared" si="1"/>
        <v/>
      </c>
      <c r="J10" s="56" t="str">
        <f t="shared" si="2"/>
        <v/>
      </c>
      <c r="K10" s="14" t="str">
        <f>IF(A10="","",SUMIF('AUS Calculations'!$U$2:$U$21,'AUS Portfolio'!A10,'AUS Calculations'!$V$2:$V$21))</f>
        <v/>
      </c>
      <c r="L10" s="57"/>
    </row>
    <row r="11" spans="1:12" x14ac:dyDescent="0.3">
      <c r="A11" s="27"/>
      <c r="B11" s="28"/>
      <c r="C11" s="45" t="str">
        <f>IF(A11="","",SUMIF('AUS Calculations'!$U$2:$U$21,'AUS Portfolio'!A11,'AUS Calculations'!$W$2:$W$21))</f>
        <v/>
      </c>
      <c r="D11" s="55" t="str">
        <f>IF(A11="","",SUMIF('AUS Calculations'!$U$2:$U$21,'AUS Portfolio'!A11,'AUS Calculations'!$Y$2:$Y$21))</f>
        <v/>
      </c>
      <c r="E11" s="56" t="str" cm="1">
        <f t="array" ref="E11">IF(A11="","",_FV(B11,"Price"))</f>
        <v/>
      </c>
      <c r="F11" s="14" t="str" cm="1">
        <f t="array" ref="F11">IF(A11="","",_FV(B11,"Change"))</f>
        <v/>
      </c>
      <c r="G11" s="14" t="str">
        <f t="shared" si="0"/>
        <v/>
      </c>
      <c r="H11" s="45" t="str">
        <f>IF(A11="","",SUMIF('AUS Calculations'!$U$2:$U$21,'AUS Portfolio'!A11,'AUS Calculations'!$X$2:$X$21))</f>
        <v/>
      </c>
      <c r="I11" s="56" t="str">
        <f t="shared" si="1"/>
        <v/>
      </c>
      <c r="J11" s="56" t="str">
        <f t="shared" si="2"/>
        <v/>
      </c>
      <c r="K11" s="14" t="str">
        <f>IF(A11="","",SUMIF('AUS Calculations'!$U$2:$U$21,'AUS Portfolio'!A11,'AUS Calculations'!$V$2:$V$21))</f>
        <v/>
      </c>
      <c r="L11" s="57"/>
    </row>
    <row r="12" spans="1:12" x14ac:dyDescent="0.3">
      <c r="A12" s="27"/>
      <c r="B12" s="28"/>
      <c r="C12" s="45" t="str">
        <f>IF(A12="","",SUMIF('AUS Calculations'!$U$2:$U$21,'AUS Portfolio'!A12,'AUS Calculations'!$W$2:$W$21))</f>
        <v/>
      </c>
      <c r="D12" s="55" t="str">
        <f>IF(A12="","",SUMIF('AUS Calculations'!$U$2:$U$21,'AUS Portfolio'!A12,'AUS Calculations'!$Y$2:$Y$21))</f>
        <v/>
      </c>
      <c r="E12" s="56" t="str" cm="1">
        <f t="array" ref="E12">IF(A12="","",_FV(B12,"Price"))</f>
        <v/>
      </c>
      <c r="F12" s="14" t="str" cm="1">
        <f t="array" ref="F12">IF(A12="","",_FV(B12,"Change"))</f>
        <v/>
      </c>
      <c r="G12" s="14" t="str">
        <f t="shared" si="0"/>
        <v/>
      </c>
      <c r="H12" s="45" t="str">
        <f>IF(A12="","",SUMIF('AUS Calculations'!$U$2:$U$21,'AUS Portfolio'!A12,'AUS Calculations'!$X$2:$X$21))</f>
        <v/>
      </c>
      <c r="I12" s="56" t="str">
        <f t="shared" si="1"/>
        <v/>
      </c>
      <c r="J12" s="56" t="str">
        <f t="shared" si="2"/>
        <v/>
      </c>
      <c r="K12" s="14" t="str">
        <f>IF(A12="","",SUMIF('AUS Calculations'!$U$2:$U$21,'AUS Portfolio'!A12,'AUS Calculations'!$V$2:$V$21))</f>
        <v/>
      </c>
      <c r="L12" s="57"/>
    </row>
    <row r="13" spans="1:12" x14ac:dyDescent="0.3">
      <c r="A13" s="27"/>
      <c r="B13" s="28"/>
      <c r="C13" s="45" t="str">
        <f>IF(A13="","",SUMIF('AUS Calculations'!$U$2:$U$21,'AUS Portfolio'!A13,'AUS Calculations'!$W$2:$W$21))</f>
        <v/>
      </c>
      <c r="D13" s="55" t="str">
        <f>IF(A13="","",SUMIF('AUS Calculations'!$U$2:$U$21,'AUS Portfolio'!A13,'AUS Calculations'!$Y$2:$Y$21))</f>
        <v/>
      </c>
      <c r="E13" s="56" t="str" cm="1">
        <f t="array" ref="E13">IF(A13="","",_FV(B13,"Price"))</f>
        <v/>
      </c>
      <c r="F13" s="14" t="str" cm="1">
        <f t="array" ref="F13">IF(A13="","",_FV(B13,"Change"))</f>
        <v/>
      </c>
      <c r="G13" s="14" t="str">
        <f t="shared" si="0"/>
        <v/>
      </c>
      <c r="H13" s="45" t="str">
        <f>IF(A13="","",SUMIF('AUS Calculations'!$U$2:$U$21,'AUS Portfolio'!A13,'AUS Calculations'!$X$2:$X$21))</f>
        <v/>
      </c>
      <c r="I13" s="56" t="str">
        <f t="shared" si="1"/>
        <v/>
      </c>
      <c r="J13" s="56" t="str">
        <f t="shared" si="2"/>
        <v/>
      </c>
      <c r="K13" s="14" t="str">
        <f>IF(A13="","",SUMIF('AUS Calculations'!$U$2:$U$21,'AUS Portfolio'!A13,'AUS Calculations'!$V$2:$V$21))</f>
        <v/>
      </c>
      <c r="L13" s="57"/>
    </row>
    <row r="14" spans="1:12" x14ac:dyDescent="0.3">
      <c r="A14" s="27"/>
      <c r="B14" s="28"/>
      <c r="C14" s="45" t="str">
        <f>IF(A14="","",SUMIF('AUS Calculations'!$U$2:$U$21,'AUS Portfolio'!A14,'AUS Calculations'!$W$2:$W$21))</f>
        <v/>
      </c>
      <c r="D14" s="55" t="str">
        <f>IF(A14="","",SUMIF('AUS Calculations'!$U$2:$U$21,'AUS Portfolio'!A14,'AUS Calculations'!$Y$2:$Y$21))</f>
        <v/>
      </c>
      <c r="E14" s="56" t="str" cm="1">
        <f t="array" ref="E14">IF(A14="","",_FV(B14,"Price"))</f>
        <v/>
      </c>
      <c r="F14" s="14" t="str" cm="1">
        <f t="array" ref="F14">IF(A14="","",_FV(B14,"Change"))</f>
        <v/>
      </c>
      <c r="G14" s="14" t="str">
        <f t="shared" si="0"/>
        <v/>
      </c>
      <c r="H14" s="45" t="str">
        <f>IF(A14="","",SUMIF('AUS Calculations'!$U$2:$U$21,'AUS Portfolio'!A14,'AUS Calculations'!$X$2:$X$21))</f>
        <v/>
      </c>
      <c r="I14" s="56" t="str">
        <f t="shared" si="1"/>
        <v/>
      </c>
      <c r="J14" s="56" t="str">
        <f t="shared" si="2"/>
        <v/>
      </c>
      <c r="K14" s="14" t="str">
        <f>IF(A14="","",SUMIF('AUS Calculations'!$U$2:$U$21,'AUS Portfolio'!A14,'AUS Calculations'!$V$2:$V$21))</f>
        <v/>
      </c>
      <c r="L14" s="57"/>
    </row>
    <row r="15" spans="1:12" x14ac:dyDescent="0.3">
      <c r="A15" s="27"/>
      <c r="B15" s="28"/>
      <c r="C15" s="45" t="str">
        <f>IF(A15="","",SUMIF('AUS Calculations'!$U$2:$U$21,'AUS Portfolio'!A15,'AUS Calculations'!$W$2:$W$21))</f>
        <v/>
      </c>
      <c r="D15" s="55" t="str">
        <f>IF(A15="","",SUMIF('AUS Calculations'!$U$2:$U$21,'AUS Portfolio'!A15,'AUS Calculations'!$Y$2:$Y$21))</f>
        <v/>
      </c>
      <c r="E15" s="56" t="str" cm="1">
        <f t="array" ref="E15">IF(A15="","",_FV(B15,"Price"))</f>
        <v/>
      </c>
      <c r="F15" s="14" t="str" cm="1">
        <f t="array" ref="F15">IF(A15="","",_FV(B15,"Change"))</f>
        <v/>
      </c>
      <c r="G15" s="14" t="str">
        <f t="shared" si="0"/>
        <v/>
      </c>
      <c r="H15" s="45" t="str">
        <f>IF(A15="","",SUMIF('AUS Calculations'!$U$2:$U$21,'AUS Portfolio'!A15,'AUS Calculations'!$X$2:$X$21))</f>
        <v/>
      </c>
      <c r="I15" s="56" t="str">
        <f t="shared" si="1"/>
        <v/>
      </c>
      <c r="J15" s="56" t="str">
        <f t="shared" si="2"/>
        <v/>
      </c>
      <c r="K15" s="14" t="str">
        <f>IF(A15="","",SUMIF('AUS Calculations'!$U$2:$U$21,'AUS Portfolio'!A15,'AUS Calculations'!$V$2:$V$21))</f>
        <v/>
      </c>
      <c r="L15" s="57"/>
    </row>
    <row r="16" spans="1:12" x14ac:dyDescent="0.3">
      <c r="A16" s="27"/>
      <c r="B16" s="28"/>
      <c r="C16" s="45" t="str">
        <f>IF(A16="","",SUMIF('AUS Calculations'!$U$2:$U$21,'AUS Portfolio'!A16,'AUS Calculations'!$W$2:$W$21))</f>
        <v/>
      </c>
      <c r="D16" s="55" t="str">
        <f>IF(A16="","",SUMIF('AUS Calculations'!$U$2:$U$21,'AUS Portfolio'!A16,'AUS Calculations'!$Y$2:$Y$21))</f>
        <v/>
      </c>
      <c r="E16" s="56" t="str" cm="1">
        <f t="array" ref="E16">IF(A16="","",_FV(B16,"Price"))</f>
        <v/>
      </c>
      <c r="F16" s="14" t="str" cm="1">
        <f t="array" ref="F16">IF(A16="","",_FV(B16,"Change"))</f>
        <v/>
      </c>
      <c r="G16" s="14" t="str">
        <f t="shared" si="0"/>
        <v/>
      </c>
      <c r="H16" s="45" t="str">
        <f>IF(A16="","",SUMIF('AUS Calculations'!$U$2:$U$21,'AUS Portfolio'!A16,'AUS Calculations'!$X$2:$X$21))</f>
        <v/>
      </c>
      <c r="I16" s="56" t="str">
        <f t="shared" si="1"/>
        <v/>
      </c>
      <c r="J16" s="56" t="str">
        <f t="shared" si="2"/>
        <v/>
      </c>
      <c r="K16" s="14" t="str">
        <f>IF(A16="","",SUMIF('AUS Calculations'!$U$2:$U$21,'AUS Portfolio'!A16,'AUS Calculations'!$V$2:$V$21))</f>
        <v/>
      </c>
      <c r="L16" s="57"/>
    </row>
    <row r="17" spans="1:12" x14ac:dyDescent="0.3">
      <c r="A17" s="27"/>
      <c r="B17" s="28"/>
      <c r="C17" s="45" t="str">
        <f>IF(A17="","",SUMIF('AUS Calculations'!$U$2:$U$21,'AUS Portfolio'!A17,'AUS Calculations'!$W$2:$W$21))</f>
        <v/>
      </c>
      <c r="D17" s="55" t="str">
        <f>IF(A17="","",SUMIF('AUS Calculations'!$U$2:$U$21,'AUS Portfolio'!A17,'AUS Calculations'!$Y$2:$Y$21))</f>
        <v/>
      </c>
      <c r="E17" s="56" t="str" cm="1">
        <f t="array" ref="E17">IF(A17="","",_FV(B17,"Price"))</f>
        <v/>
      </c>
      <c r="F17" s="14" t="str" cm="1">
        <f t="array" ref="F17">IF(A17="","",_FV(B17,"Change"))</f>
        <v/>
      </c>
      <c r="G17" s="14" t="str">
        <f t="shared" si="0"/>
        <v/>
      </c>
      <c r="H17" s="45" t="str">
        <f>IF(A17="","",SUMIF('AUS Calculations'!$U$2:$U$21,'AUS Portfolio'!A17,'AUS Calculations'!$X$2:$X$21))</f>
        <v/>
      </c>
      <c r="I17" s="56" t="str">
        <f t="shared" si="1"/>
        <v/>
      </c>
      <c r="J17" s="56" t="str">
        <f t="shared" si="2"/>
        <v/>
      </c>
      <c r="K17" s="14" t="str">
        <f>IF(A17="","",SUMIF('AUS Calculations'!$U$2:$U$21,'AUS Portfolio'!A17,'AUS Calculations'!$V$2:$V$21))</f>
        <v/>
      </c>
      <c r="L17" s="57"/>
    </row>
    <row r="18" spans="1:12" x14ac:dyDescent="0.3">
      <c r="A18" s="27"/>
      <c r="B18" s="28"/>
      <c r="C18" s="45" t="str">
        <f>IF(A18="","",SUMIF('AUS Calculations'!$U$2:$U$21,'AUS Portfolio'!A18,'AUS Calculations'!$W$2:$W$21))</f>
        <v/>
      </c>
      <c r="D18" s="55" t="str">
        <f>IF(A18="","",SUMIF('AUS Calculations'!$U$2:$U$21,'AUS Portfolio'!A18,'AUS Calculations'!$Y$2:$Y$21))</f>
        <v/>
      </c>
      <c r="E18" s="56" t="str" cm="1">
        <f t="array" ref="E18">IF(A18="","",_FV(B18,"Price"))</f>
        <v/>
      </c>
      <c r="F18" s="14" t="str" cm="1">
        <f t="array" ref="F18">IF(A18="","",_FV(B18,"Change"))</f>
        <v/>
      </c>
      <c r="G18" s="14" t="str">
        <f t="shared" si="0"/>
        <v/>
      </c>
      <c r="H18" s="45" t="str">
        <f>IF(A18="","",SUMIF('AUS Calculations'!$U$2:$U$21,'AUS Portfolio'!A18,'AUS Calculations'!$X$2:$X$21))</f>
        <v/>
      </c>
      <c r="I18" s="56" t="str">
        <f t="shared" si="1"/>
        <v/>
      </c>
      <c r="J18" s="56" t="str">
        <f t="shared" si="2"/>
        <v/>
      </c>
      <c r="K18" s="14" t="str">
        <f>IF(A18="","",SUMIF('AUS Calculations'!$U$2:$U$21,'AUS Portfolio'!A18,'AUS Calculations'!$V$2:$V$21))</f>
        <v/>
      </c>
      <c r="L18" s="57"/>
    </row>
    <row r="19" spans="1:12" x14ac:dyDescent="0.3">
      <c r="A19" s="27"/>
      <c r="B19" s="28"/>
      <c r="C19" s="45" t="str">
        <f>IF(A19="","",SUMIF('AUS Calculations'!$U$2:$U$21,'AUS Portfolio'!A19,'AUS Calculations'!$W$2:$W$21))</f>
        <v/>
      </c>
      <c r="D19" s="55" t="str">
        <f>IF(A19="","",SUMIF('AUS Calculations'!$U$2:$U$21,'AUS Portfolio'!A19,'AUS Calculations'!$Y$2:$Y$21))</f>
        <v/>
      </c>
      <c r="E19" s="56" t="str" cm="1">
        <f t="array" ref="E19">IF(A19="","",_FV(B19,"Price"))</f>
        <v/>
      </c>
      <c r="F19" s="14" t="str" cm="1">
        <f t="array" ref="F19">IF(A19="","",_FV(B19,"Change"))</f>
        <v/>
      </c>
      <c r="G19" s="14" t="str">
        <f t="shared" si="0"/>
        <v/>
      </c>
      <c r="H19" s="45" t="str">
        <f>IF(A19="","",SUMIF('AUS Calculations'!$U$2:$U$21,'AUS Portfolio'!A19,'AUS Calculations'!$X$2:$X$21))</f>
        <v/>
      </c>
      <c r="I19" s="56" t="str">
        <f t="shared" si="1"/>
        <v/>
      </c>
      <c r="J19" s="56" t="str">
        <f t="shared" si="2"/>
        <v/>
      </c>
      <c r="K19" s="14" t="str">
        <f>IF(A19="","",SUMIF('AUS Calculations'!$U$2:$U$21,'AUS Portfolio'!A19,'AUS Calculations'!$V$2:$V$21))</f>
        <v/>
      </c>
      <c r="L19" s="57"/>
    </row>
    <row r="20" spans="1:12" ht="15" thickBot="1" x14ac:dyDescent="0.35">
      <c r="A20" s="27"/>
      <c r="B20" s="28"/>
      <c r="C20" s="45" t="str">
        <f>IF(A20="","",SUMIF('AUS Calculations'!$U$2:$U$21,'AUS Portfolio'!A20,'AUS Calculations'!$W$2:$W$21))</f>
        <v/>
      </c>
      <c r="D20" s="55" t="str">
        <f>IF(A20="","",SUMIF('AUS Calculations'!$U$2:$U$21,'AUS Portfolio'!A20,'AUS Calculations'!$Y$2:$Y$21))</f>
        <v/>
      </c>
      <c r="E20" s="56" t="str" cm="1">
        <f t="array" ref="E20">IF(A20="","",_FV(B20,"Price"))</f>
        <v/>
      </c>
      <c r="F20" s="14" t="str" cm="1">
        <f t="array" ref="F20">IF(A20="","",_FV(B20,"Change"))</f>
        <v/>
      </c>
      <c r="G20" s="14" t="str">
        <f t="shared" si="0"/>
        <v/>
      </c>
      <c r="H20" s="45" t="str">
        <f>IF(A20="","",SUMIF('AUS Calculations'!$U$2:$U$21,'AUS Portfolio'!A20,'AUS Calculations'!$X$2:$X$21))</f>
        <v/>
      </c>
      <c r="I20" s="56" t="str">
        <f t="shared" si="1"/>
        <v/>
      </c>
      <c r="J20" s="56" t="str">
        <f t="shared" si="2"/>
        <v/>
      </c>
      <c r="K20" s="14" t="str">
        <f>IF(A20="","",SUMIF('AUS Calculations'!$U$2:$U$21,'AUS Portfolio'!A20,'AUS Calculations'!$V$2:$V$21))</f>
        <v/>
      </c>
      <c r="L20" s="57"/>
    </row>
    <row r="21" spans="1:12" ht="15" thickBot="1" x14ac:dyDescent="0.35">
      <c r="A21" s="30"/>
      <c r="B21" s="31"/>
      <c r="C21" s="50" t="str">
        <f>IF(A21="","",SUMIF('AUS Calculations'!$U$2:$U$21,'AUS Portfolio'!A21,'AUS Calculations'!$W$2:$W$21))</f>
        <v/>
      </c>
      <c r="D21" s="58" t="str">
        <f>IF(A21="","",SUMIF('AUS Calculations'!$U$2:$U$21,'AUS Portfolio'!A21,'AUS Calculations'!$Y$2:$Y$21))</f>
        <v/>
      </c>
      <c r="E21" s="59" t="str" cm="1">
        <f t="array" ref="E21">IF(A21="","",_FV(B21,"Price"))</f>
        <v/>
      </c>
      <c r="F21" s="60" t="str" cm="1">
        <f t="array" ref="F21">IF(A21="","",_FV(B21,"Change"))</f>
        <v/>
      </c>
      <c r="G21" s="60" t="str">
        <f t="shared" si="0"/>
        <v/>
      </c>
      <c r="H21" s="68" t="s">
        <v>77</v>
      </c>
      <c r="I21" s="67">
        <v>0</v>
      </c>
      <c r="J21" s="59" t="str">
        <f t="shared" si="2"/>
        <v/>
      </c>
      <c r="K21" s="60" t="str">
        <f>IF(A21="","",SUMIF('AUS Calculations'!$U$2:$U$21,'AUS Portfolio'!A21,'AUS Calculations'!$V$2:$V$21))</f>
        <v/>
      </c>
      <c r="L21" s="61"/>
    </row>
    <row r="22" spans="1:12" ht="15" thickBot="1" x14ac:dyDescent="0.35">
      <c r="H22" s="30" t="s">
        <v>76</v>
      </c>
      <c r="I22" s="62">
        <f>SUM(I2:I20)</f>
        <v>0</v>
      </c>
      <c r="J22" s="69">
        <f>SUM(J2:J20)</f>
        <v>0</v>
      </c>
    </row>
    <row r="28" spans="1:12" x14ac:dyDescent="0.3">
      <c r="C28" s="63"/>
      <c r="D28" s="18"/>
    </row>
  </sheetData>
  <conditionalFormatting sqref="G2:G21">
    <cfRule type="cellIs" dxfId="15" priority="7" operator="greaterThan">
      <formula>0</formula>
    </cfRule>
    <cfRule type="cellIs" dxfId="14" priority="8" operator="lessThan">
      <formula>0</formula>
    </cfRule>
  </conditionalFormatting>
  <conditionalFormatting sqref="K2:K21">
    <cfRule type="cellIs" dxfId="13" priority="5" operator="greaterThan">
      <formula>0</formula>
    </cfRule>
    <cfRule type="cellIs" dxfId="12" priority="6" operator="lessThan">
      <formula>0</formula>
    </cfRule>
  </conditionalFormatting>
  <conditionalFormatting sqref="J2:J21">
    <cfRule type="cellIs" dxfId="11" priority="3" operator="greaterThan">
      <formula>0</formula>
    </cfRule>
    <cfRule type="cellIs" dxfId="10" priority="4" operator="lessThan">
      <formula>0</formula>
    </cfRule>
  </conditionalFormatting>
  <conditionalFormatting sqref="J22">
    <cfRule type="cellIs" dxfId="9" priority="1" operator="greaterThan">
      <formula>0</formula>
    </cfRule>
    <cfRule type="cellIs" dxfId="8" priority="2" operator="lessThan">
      <formula>0</formula>
    </cfRule>
  </conditionalFormatting>
  <pageMargins left="0.7" right="0.7" top="0.75" bottom="0.75" header="0.3" footer="0.3"/>
  <drawing r:id="rId1"/>
  <legacyDrawing r:id="rId2"/>
  <controls>
    <mc:AlternateContent xmlns:mc="http://schemas.openxmlformats.org/markup-compatibility/2006">
      <mc:Choice Requires="x14">
        <control shapeId="32769" r:id="rId3" name="TransferButton">
          <controlPr defaultSize="0" autoLine="0" r:id="rId4">
            <anchor moveWithCells="1">
              <from>
                <xdr:col>3</xdr:col>
                <xdr:colOff>137160</xdr:colOff>
                <xdr:row>22</xdr:row>
                <xdr:rowOff>7620</xdr:rowOff>
              </from>
              <to>
                <xdr:col>4</xdr:col>
                <xdr:colOff>510540</xdr:colOff>
                <xdr:row>25</xdr:row>
                <xdr:rowOff>114300</xdr:rowOff>
              </to>
            </anchor>
          </controlPr>
        </control>
      </mc:Choice>
      <mc:Fallback>
        <control shapeId="32769" r:id="rId3" name="TransferButton"/>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1B5D0-E85F-458B-8222-E92BC5BEB748}">
  <sheetPr codeName="Sheet16"/>
  <dimension ref="A1:F300"/>
  <sheetViews>
    <sheetView workbookViewId="0">
      <selection activeCell="C10" sqref="C10"/>
    </sheetView>
  </sheetViews>
  <sheetFormatPr defaultColWidth="8.88671875" defaultRowHeight="14.4" x14ac:dyDescent="0.3"/>
  <cols>
    <col min="1" max="5" width="17.5546875" style="1" customWidth="1"/>
    <col min="6" max="6" width="13.5546875" style="1" customWidth="1"/>
    <col min="7" max="16384" width="8.88671875" style="1"/>
  </cols>
  <sheetData>
    <row r="1" spans="1:6" ht="15" thickBot="1" x14ac:dyDescent="0.35">
      <c r="A1" s="24" t="s">
        <v>45</v>
      </c>
      <c r="B1" s="25" t="s">
        <v>46</v>
      </c>
      <c r="C1" s="25" t="s">
        <v>47</v>
      </c>
      <c r="D1" s="25" t="s">
        <v>48</v>
      </c>
      <c r="E1" s="25" t="s">
        <v>49</v>
      </c>
      <c r="F1" s="26" t="s">
        <v>550</v>
      </c>
    </row>
    <row r="2" spans="1:6" x14ac:dyDescent="0.3">
      <c r="A2" s="40" t="s">
        <v>52</v>
      </c>
      <c r="B2" s="41" t="s">
        <v>51</v>
      </c>
      <c r="C2" s="41">
        <v>40</v>
      </c>
      <c r="D2" s="41">
        <v>761.68</v>
      </c>
      <c r="E2" s="55">
        <f t="shared" ref="E2:E67" si="0">IF(A2="","",D2/C2)</f>
        <v>19.041999999999998</v>
      </c>
      <c r="F2" s="44">
        <v>761.68</v>
      </c>
    </row>
    <row r="3" spans="1:6" x14ac:dyDescent="0.3">
      <c r="A3" s="27" t="s">
        <v>54</v>
      </c>
      <c r="B3" s="28" t="s">
        <v>51</v>
      </c>
      <c r="C3" s="28">
        <v>30</v>
      </c>
      <c r="D3" s="28">
        <v>596.41000000000008</v>
      </c>
      <c r="E3" s="55">
        <f t="shared" si="0"/>
        <v>19.880333333333336</v>
      </c>
      <c r="F3" s="47">
        <v>596.41000000000008</v>
      </c>
    </row>
    <row r="4" spans="1:6" x14ac:dyDescent="0.3">
      <c r="A4" s="27" t="s">
        <v>54</v>
      </c>
      <c r="B4" s="28" t="s">
        <v>55</v>
      </c>
      <c r="C4" s="28">
        <v>30</v>
      </c>
      <c r="D4" s="28">
        <v>501.6</v>
      </c>
      <c r="E4" s="55">
        <f t="shared" si="0"/>
        <v>16.720000000000002</v>
      </c>
      <c r="F4" s="47">
        <v>501.6</v>
      </c>
    </row>
    <row r="5" spans="1:6" x14ac:dyDescent="0.3">
      <c r="A5" s="27" t="s">
        <v>490</v>
      </c>
      <c r="B5" s="28" t="s">
        <v>51</v>
      </c>
      <c r="C5" s="28">
        <v>15</v>
      </c>
      <c r="D5" s="28">
        <v>1023.4</v>
      </c>
      <c r="E5" s="55">
        <f t="shared" si="0"/>
        <v>68.226666666666659</v>
      </c>
      <c r="F5" s="47">
        <v>0</v>
      </c>
    </row>
    <row r="6" spans="1:6" x14ac:dyDescent="0.3">
      <c r="A6" s="27" t="s">
        <v>551</v>
      </c>
      <c r="B6" s="28" t="s">
        <v>51</v>
      </c>
      <c r="C6" s="28">
        <v>40</v>
      </c>
      <c r="D6" s="28">
        <v>1993.63</v>
      </c>
      <c r="E6" s="55">
        <f t="shared" si="0"/>
        <v>49.84075</v>
      </c>
      <c r="F6" s="47">
        <v>0</v>
      </c>
    </row>
    <row r="7" spans="1:6" x14ac:dyDescent="0.3">
      <c r="A7" s="27" t="s">
        <v>495</v>
      </c>
      <c r="B7" s="28" t="s">
        <v>51</v>
      </c>
      <c r="C7" s="28">
        <v>33</v>
      </c>
      <c r="D7" s="28">
        <v>2024.5</v>
      </c>
      <c r="E7" s="55">
        <f t="shared" si="0"/>
        <v>61.348484848484851</v>
      </c>
      <c r="F7" s="47">
        <v>0</v>
      </c>
    </row>
    <row r="8" spans="1:6" x14ac:dyDescent="0.3">
      <c r="A8" s="27" t="s">
        <v>257</v>
      </c>
      <c r="B8" s="28" t="s">
        <v>51</v>
      </c>
      <c r="C8" s="28">
        <v>300</v>
      </c>
      <c r="D8" s="28">
        <v>3254.05</v>
      </c>
      <c r="E8" s="55">
        <f t="shared" si="0"/>
        <v>10.846833333333334</v>
      </c>
      <c r="F8" s="47">
        <v>0</v>
      </c>
    </row>
    <row r="9" spans="1:6" x14ac:dyDescent="0.3">
      <c r="A9" s="27" t="s">
        <v>52</v>
      </c>
      <c r="B9" s="28" t="s">
        <v>51</v>
      </c>
      <c r="C9" s="28">
        <v>35</v>
      </c>
      <c r="D9" s="28">
        <v>916.3</v>
      </c>
      <c r="E9" s="55">
        <f t="shared" si="0"/>
        <v>26.18</v>
      </c>
      <c r="F9" s="47">
        <v>0</v>
      </c>
    </row>
    <row r="10" spans="1:6" x14ac:dyDescent="0.3">
      <c r="A10" s="27"/>
      <c r="B10" s="28"/>
      <c r="C10" s="28"/>
      <c r="D10" s="28"/>
      <c r="E10" s="55" t="str">
        <f t="shared" si="0"/>
        <v/>
      </c>
      <c r="F10" s="47"/>
    </row>
    <row r="11" spans="1:6" x14ac:dyDescent="0.3">
      <c r="A11" s="27"/>
      <c r="B11" s="28"/>
      <c r="C11" s="28"/>
      <c r="D11" s="28"/>
      <c r="E11" s="55" t="str">
        <f t="shared" si="0"/>
        <v/>
      </c>
      <c r="F11" s="47"/>
    </row>
    <row r="12" spans="1:6" x14ac:dyDescent="0.3">
      <c r="A12" s="27"/>
      <c r="B12" s="28"/>
      <c r="C12" s="28"/>
      <c r="D12" s="28"/>
      <c r="E12" s="55" t="str">
        <f t="shared" si="0"/>
        <v/>
      </c>
      <c r="F12" s="47"/>
    </row>
    <row r="13" spans="1:6" x14ac:dyDescent="0.3">
      <c r="A13" s="27"/>
      <c r="B13" s="28"/>
      <c r="C13" s="28"/>
      <c r="D13" s="28"/>
      <c r="E13" s="55" t="str">
        <f t="shared" si="0"/>
        <v/>
      </c>
      <c r="F13" s="47"/>
    </row>
    <row r="14" spans="1:6" x14ac:dyDescent="0.3">
      <c r="A14" s="27"/>
      <c r="B14" s="28"/>
      <c r="C14" s="28"/>
      <c r="D14" s="28"/>
      <c r="E14" s="55" t="str">
        <f t="shared" si="0"/>
        <v/>
      </c>
      <c r="F14" s="47"/>
    </row>
    <row r="15" spans="1:6" x14ac:dyDescent="0.3">
      <c r="A15" s="27"/>
      <c r="B15" s="28"/>
      <c r="C15" s="28"/>
      <c r="D15" s="28"/>
      <c r="E15" s="55" t="str">
        <f t="shared" si="0"/>
        <v/>
      </c>
      <c r="F15" s="47"/>
    </row>
    <row r="16" spans="1:6" x14ac:dyDescent="0.3">
      <c r="A16" s="27"/>
      <c r="B16" s="28"/>
      <c r="C16" s="28"/>
      <c r="D16" s="28"/>
      <c r="E16" s="55" t="str">
        <f t="shared" si="0"/>
        <v/>
      </c>
      <c r="F16" s="47"/>
    </row>
    <row r="17" spans="1:6" x14ac:dyDescent="0.3">
      <c r="A17" s="27"/>
      <c r="B17" s="28"/>
      <c r="C17" s="28"/>
      <c r="D17" s="28"/>
      <c r="E17" s="55" t="str">
        <f t="shared" si="0"/>
        <v/>
      </c>
      <c r="F17" s="47"/>
    </row>
    <row r="18" spans="1:6" x14ac:dyDescent="0.3">
      <c r="A18" s="27"/>
      <c r="B18" s="28"/>
      <c r="C18" s="28"/>
      <c r="D18" s="28"/>
      <c r="E18" s="55" t="str">
        <f t="shared" si="0"/>
        <v/>
      </c>
      <c r="F18" s="47"/>
    </row>
    <row r="19" spans="1:6" x14ac:dyDescent="0.3">
      <c r="A19" s="27"/>
      <c r="B19" s="28"/>
      <c r="C19" s="28"/>
      <c r="D19" s="28"/>
      <c r="E19" s="55" t="str">
        <f t="shared" si="0"/>
        <v/>
      </c>
      <c r="F19" s="47"/>
    </row>
    <row r="20" spans="1:6" x14ac:dyDescent="0.3">
      <c r="A20" s="27"/>
      <c r="B20" s="28"/>
      <c r="C20" s="28"/>
      <c r="D20" s="28"/>
      <c r="E20" s="55" t="str">
        <f t="shared" si="0"/>
        <v/>
      </c>
      <c r="F20" s="47"/>
    </row>
    <row r="21" spans="1:6" x14ac:dyDescent="0.3">
      <c r="A21" s="27"/>
      <c r="B21" s="28"/>
      <c r="C21" s="28"/>
      <c r="D21" s="28"/>
      <c r="E21" s="55" t="str">
        <f t="shared" si="0"/>
        <v/>
      </c>
      <c r="F21" s="47"/>
    </row>
    <row r="22" spans="1:6" x14ac:dyDescent="0.3">
      <c r="A22" s="27"/>
      <c r="B22" s="28"/>
      <c r="C22" s="28"/>
      <c r="D22" s="28"/>
      <c r="E22" s="55" t="str">
        <f t="shared" si="0"/>
        <v/>
      </c>
      <c r="F22" s="47"/>
    </row>
    <row r="23" spans="1:6" x14ac:dyDescent="0.3">
      <c r="A23" s="27"/>
      <c r="B23" s="28"/>
      <c r="C23" s="28"/>
      <c r="D23" s="28"/>
      <c r="E23" s="55" t="str">
        <f t="shared" si="0"/>
        <v/>
      </c>
      <c r="F23" s="47"/>
    </row>
    <row r="24" spans="1:6" x14ac:dyDescent="0.3">
      <c r="A24" s="27"/>
      <c r="B24" s="28"/>
      <c r="C24" s="28"/>
      <c r="D24" s="28"/>
      <c r="E24" s="55" t="str">
        <f t="shared" si="0"/>
        <v/>
      </c>
      <c r="F24" s="47"/>
    </row>
    <row r="25" spans="1:6" x14ac:dyDescent="0.3">
      <c r="A25" s="27"/>
      <c r="B25" s="28"/>
      <c r="C25" s="28"/>
      <c r="D25" s="28"/>
      <c r="E25" s="55" t="str">
        <f t="shared" si="0"/>
        <v/>
      </c>
      <c r="F25" s="47"/>
    </row>
    <row r="26" spans="1:6" x14ac:dyDescent="0.3">
      <c r="A26" s="27"/>
      <c r="B26" s="28"/>
      <c r="C26" s="28"/>
      <c r="D26" s="28"/>
      <c r="E26" s="55" t="str">
        <f t="shared" si="0"/>
        <v/>
      </c>
      <c r="F26" s="47"/>
    </row>
    <row r="27" spans="1:6" x14ac:dyDescent="0.3">
      <c r="A27" s="27"/>
      <c r="B27" s="28"/>
      <c r="C27" s="28"/>
      <c r="D27" s="28"/>
      <c r="E27" s="55" t="str">
        <f t="shared" si="0"/>
        <v/>
      </c>
      <c r="F27" s="47"/>
    </row>
    <row r="28" spans="1:6" x14ac:dyDescent="0.3">
      <c r="A28" s="27"/>
      <c r="B28" s="28"/>
      <c r="C28" s="28"/>
      <c r="D28" s="28"/>
      <c r="E28" s="55" t="str">
        <f t="shared" si="0"/>
        <v/>
      </c>
      <c r="F28" s="47"/>
    </row>
    <row r="29" spans="1:6" x14ac:dyDescent="0.3">
      <c r="A29" s="27"/>
      <c r="B29" s="28"/>
      <c r="C29" s="28"/>
      <c r="D29" s="28"/>
      <c r="E29" s="55" t="str">
        <f t="shared" si="0"/>
        <v/>
      </c>
      <c r="F29" s="47"/>
    </row>
    <row r="30" spans="1:6" x14ac:dyDescent="0.3">
      <c r="A30" s="27"/>
      <c r="B30" s="28"/>
      <c r="C30" s="28"/>
      <c r="D30" s="28"/>
      <c r="E30" s="55" t="str">
        <f t="shared" si="0"/>
        <v/>
      </c>
      <c r="F30" s="47"/>
    </row>
    <row r="31" spans="1:6" x14ac:dyDescent="0.3">
      <c r="A31" s="27"/>
      <c r="B31" s="28"/>
      <c r="C31" s="28"/>
      <c r="D31" s="28"/>
      <c r="E31" s="55" t="str">
        <f t="shared" si="0"/>
        <v/>
      </c>
      <c r="F31" s="47"/>
    </row>
    <row r="32" spans="1:6" x14ac:dyDescent="0.3">
      <c r="A32" s="27"/>
      <c r="B32" s="28"/>
      <c r="C32" s="28"/>
      <c r="D32" s="28"/>
      <c r="E32" s="55" t="str">
        <f t="shared" si="0"/>
        <v/>
      </c>
      <c r="F32" s="47"/>
    </row>
    <row r="33" spans="1:6" x14ac:dyDescent="0.3">
      <c r="A33" s="27"/>
      <c r="B33" s="28"/>
      <c r="C33" s="28"/>
      <c r="D33" s="28"/>
      <c r="E33" s="55" t="str">
        <f t="shared" si="0"/>
        <v/>
      </c>
      <c r="F33" s="47"/>
    </row>
    <row r="34" spans="1:6" x14ac:dyDescent="0.3">
      <c r="A34" s="27"/>
      <c r="B34" s="28"/>
      <c r="C34" s="28"/>
      <c r="D34" s="28"/>
      <c r="E34" s="55" t="str">
        <f t="shared" si="0"/>
        <v/>
      </c>
      <c r="F34" s="47"/>
    </row>
    <row r="35" spans="1:6" x14ac:dyDescent="0.3">
      <c r="A35" s="27"/>
      <c r="B35" s="28"/>
      <c r="C35" s="28"/>
      <c r="D35" s="28"/>
      <c r="E35" s="55" t="str">
        <f t="shared" si="0"/>
        <v/>
      </c>
      <c r="F35" s="47"/>
    </row>
    <row r="36" spans="1:6" x14ac:dyDescent="0.3">
      <c r="A36" s="27"/>
      <c r="B36" s="28"/>
      <c r="C36" s="28"/>
      <c r="D36" s="28"/>
      <c r="E36" s="55" t="str">
        <f t="shared" si="0"/>
        <v/>
      </c>
      <c r="F36" s="47"/>
    </row>
    <row r="37" spans="1:6" x14ac:dyDescent="0.3">
      <c r="A37" s="27"/>
      <c r="B37" s="28"/>
      <c r="C37" s="28"/>
      <c r="D37" s="28"/>
      <c r="E37" s="55" t="str">
        <f t="shared" si="0"/>
        <v/>
      </c>
      <c r="F37" s="47"/>
    </row>
    <row r="38" spans="1:6" x14ac:dyDescent="0.3">
      <c r="A38" s="27"/>
      <c r="B38" s="28"/>
      <c r="C38" s="28"/>
      <c r="D38" s="28"/>
      <c r="E38" s="55" t="str">
        <f t="shared" si="0"/>
        <v/>
      </c>
      <c r="F38" s="47"/>
    </row>
    <row r="39" spans="1:6" x14ac:dyDescent="0.3">
      <c r="A39" s="27"/>
      <c r="B39" s="28"/>
      <c r="C39" s="28"/>
      <c r="D39" s="28"/>
      <c r="E39" s="55" t="str">
        <f t="shared" si="0"/>
        <v/>
      </c>
      <c r="F39" s="47"/>
    </row>
    <row r="40" spans="1:6" x14ac:dyDescent="0.3">
      <c r="A40" s="27"/>
      <c r="B40" s="28"/>
      <c r="C40" s="28"/>
      <c r="D40" s="28"/>
      <c r="E40" s="55" t="str">
        <f t="shared" si="0"/>
        <v/>
      </c>
      <c r="F40" s="47"/>
    </row>
    <row r="41" spans="1:6" x14ac:dyDescent="0.3">
      <c r="A41" s="27"/>
      <c r="B41" s="28"/>
      <c r="C41" s="28"/>
      <c r="D41" s="28"/>
      <c r="E41" s="55" t="str">
        <f t="shared" si="0"/>
        <v/>
      </c>
      <c r="F41" s="47"/>
    </row>
    <row r="42" spans="1:6" x14ac:dyDescent="0.3">
      <c r="A42" s="27"/>
      <c r="B42" s="28"/>
      <c r="C42" s="28"/>
      <c r="D42" s="28"/>
      <c r="E42" s="55" t="str">
        <f t="shared" si="0"/>
        <v/>
      </c>
      <c r="F42" s="47"/>
    </row>
    <row r="43" spans="1:6" x14ac:dyDescent="0.3">
      <c r="A43" s="27"/>
      <c r="B43" s="28"/>
      <c r="C43" s="28"/>
      <c r="D43" s="28"/>
      <c r="E43" s="55" t="str">
        <f t="shared" si="0"/>
        <v/>
      </c>
      <c r="F43" s="47"/>
    </row>
    <row r="44" spans="1:6" x14ac:dyDescent="0.3">
      <c r="A44" s="27"/>
      <c r="B44" s="28"/>
      <c r="C44" s="28"/>
      <c r="D44" s="28"/>
      <c r="E44" s="55" t="str">
        <f t="shared" si="0"/>
        <v/>
      </c>
      <c r="F44" s="47"/>
    </row>
    <row r="45" spans="1:6" x14ac:dyDescent="0.3">
      <c r="A45" s="27"/>
      <c r="B45" s="28"/>
      <c r="C45" s="28"/>
      <c r="D45" s="28"/>
      <c r="E45" s="55" t="str">
        <f t="shared" si="0"/>
        <v/>
      </c>
      <c r="F45" s="47"/>
    </row>
    <row r="46" spans="1:6" x14ac:dyDescent="0.3">
      <c r="A46" s="27"/>
      <c r="B46" s="28"/>
      <c r="C46" s="28"/>
      <c r="D46" s="28"/>
      <c r="E46" s="55" t="str">
        <f t="shared" si="0"/>
        <v/>
      </c>
      <c r="F46" s="47"/>
    </row>
    <row r="47" spans="1:6" x14ac:dyDescent="0.3">
      <c r="A47" s="27"/>
      <c r="B47" s="28"/>
      <c r="C47" s="28"/>
      <c r="D47" s="28"/>
      <c r="E47" s="55" t="str">
        <f t="shared" si="0"/>
        <v/>
      </c>
      <c r="F47" s="47"/>
    </row>
    <row r="48" spans="1:6" x14ac:dyDescent="0.3">
      <c r="A48" s="27"/>
      <c r="B48" s="28"/>
      <c r="C48" s="28"/>
      <c r="D48" s="28"/>
      <c r="E48" s="55" t="str">
        <f t="shared" si="0"/>
        <v/>
      </c>
      <c r="F48" s="47"/>
    </row>
    <row r="49" spans="1:6" x14ac:dyDescent="0.3">
      <c r="A49" s="27"/>
      <c r="B49" s="28"/>
      <c r="C49" s="28"/>
      <c r="D49" s="28"/>
      <c r="E49" s="55" t="str">
        <f t="shared" si="0"/>
        <v/>
      </c>
      <c r="F49" s="47"/>
    </row>
    <row r="50" spans="1:6" x14ac:dyDescent="0.3">
      <c r="A50" s="27"/>
      <c r="B50" s="28"/>
      <c r="C50" s="28"/>
      <c r="D50" s="28"/>
      <c r="E50" s="55" t="str">
        <f t="shared" si="0"/>
        <v/>
      </c>
      <c r="F50" s="47"/>
    </row>
    <row r="51" spans="1:6" x14ac:dyDescent="0.3">
      <c r="A51" s="27"/>
      <c r="B51" s="28"/>
      <c r="C51" s="28"/>
      <c r="D51" s="28"/>
      <c r="E51" s="55" t="str">
        <f t="shared" si="0"/>
        <v/>
      </c>
      <c r="F51" s="47"/>
    </row>
    <row r="52" spans="1:6" x14ac:dyDescent="0.3">
      <c r="A52" s="27"/>
      <c r="B52" s="28"/>
      <c r="C52" s="28"/>
      <c r="D52" s="28"/>
      <c r="E52" s="55" t="str">
        <f t="shared" si="0"/>
        <v/>
      </c>
      <c r="F52" s="47"/>
    </row>
    <row r="53" spans="1:6" x14ac:dyDescent="0.3">
      <c r="A53" s="27"/>
      <c r="B53" s="28"/>
      <c r="C53" s="28"/>
      <c r="D53" s="28"/>
      <c r="E53" s="55" t="str">
        <f t="shared" si="0"/>
        <v/>
      </c>
      <c r="F53" s="47"/>
    </row>
    <row r="54" spans="1:6" x14ac:dyDescent="0.3">
      <c r="A54" s="27"/>
      <c r="B54" s="28"/>
      <c r="C54" s="28"/>
      <c r="D54" s="28"/>
      <c r="E54" s="55" t="str">
        <f t="shared" si="0"/>
        <v/>
      </c>
      <c r="F54" s="47"/>
    </row>
    <row r="55" spans="1:6" x14ac:dyDescent="0.3">
      <c r="A55" s="27"/>
      <c r="B55" s="28"/>
      <c r="C55" s="28"/>
      <c r="D55" s="28"/>
      <c r="E55" s="55" t="str">
        <f t="shared" si="0"/>
        <v/>
      </c>
      <c r="F55" s="47"/>
    </row>
    <row r="56" spans="1:6" x14ac:dyDescent="0.3">
      <c r="A56" s="27"/>
      <c r="B56" s="28"/>
      <c r="C56" s="28"/>
      <c r="D56" s="28"/>
      <c r="E56" s="55" t="str">
        <f t="shared" si="0"/>
        <v/>
      </c>
      <c r="F56" s="47"/>
    </row>
    <row r="57" spans="1:6" x14ac:dyDescent="0.3">
      <c r="A57" s="27"/>
      <c r="B57" s="28"/>
      <c r="C57" s="28"/>
      <c r="D57" s="28"/>
      <c r="E57" s="55" t="str">
        <f t="shared" si="0"/>
        <v/>
      </c>
      <c r="F57" s="47"/>
    </row>
    <row r="58" spans="1:6" x14ac:dyDescent="0.3">
      <c r="A58" s="27"/>
      <c r="B58" s="28"/>
      <c r="C58" s="28"/>
      <c r="D58" s="28"/>
      <c r="E58" s="55" t="str">
        <f t="shared" si="0"/>
        <v/>
      </c>
      <c r="F58" s="47"/>
    </row>
    <row r="59" spans="1:6" x14ac:dyDescent="0.3">
      <c r="A59" s="27"/>
      <c r="B59" s="28"/>
      <c r="C59" s="28"/>
      <c r="D59" s="28"/>
      <c r="E59" s="55" t="str">
        <f t="shared" si="0"/>
        <v/>
      </c>
      <c r="F59" s="47"/>
    </row>
    <row r="60" spans="1:6" x14ac:dyDescent="0.3">
      <c r="A60" s="27"/>
      <c r="B60" s="28"/>
      <c r="C60" s="28"/>
      <c r="D60" s="28"/>
      <c r="E60" s="55" t="str">
        <f t="shared" si="0"/>
        <v/>
      </c>
      <c r="F60" s="47"/>
    </row>
    <row r="61" spans="1:6" x14ac:dyDescent="0.3">
      <c r="A61" s="27"/>
      <c r="B61" s="28"/>
      <c r="C61" s="28"/>
      <c r="D61" s="28"/>
      <c r="E61" s="55" t="str">
        <f t="shared" si="0"/>
        <v/>
      </c>
      <c r="F61" s="47"/>
    </row>
    <row r="62" spans="1:6" x14ac:dyDescent="0.3">
      <c r="A62" s="27"/>
      <c r="B62" s="28"/>
      <c r="C62" s="28"/>
      <c r="D62" s="28"/>
      <c r="E62" s="55" t="str">
        <f t="shared" si="0"/>
        <v/>
      </c>
      <c r="F62" s="47"/>
    </row>
    <row r="63" spans="1:6" x14ac:dyDescent="0.3">
      <c r="A63" s="27"/>
      <c r="B63" s="28"/>
      <c r="C63" s="28"/>
      <c r="D63" s="28"/>
      <c r="E63" s="55" t="str">
        <f t="shared" si="0"/>
        <v/>
      </c>
      <c r="F63" s="47"/>
    </row>
    <row r="64" spans="1:6" x14ac:dyDescent="0.3">
      <c r="A64" s="27"/>
      <c r="B64" s="28"/>
      <c r="C64" s="28"/>
      <c r="D64" s="28"/>
      <c r="E64" s="55" t="str">
        <f t="shared" si="0"/>
        <v/>
      </c>
      <c r="F64" s="47"/>
    </row>
    <row r="65" spans="1:6" x14ac:dyDescent="0.3">
      <c r="A65" s="27"/>
      <c r="B65" s="28"/>
      <c r="C65" s="28"/>
      <c r="D65" s="28"/>
      <c r="E65" s="55" t="str">
        <f t="shared" si="0"/>
        <v/>
      </c>
      <c r="F65" s="47"/>
    </row>
    <row r="66" spans="1:6" x14ac:dyDescent="0.3">
      <c r="A66" s="27"/>
      <c r="B66" s="28"/>
      <c r="C66" s="28"/>
      <c r="D66" s="28"/>
      <c r="E66" s="55" t="str">
        <f t="shared" si="0"/>
        <v/>
      </c>
      <c r="F66" s="47"/>
    </row>
    <row r="67" spans="1:6" x14ac:dyDescent="0.3">
      <c r="A67" s="27"/>
      <c r="B67" s="28"/>
      <c r="C67" s="28"/>
      <c r="D67" s="28"/>
      <c r="E67" s="55" t="str">
        <f t="shared" si="0"/>
        <v/>
      </c>
      <c r="F67" s="47"/>
    </row>
    <row r="68" spans="1:6" x14ac:dyDescent="0.3">
      <c r="A68" s="27"/>
      <c r="B68" s="28"/>
      <c r="C68" s="28"/>
      <c r="D68" s="28"/>
      <c r="E68" s="55" t="str">
        <f t="shared" ref="E68:E131" si="1">IF(A68="","",D68/C68)</f>
        <v/>
      </c>
      <c r="F68" s="47"/>
    </row>
    <row r="69" spans="1:6" x14ac:dyDescent="0.3">
      <c r="A69" s="27"/>
      <c r="B69" s="28"/>
      <c r="C69" s="28"/>
      <c r="D69" s="28"/>
      <c r="E69" s="55" t="str">
        <f t="shared" si="1"/>
        <v/>
      </c>
      <c r="F69" s="47"/>
    </row>
    <row r="70" spans="1:6" x14ac:dyDescent="0.3">
      <c r="A70" s="27"/>
      <c r="B70" s="28"/>
      <c r="C70" s="28"/>
      <c r="D70" s="28"/>
      <c r="E70" s="55" t="str">
        <f t="shared" si="1"/>
        <v/>
      </c>
      <c r="F70" s="47"/>
    </row>
    <row r="71" spans="1:6" x14ac:dyDescent="0.3">
      <c r="A71" s="27"/>
      <c r="B71" s="28"/>
      <c r="C71" s="28"/>
      <c r="D71" s="28"/>
      <c r="E71" s="55" t="str">
        <f t="shared" si="1"/>
        <v/>
      </c>
      <c r="F71" s="47"/>
    </row>
    <row r="72" spans="1:6" x14ac:dyDescent="0.3">
      <c r="A72" s="27"/>
      <c r="B72" s="28"/>
      <c r="C72" s="28"/>
      <c r="D72" s="28"/>
      <c r="E72" s="55" t="str">
        <f t="shared" si="1"/>
        <v/>
      </c>
      <c r="F72" s="47"/>
    </row>
    <row r="73" spans="1:6" x14ac:dyDescent="0.3">
      <c r="A73" s="27"/>
      <c r="B73" s="28"/>
      <c r="C73" s="28"/>
      <c r="D73" s="28"/>
      <c r="E73" s="55" t="str">
        <f t="shared" si="1"/>
        <v/>
      </c>
      <c r="F73" s="47"/>
    </row>
    <row r="74" spans="1:6" x14ac:dyDescent="0.3">
      <c r="A74" s="27"/>
      <c r="B74" s="28"/>
      <c r="C74" s="28"/>
      <c r="D74" s="28"/>
      <c r="E74" s="55" t="str">
        <f t="shared" si="1"/>
        <v/>
      </c>
      <c r="F74" s="47"/>
    </row>
    <row r="75" spans="1:6" x14ac:dyDescent="0.3">
      <c r="A75" s="27"/>
      <c r="B75" s="28"/>
      <c r="C75" s="28"/>
      <c r="D75" s="28"/>
      <c r="E75" s="55" t="str">
        <f t="shared" si="1"/>
        <v/>
      </c>
      <c r="F75" s="47"/>
    </row>
    <row r="76" spans="1:6" x14ac:dyDescent="0.3">
      <c r="A76" s="27"/>
      <c r="B76" s="28"/>
      <c r="C76" s="28"/>
      <c r="D76" s="28"/>
      <c r="E76" s="55" t="str">
        <f t="shared" si="1"/>
        <v/>
      </c>
      <c r="F76" s="47"/>
    </row>
    <row r="77" spans="1:6" x14ac:dyDescent="0.3">
      <c r="A77" s="27"/>
      <c r="B77" s="28"/>
      <c r="C77" s="28"/>
      <c r="D77" s="28"/>
      <c r="E77" s="55" t="str">
        <f t="shared" si="1"/>
        <v/>
      </c>
      <c r="F77" s="47"/>
    </row>
    <row r="78" spans="1:6" x14ac:dyDescent="0.3">
      <c r="A78" s="27"/>
      <c r="B78" s="28"/>
      <c r="C78" s="28"/>
      <c r="D78" s="28"/>
      <c r="E78" s="55" t="str">
        <f t="shared" si="1"/>
        <v/>
      </c>
      <c r="F78" s="47"/>
    </row>
    <row r="79" spans="1:6" x14ac:dyDescent="0.3">
      <c r="A79" s="27"/>
      <c r="B79" s="28"/>
      <c r="C79" s="28"/>
      <c r="D79" s="28"/>
      <c r="E79" s="55" t="str">
        <f t="shared" si="1"/>
        <v/>
      </c>
      <c r="F79" s="47"/>
    </row>
    <row r="80" spans="1:6" x14ac:dyDescent="0.3">
      <c r="A80" s="27"/>
      <c r="B80" s="28"/>
      <c r="C80" s="28"/>
      <c r="D80" s="28"/>
      <c r="E80" s="55" t="str">
        <f t="shared" si="1"/>
        <v/>
      </c>
      <c r="F80" s="47"/>
    </row>
    <row r="81" spans="1:6" x14ac:dyDescent="0.3">
      <c r="A81" s="27"/>
      <c r="B81" s="28"/>
      <c r="C81" s="28"/>
      <c r="D81" s="28"/>
      <c r="E81" s="55" t="str">
        <f t="shared" si="1"/>
        <v/>
      </c>
      <c r="F81" s="47"/>
    </row>
    <row r="82" spans="1:6" x14ac:dyDescent="0.3">
      <c r="A82" s="27"/>
      <c r="B82" s="28"/>
      <c r="C82" s="28"/>
      <c r="D82" s="28"/>
      <c r="E82" s="55" t="str">
        <f t="shared" si="1"/>
        <v/>
      </c>
      <c r="F82" s="47"/>
    </row>
    <row r="83" spans="1:6" x14ac:dyDescent="0.3">
      <c r="A83" s="27"/>
      <c r="B83" s="28"/>
      <c r="C83" s="28"/>
      <c r="D83" s="28"/>
      <c r="E83" s="55" t="str">
        <f t="shared" si="1"/>
        <v/>
      </c>
      <c r="F83" s="47"/>
    </row>
    <row r="84" spans="1:6" x14ac:dyDescent="0.3">
      <c r="A84" s="27"/>
      <c r="B84" s="28"/>
      <c r="C84" s="28"/>
      <c r="D84" s="28"/>
      <c r="E84" s="55" t="str">
        <f t="shared" si="1"/>
        <v/>
      </c>
      <c r="F84" s="47"/>
    </row>
    <row r="85" spans="1:6" x14ac:dyDescent="0.3">
      <c r="A85" s="27"/>
      <c r="B85" s="28"/>
      <c r="C85" s="28"/>
      <c r="D85" s="28"/>
      <c r="E85" s="55" t="str">
        <f t="shared" si="1"/>
        <v/>
      </c>
      <c r="F85" s="47"/>
    </row>
    <row r="86" spans="1:6" x14ac:dyDescent="0.3">
      <c r="A86" s="27"/>
      <c r="B86" s="28"/>
      <c r="C86" s="28"/>
      <c r="D86" s="28"/>
      <c r="E86" s="55" t="str">
        <f t="shared" si="1"/>
        <v/>
      </c>
      <c r="F86" s="47"/>
    </row>
    <row r="87" spans="1:6" x14ac:dyDescent="0.3">
      <c r="A87" s="27"/>
      <c r="B87" s="28"/>
      <c r="C87" s="28"/>
      <c r="D87" s="28"/>
      <c r="E87" s="55" t="str">
        <f t="shared" si="1"/>
        <v/>
      </c>
      <c r="F87" s="47"/>
    </row>
    <row r="88" spans="1:6" x14ac:dyDescent="0.3">
      <c r="A88" s="27"/>
      <c r="B88" s="28"/>
      <c r="C88" s="28"/>
      <c r="D88" s="28"/>
      <c r="E88" s="55" t="str">
        <f t="shared" si="1"/>
        <v/>
      </c>
      <c r="F88" s="47"/>
    </row>
    <row r="89" spans="1:6" x14ac:dyDescent="0.3">
      <c r="A89" s="27"/>
      <c r="B89" s="28"/>
      <c r="C89" s="28"/>
      <c r="D89" s="28"/>
      <c r="E89" s="55" t="str">
        <f t="shared" si="1"/>
        <v/>
      </c>
      <c r="F89" s="47"/>
    </row>
    <row r="90" spans="1:6" x14ac:dyDescent="0.3">
      <c r="A90" s="27"/>
      <c r="B90" s="28"/>
      <c r="C90" s="28"/>
      <c r="D90" s="28"/>
      <c r="E90" s="55" t="str">
        <f t="shared" si="1"/>
        <v/>
      </c>
      <c r="F90" s="47"/>
    </row>
    <row r="91" spans="1:6" x14ac:dyDescent="0.3">
      <c r="A91" s="27"/>
      <c r="B91" s="28"/>
      <c r="C91" s="28"/>
      <c r="D91" s="28"/>
      <c r="E91" s="55" t="str">
        <f t="shared" si="1"/>
        <v/>
      </c>
      <c r="F91" s="47"/>
    </row>
    <row r="92" spans="1:6" x14ac:dyDescent="0.3">
      <c r="A92" s="27"/>
      <c r="B92" s="28"/>
      <c r="C92" s="28"/>
      <c r="D92" s="28"/>
      <c r="E92" s="55" t="str">
        <f t="shared" si="1"/>
        <v/>
      </c>
      <c r="F92" s="47"/>
    </row>
    <row r="93" spans="1:6" x14ac:dyDescent="0.3">
      <c r="A93" s="27"/>
      <c r="B93" s="28"/>
      <c r="C93" s="28"/>
      <c r="D93" s="28"/>
      <c r="E93" s="55" t="str">
        <f t="shared" si="1"/>
        <v/>
      </c>
      <c r="F93" s="47"/>
    </row>
    <row r="94" spans="1:6" x14ac:dyDescent="0.3">
      <c r="A94" s="27"/>
      <c r="B94" s="28"/>
      <c r="C94" s="28"/>
      <c r="D94" s="28"/>
      <c r="E94" s="55" t="str">
        <f t="shared" si="1"/>
        <v/>
      </c>
      <c r="F94" s="47"/>
    </row>
    <row r="95" spans="1:6" x14ac:dyDescent="0.3">
      <c r="A95" s="27"/>
      <c r="B95" s="28"/>
      <c r="C95" s="28"/>
      <c r="D95" s="28"/>
      <c r="E95" s="55" t="str">
        <f t="shared" si="1"/>
        <v/>
      </c>
      <c r="F95" s="47"/>
    </row>
    <row r="96" spans="1:6" x14ac:dyDescent="0.3">
      <c r="A96" s="27"/>
      <c r="B96" s="28"/>
      <c r="C96" s="28"/>
      <c r="D96" s="28"/>
      <c r="E96" s="55" t="str">
        <f t="shared" si="1"/>
        <v/>
      </c>
      <c r="F96" s="47"/>
    </row>
    <row r="97" spans="1:6" x14ac:dyDescent="0.3">
      <c r="A97" s="27"/>
      <c r="B97" s="28"/>
      <c r="C97" s="28"/>
      <c r="D97" s="28"/>
      <c r="E97" s="55" t="str">
        <f t="shared" si="1"/>
        <v/>
      </c>
      <c r="F97" s="47"/>
    </row>
    <row r="98" spans="1:6" x14ac:dyDescent="0.3">
      <c r="A98" s="27"/>
      <c r="B98" s="28"/>
      <c r="C98" s="28"/>
      <c r="D98" s="28"/>
      <c r="E98" s="55" t="str">
        <f t="shared" si="1"/>
        <v/>
      </c>
      <c r="F98" s="47"/>
    </row>
    <row r="99" spans="1:6" x14ac:dyDescent="0.3">
      <c r="A99" s="27"/>
      <c r="B99" s="28"/>
      <c r="C99" s="28"/>
      <c r="D99" s="28"/>
      <c r="E99" s="55" t="str">
        <f t="shared" si="1"/>
        <v/>
      </c>
      <c r="F99" s="47"/>
    </row>
    <row r="100" spans="1:6" x14ac:dyDescent="0.3">
      <c r="A100" s="27"/>
      <c r="B100" s="28"/>
      <c r="C100" s="28"/>
      <c r="D100" s="28"/>
      <c r="E100" s="55" t="str">
        <f t="shared" si="1"/>
        <v/>
      </c>
      <c r="F100" s="47"/>
    </row>
    <row r="101" spans="1:6" x14ac:dyDescent="0.3">
      <c r="A101" s="27"/>
      <c r="B101" s="28"/>
      <c r="C101" s="28"/>
      <c r="D101" s="28"/>
      <c r="E101" s="55" t="str">
        <f t="shared" si="1"/>
        <v/>
      </c>
      <c r="F101" s="47"/>
    </row>
    <row r="102" spans="1:6" x14ac:dyDescent="0.3">
      <c r="A102" s="27"/>
      <c r="B102" s="28"/>
      <c r="C102" s="28"/>
      <c r="D102" s="28"/>
      <c r="E102" s="55" t="str">
        <f t="shared" si="1"/>
        <v/>
      </c>
      <c r="F102" s="47"/>
    </row>
    <row r="103" spans="1:6" x14ac:dyDescent="0.3">
      <c r="A103" s="27"/>
      <c r="B103" s="28"/>
      <c r="C103" s="28"/>
      <c r="D103" s="28"/>
      <c r="E103" s="55" t="str">
        <f t="shared" si="1"/>
        <v/>
      </c>
      <c r="F103" s="47"/>
    </row>
    <row r="104" spans="1:6" x14ac:dyDescent="0.3">
      <c r="A104" s="27"/>
      <c r="B104" s="28"/>
      <c r="C104" s="28"/>
      <c r="D104" s="28"/>
      <c r="E104" s="55" t="str">
        <f t="shared" si="1"/>
        <v/>
      </c>
      <c r="F104" s="47"/>
    </row>
    <row r="105" spans="1:6" x14ac:dyDescent="0.3">
      <c r="A105" s="27"/>
      <c r="B105" s="28"/>
      <c r="C105" s="28"/>
      <c r="D105" s="28"/>
      <c r="E105" s="55" t="str">
        <f t="shared" si="1"/>
        <v/>
      </c>
      <c r="F105" s="47"/>
    </row>
    <row r="106" spans="1:6" x14ac:dyDescent="0.3">
      <c r="A106" s="27"/>
      <c r="B106" s="28"/>
      <c r="C106" s="28"/>
      <c r="D106" s="28"/>
      <c r="E106" s="55" t="str">
        <f t="shared" si="1"/>
        <v/>
      </c>
      <c r="F106" s="47"/>
    </row>
    <row r="107" spans="1:6" x14ac:dyDescent="0.3">
      <c r="A107" s="27"/>
      <c r="B107" s="28"/>
      <c r="C107" s="28"/>
      <c r="D107" s="28"/>
      <c r="E107" s="55" t="str">
        <f t="shared" si="1"/>
        <v/>
      </c>
      <c r="F107" s="47"/>
    </row>
    <row r="108" spans="1:6" x14ac:dyDescent="0.3">
      <c r="A108" s="27"/>
      <c r="B108" s="28"/>
      <c r="C108" s="28"/>
      <c r="D108" s="28"/>
      <c r="E108" s="55" t="str">
        <f t="shared" si="1"/>
        <v/>
      </c>
      <c r="F108" s="47"/>
    </row>
    <row r="109" spans="1:6" x14ac:dyDescent="0.3">
      <c r="A109" s="27"/>
      <c r="B109" s="28"/>
      <c r="C109" s="28"/>
      <c r="D109" s="28"/>
      <c r="E109" s="55" t="str">
        <f t="shared" si="1"/>
        <v/>
      </c>
      <c r="F109" s="47"/>
    </row>
    <row r="110" spans="1:6" x14ac:dyDescent="0.3">
      <c r="A110" s="27"/>
      <c r="B110" s="28"/>
      <c r="C110" s="28"/>
      <c r="D110" s="28"/>
      <c r="E110" s="55" t="str">
        <f t="shared" si="1"/>
        <v/>
      </c>
      <c r="F110" s="47"/>
    </row>
    <row r="111" spans="1:6" x14ac:dyDescent="0.3">
      <c r="A111" s="27"/>
      <c r="B111" s="28"/>
      <c r="C111" s="28"/>
      <c r="D111" s="28"/>
      <c r="E111" s="55" t="str">
        <f t="shared" si="1"/>
        <v/>
      </c>
      <c r="F111" s="47"/>
    </row>
    <row r="112" spans="1:6" x14ac:dyDescent="0.3">
      <c r="A112" s="27"/>
      <c r="B112" s="28"/>
      <c r="C112" s="28"/>
      <c r="D112" s="28"/>
      <c r="E112" s="55" t="str">
        <f t="shared" si="1"/>
        <v/>
      </c>
      <c r="F112" s="47"/>
    </row>
    <row r="113" spans="1:6" x14ac:dyDescent="0.3">
      <c r="A113" s="27"/>
      <c r="B113" s="28"/>
      <c r="C113" s="28"/>
      <c r="D113" s="28"/>
      <c r="E113" s="55" t="str">
        <f t="shared" si="1"/>
        <v/>
      </c>
      <c r="F113" s="47"/>
    </row>
    <row r="114" spans="1:6" x14ac:dyDescent="0.3">
      <c r="A114" s="27"/>
      <c r="B114" s="28"/>
      <c r="C114" s="28"/>
      <c r="D114" s="28"/>
      <c r="E114" s="55" t="str">
        <f t="shared" si="1"/>
        <v/>
      </c>
      <c r="F114" s="47"/>
    </row>
    <row r="115" spans="1:6" x14ac:dyDescent="0.3">
      <c r="A115" s="27"/>
      <c r="B115" s="28"/>
      <c r="C115" s="28"/>
      <c r="D115" s="28"/>
      <c r="E115" s="55" t="str">
        <f t="shared" si="1"/>
        <v/>
      </c>
      <c r="F115" s="47"/>
    </row>
    <row r="116" spans="1:6" x14ac:dyDescent="0.3">
      <c r="A116" s="27"/>
      <c r="B116" s="28"/>
      <c r="C116" s="28"/>
      <c r="D116" s="28"/>
      <c r="E116" s="55" t="str">
        <f t="shared" si="1"/>
        <v/>
      </c>
      <c r="F116" s="47"/>
    </row>
    <row r="117" spans="1:6" x14ac:dyDescent="0.3">
      <c r="A117" s="27"/>
      <c r="B117" s="28"/>
      <c r="C117" s="28"/>
      <c r="D117" s="28"/>
      <c r="E117" s="55" t="str">
        <f t="shared" si="1"/>
        <v/>
      </c>
      <c r="F117" s="47"/>
    </row>
    <row r="118" spans="1:6" x14ac:dyDescent="0.3">
      <c r="A118" s="27"/>
      <c r="B118" s="28"/>
      <c r="C118" s="28"/>
      <c r="D118" s="28"/>
      <c r="E118" s="55" t="str">
        <f t="shared" si="1"/>
        <v/>
      </c>
      <c r="F118" s="47"/>
    </row>
    <row r="119" spans="1:6" x14ac:dyDescent="0.3">
      <c r="A119" s="27"/>
      <c r="B119" s="28"/>
      <c r="C119" s="28"/>
      <c r="D119" s="28"/>
      <c r="E119" s="55" t="str">
        <f t="shared" si="1"/>
        <v/>
      </c>
      <c r="F119" s="47"/>
    </row>
    <row r="120" spans="1:6" x14ac:dyDescent="0.3">
      <c r="A120" s="27"/>
      <c r="B120" s="28"/>
      <c r="C120" s="28"/>
      <c r="D120" s="28"/>
      <c r="E120" s="55" t="str">
        <f t="shared" si="1"/>
        <v/>
      </c>
      <c r="F120" s="47"/>
    </row>
    <row r="121" spans="1:6" x14ac:dyDescent="0.3">
      <c r="A121" s="27"/>
      <c r="B121" s="28"/>
      <c r="C121" s="28"/>
      <c r="D121" s="28"/>
      <c r="E121" s="55" t="str">
        <f t="shared" si="1"/>
        <v/>
      </c>
      <c r="F121" s="47"/>
    </row>
    <row r="122" spans="1:6" x14ac:dyDescent="0.3">
      <c r="A122" s="27"/>
      <c r="B122" s="28"/>
      <c r="C122" s="28"/>
      <c r="D122" s="28"/>
      <c r="E122" s="55" t="str">
        <f t="shared" si="1"/>
        <v/>
      </c>
      <c r="F122" s="47"/>
    </row>
    <row r="123" spans="1:6" x14ac:dyDescent="0.3">
      <c r="A123" s="27"/>
      <c r="B123" s="28"/>
      <c r="C123" s="28"/>
      <c r="D123" s="28"/>
      <c r="E123" s="55" t="str">
        <f t="shared" si="1"/>
        <v/>
      </c>
      <c r="F123" s="47"/>
    </row>
    <row r="124" spans="1:6" x14ac:dyDescent="0.3">
      <c r="A124" s="27"/>
      <c r="B124" s="28"/>
      <c r="C124" s="28"/>
      <c r="D124" s="28"/>
      <c r="E124" s="55" t="str">
        <f t="shared" si="1"/>
        <v/>
      </c>
      <c r="F124" s="47"/>
    </row>
    <row r="125" spans="1:6" x14ac:dyDescent="0.3">
      <c r="A125" s="27"/>
      <c r="B125" s="28"/>
      <c r="C125" s="28"/>
      <c r="D125" s="28"/>
      <c r="E125" s="55" t="str">
        <f t="shared" si="1"/>
        <v/>
      </c>
      <c r="F125" s="47"/>
    </row>
    <row r="126" spans="1:6" x14ac:dyDescent="0.3">
      <c r="A126" s="27"/>
      <c r="B126" s="28"/>
      <c r="C126" s="28"/>
      <c r="D126" s="28"/>
      <c r="E126" s="55" t="str">
        <f t="shared" si="1"/>
        <v/>
      </c>
      <c r="F126" s="47"/>
    </row>
    <row r="127" spans="1:6" x14ac:dyDescent="0.3">
      <c r="A127" s="27"/>
      <c r="B127" s="28"/>
      <c r="C127" s="28"/>
      <c r="D127" s="28"/>
      <c r="E127" s="55" t="str">
        <f t="shared" si="1"/>
        <v/>
      </c>
      <c r="F127" s="47"/>
    </row>
    <row r="128" spans="1:6" x14ac:dyDescent="0.3">
      <c r="A128" s="27"/>
      <c r="B128" s="28"/>
      <c r="C128" s="28"/>
      <c r="D128" s="28"/>
      <c r="E128" s="55" t="str">
        <f t="shared" si="1"/>
        <v/>
      </c>
      <c r="F128" s="47"/>
    </row>
    <row r="129" spans="1:6" x14ac:dyDescent="0.3">
      <c r="A129" s="27"/>
      <c r="B129" s="28"/>
      <c r="C129" s="28"/>
      <c r="D129" s="28"/>
      <c r="E129" s="55" t="str">
        <f t="shared" si="1"/>
        <v/>
      </c>
      <c r="F129" s="47"/>
    </row>
    <row r="130" spans="1:6" x14ac:dyDescent="0.3">
      <c r="A130" s="27"/>
      <c r="B130" s="28"/>
      <c r="C130" s="28"/>
      <c r="D130" s="28"/>
      <c r="E130" s="55" t="str">
        <f t="shared" si="1"/>
        <v/>
      </c>
      <c r="F130" s="47"/>
    </row>
    <row r="131" spans="1:6" x14ac:dyDescent="0.3">
      <c r="A131" s="27"/>
      <c r="B131" s="28"/>
      <c r="C131" s="28"/>
      <c r="D131" s="28"/>
      <c r="E131" s="55" t="str">
        <f t="shared" si="1"/>
        <v/>
      </c>
      <c r="F131" s="47"/>
    </row>
    <row r="132" spans="1:6" x14ac:dyDescent="0.3">
      <c r="A132" s="27"/>
      <c r="B132" s="28"/>
      <c r="C132" s="28"/>
      <c r="D132" s="28"/>
      <c r="E132" s="55" t="str">
        <f t="shared" ref="E132:E195" si="2">IF(A132="","",D132/C132)</f>
        <v/>
      </c>
      <c r="F132" s="47"/>
    </row>
    <row r="133" spans="1:6" x14ac:dyDescent="0.3">
      <c r="A133" s="27"/>
      <c r="B133" s="28"/>
      <c r="C133" s="28"/>
      <c r="D133" s="28"/>
      <c r="E133" s="55" t="str">
        <f t="shared" si="2"/>
        <v/>
      </c>
      <c r="F133" s="47"/>
    </row>
    <row r="134" spans="1:6" x14ac:dyDescent="0.3">
      <c r="A134" s="27"/>
      <c r="B134" s="28"/>
      <c r="C134" s="28"/>
      <c r="D134" s="28"/>
      <c r="E134" s="55" t="str">
        <f t="shared" si="2"/>
        <v/>
      </c>
      <c r="F134" s="47"/>
    </row>
    <row r="135" spans="1:6" x14ac:dyDescent="0.3">
      <c r="A135" s="27"/>
      <c r="B135" s="28"/>
      <c r="C135" s="28"/>
      <c r="D135" s="28"/>
      <c r="E135" s="55" t="str">
        <f t="shared" si="2"/>
        <v/>
      </c>
      <c r="F135" s="47"/>
    </row>
    <row r="136" spans="1:6" x14ac:dyDescent="0.3">
      <c r="A136" s="27"/>
      <c r="B136" s="28"/>
      <c r="C136" s="28"/>
      <c r="D136" s="28"/>
      <c r="E136" s="55" t="str">
        <f t="shared" si="2"/>
        <v/>
      </c>
      <c r="F136" s="47"/>
    </row>
    <row r="137" spans="1:6" x14ac:dyDescent="0.3">
      <c r="A137" s="27"/>
      <c r="B137" s="28"/>
      <c r="C137" s="28"/>
      <c r="D137" s="28"/>
      <c r="E137" s="55" t="str">
        <f t="shared" si="2"/>
        <v/>
      </c>
      <c r="F137" s="47"/>
    </row>
    <row r="138" spans="1:6" x14ac:dyDescent="0.3">
      <c r="A138" s="27"/>
      <c r="B138" s="28"/>
      <c r="C138" s="28"/>
      <c r="D138" s="28"/>
      <c r="E138" s="55" t="str">
        <f t="shared" si="2"/>
        <v/>
      </c>
      <c r="F138" s="47"/>
    </row>
    <row r="139" spans="1:6" x14ac:dyDescent="0.3">
      <c r="A139" s="27"/>
      <c r="B139" s="28"/>
      <c r="C139" s="28"/>
      <c r="D139" s="28"/>
      <c r="E139" s="55" t="str">
        <f t="shared" si="2"/>
        <v/>
      </c>
      <c r="F139" s="47"/>
    </row>
    <row r="140" spans="1:6" x14ac:dyDescent="0.3">
      <c r="A140" s="27"/>
      <c r="B140" s="28"/>
      <c r="C140" s="28"/>
      <c r="D140" s="28"/>
      <c r="E140" s="55" t="str">
        <f t="shared" si="2"/>
        <v/>
      </c>
      <c r="F140" s="47"/>
    </row>
    <row r="141" spans="1:6" x14ac:dyDescent="0.3">
      <c r="A141" s="27"/>
      <c r="B141" s="28"/>
      <c r="C141" s="28"/>
      <c r="D141" s="28"/>
      <c r="E141" s="55" t="str">
        <f t="shared" si="2"/>
        <v/>
      </c>
      <c r="F141" s="47"/>
    </row>
    <row r="142" spans="1:6" x14ac:dyDescent="0.3">
      <c r="A142" s="27"/>
      <c r="B142" s="28"/>
      <c r="C142" s="28"/>
      <c r="D142" s="28"/>
      <c r="E142" s="55" t="str">
        <f t="shared" si="2"/>
        <v/>
      </c>
      <c r="F142" s="47"/>
    </row>
    <row r="143" spans="1:6" x14ac:dyDescent="0.3">
      <c r="A143" s="27"/>
      <c r="B143" s="28"/>
      <c r="C143" s="28"/>
      <c r="D143" s="28"/>
      <c r="E143" s="55" t="str">
        <f t="shared" si="2"/>
        <v/>
      </c>
      <c r="F143" s="47"/>
    </row>
    <row r="144" spans="1:6" x14ac:dyDescent="0.3">
      <c r="A144" s="27"/>
      <c r="B144" s="28"/>
      <c r="C144" s="28"/>
      <c r="D144" s="28"/>
      <c r="E144" s="55" t="str">
        <f t="shared" si="2"/>
        <v/>
      </c>
      <c r="F144" s="47"/>
    </row>
    <row r="145" spans="1:6" x14ac:dyDescent="0.3">
      <c r="A145" s="27"/>
      <c r="B145" s="28"/>
      <c r="C145" s="28"/>
      <c r="D145" s="28"/>
      <c r="E145" s="55" t="str">
        <f t="shared" si="2"/>
        <v/>
      </c>
      <c r="F145" s="47"/>
    </row>
    <row r="146" spans="1:6" x14ac:dyDescent="0.3">
      <c r="A146" s="27"/>
      <c r="B146" s="28"/>
      <c r="C146" s="28"/>
      <c r="D146" s="28"/>
      <c r="E146" s="55" t="str">
        <f t="shared" si="2"/>
        <v/>
      </c>
      <c r="F146" s="47"/>
    </row>
    <row r="147" spans="1:6" x14ac:dyDescent="0.3">
      <c r="A147" s="27"/>
      <c r="B147" s="28"/>
      <c r="C147" s="28"/>
      <c r="D147" s="28"/>
      <c r="E147" s="55" t="str">
        <f t="shared" si="2"/>
        <v/>
      </c>
      <c r="F147" s="47"/>
    </row>
    <row r="148" spans="1:6" x14ac:dyDescent="0.3">
      <c r="A148" s="27"/>
      <c r="B148" s="28"/>
      <c r="C148" s="28"/>
      <c r="D148" s="28"/>
      <c r="E148" s="55" t="str">
        <f t="shared" si="2"/>
        <v/>
      </c>
      <c r="F148" s="47"/>
    </row>
    <row r="149" spans="1:6" x14ac:dyDescent="0.3">
      <c r="A149" s="27"/>
      <c r="B149" s="28"/>
      <c r="C149" s="28"/>
      <c r="D149" s="28"/>
      <c r="E149" s="55" t="str">
        <f t="shared" si="2"/>
        <v/>
      </c>
      <c r="F149" s="47"/>
    </row>
    <row r="150" spans="1:6" x14ac:dyDescent="0.3">
      <c r="A150" s="27"/>
      <c r="B150" s="28"/>
      <c r="C150" s="28"/>
      <c r="D150" s="28"/>
      <c r="E150" s="55" t="str">
        <f t="shared" si="2"/>
        <v/>
      </c>
      <c r="F150" s="47"/>
    </row>
    <row r="151" spans="1:6" x14ac:dyDescent="0.3">
      <c r="A151" s="27"/>
      <c r="B151" s="28"/>
      <c r="C151" s="28"/>
      <c r="D151" s="28"/>
      <c r="E151" s="55" t="str">
        <f t="shared" si="2"/>
        <v/>
      </c>
      <c r="F151" s="47"/>
    </row>
    <row r="152" spans="1:6" x14ac:dyDescent="0.3">
      <c r="A152" s="27"/>
      <c r="B152" s="28"/>
      <c r="C152" s="28"/>
      <c r="D152" s="28"/>
      <c r="E152" s="55" t="str">
        <f t="shared" si="2"/>
        <v/>
      </c>
      <c r="F152" s="47"/>
    </row>
    <row r="153" spans="1:6" x14ac:dyDescent="0.3">
      <c r="A153" s="27"/>
      <c r="B153" s="28"/>
      <c r="C153" s="28"/>
      <c r="D153" s="28"/>
      <c r="E153" s="55" t="str">
        <f t="shared" si="2"/>
        <v/>
      </c>
      <c r="F153" s="47"/>
    </row>
    <row r="154" spans="1:6" x14ac:dyDescent="0.3">
      <c r="A154" s="27"/>
      <c r="B154" s="28"/>
      <c r="C154" s="28"/>
      <c r="D154" s="28"/>
      <c r="E154" s="55" t="str">
        <f t="shared" si="2"/>
        <v/>
      </c>
      <c r="F154" s="47"/>
    </row>
    <row r="155" spans="1:6" x14ac:dyDescent="0.3">
      <c r="A155" s="27"/>
      <c r="B155" s="28"/>
      <c r="C155" s="28"/>
      <c r="D155" s="28"/>
      <c r="E155" s="55" t="str">
        <f t="shared" si="2"/>
        <v/>
      </c>
      <c r="F155" s="47"/>
    </row>
    <row r="156" spans="1:6" x14ac:dyDescent="0.3">
      <c r="A156" s="27"/>
      <c r="B156" s="28"/>
      <c r="C156" s="28"/>
      <c r="D156" s="28"/>
      <c r="E156" s="55" t="str">
        <f t="shared" si="2"/>
        <v/>
      </c>
      <c r="F156" s="47"/>
    </row>
    <row r="157" spans="1:6" x14ac:dyDescent="0.3">
      <c r="A157" s="27"/>
      <c r="B157" s="28"/>
      <c r="C157" s="28"/>
      <c r="D157" s="28"/>
      <c r="E157" s="55" t="str">
        <f t="shared" si="2"/>
        <v/>
      </c>
      <c r="F157" s="47"/>
    </row>
    <row r="158" spans="1:6" x14ac:dyDescent="0.3">
      <c r="A158" s="27"/>
      <c r="B158" s="28"/>
      <c r="C158" s="28"/>
      <c r="D158" s="28"/>
      <c r="E158" s="55" t="str">
        <f t="shared" si="2"/>
        <v/>
      </c>
      <c r="F158" s="47"/>
    </row>
    <row r="159" spans="1:6" x14ac:dyDescent="0.3">
      <c r="A159" s="27"/>
      <c r="B159" s="28"/>
      <c r="C159" s="28"/>
      <c r="D159" s="28"/>
      <c r="E159" s="55" t="str">
        <f t="shared" si="2"/>
        <v/>
      </c>
      <c r="F159" s="47"/>
    </row>
    <row r="160" spans="1:6" x14ac:dyDescent="0.3">
      <c r="A160" s="27"/>
      <c r="B160" s="28"/>
      <c r="C160" s="28"/>
      <c r="D160" s="28"/>
      <c r="E160" s="55" t="str">
        <f t="shared" si="2"/>
        <v/>
      </c>
      <c r="F160" s="47"/>
    </row>
    <row r="161" spans="1:6" x14ac:dyDescent="0.3">
      <c r="A161" s="27"/>
      <c r="B161" s="28"/>
      <c r="C161" s="28"/>
      <c r="D161" s="28"/>
      <c r="E161" s="55" t="str">
        <f t="shared" si="2"/>
        <v/>
      </c>
      <c r="F161" s="47"/>
    </row>
    <row r="162" spans="1:6" x14ac:dyDescent="0.3">
      <c r="A162" s="27"/>
      <c r="B162" s="28"/>
      <c r="C162" s="28"/>
      <c r="D162" s="28"/>
      <c r="E162" s="55" t="str">
        <f t="shared" si="2"/>
        <v/>
      </c>
      <c r="F162" s="47"/>
    </row>
    <row r="163" spans="1:6" x14ac:dyDescent="0.3">
      <c r="A163" s="27"/>
      <c r="B163" s="28"/>
      <c r="C163" s="28"/>
      <c r="D163" s="28"/>
      <c r="E163" s="55" t="str">
        <f t="shared" si="2"/>
        <v/>
      </c>
      <c r="F163" s="47"/>
    </row>
    <row r="164" spans="1:6" x14ac:dyDescent="0.3">
      <c r="A164" s="27"/>
      <c r="B164" s="28"/>
      <c r="C164" s="28"/>
      <c r="D164" s="28"/>
      <c r="E164" s="55" t="str">
        <f t="shared" si="2"/>
        <v/>
      </c>
      <c r="F164" s="47"/>
    </row>
    <row r="165" spans="1:6" x14ac:dyDescent="0.3">
      <c r="A165" s="27"/>
      <c r="B165" s="28"/>
      <c r="C165" s="28"/>
      <c r="D165" s="28"/>
      <c r="E165" s="55" t="str">
        <f t="shared" si="2"/>
        <v/>
      </c>
      <c r="F165" s="47"/>
    </row>
    <row r="166" spans="1:6" x14ac:dyDescent="0.3">
      <c r="A166" s="27"/>
      <c r="B166" s="28"/>
      <c r="C166" s="28"/>
      <c r="D166" s="28"/>
      <c r="E166" s="55" t="str">
        <f t="shared" si="2"/>
        <v/>
      </c>
      <c r="F166" s="47"/>
    </row>
    <row r="167" spans="1:6" x14ac:dyDescent="0.3">
      <c r="A167" s="27"/>
      <c r="B167" s="28"/>
      <c r="C167" s="28"/>
      <c r="D167" s="28"/>
      <c r="E167" s="55" t="str">
        <f t="shared" si="2"/>
        <v/>
      </c>
      <c r="F167" s="47"/>
    </row>
    <row r="168" spans="1:6" x14ac:dyDescent="0.3">
      <c r="A168" s="27"/>
      <c r="B168" s="28"/>
      <c r="C168" s="28"/>
      <c r="D168" s="28"/>
      <c r="E168" s="55" t="str">
        <f t="shared" si="2"/>
        <v/>
      </c>
      <c r="F168" s="47"/>
    </row>
    <row r="169" spans="1:6" x14ac:dyDescent="0.3">
      <c r="A169" s="27"/>
      <c r="B169" s="28"/>
      <c r="C169" s="28"/>
      <c r="D169" s="28"/>
      <c r="E169" s="55" t="str">
        <f t="shared" si="2"/>
        <v/>
      </c>
      <c r="F169" s="47"/>
    </row>
    <row r="170" spans="1:6" x14ac:dyDescent="0.3">
      <c r="A170" s="27"/>
      <c r="B170" s="28"/>
      <c r="C170" s="28"/>
      <c r="D170" s="28"/>
      <c r="E170" s="55" t="str">
        <f t="shared" si="2"/>
        <v/>
      </c>
      <c r="F170" s="47"/>
    </row>
    <row r="171" spans="1:6" x14ac:dyDescent="0.3">
      <c r="A171" s="27"/>
      <c r="B171" s="28"/>
      <c r="C171" s="28"/>
      <c r="D171" s="28"/>
      <c r="E171" s="55" t="str">
        <f t="shared" si="2"/>
        <v/>
      </c>
      <c r="F171" s="47"/>
    </row>
    <row r="172" spans="1:6" x14ac:dyDescent="0.3">
      <c r="A172" s="27"/>
      <c r="B172" s="28"/>
      <c r="C172" s="28"/>
      <c r="D172" s="28"/>
      <c r="E172" s="55" t="str">
        <f t="shared" si="2"/>
        <v/>
      </c>
      <c r="F172" s="47"/>
    </row>
    <row r="173" spans="1:6" x14ac:dyDescent="0.3">
      <c r="A173" s="27"/>
      <c r="B173" s="28"/>
      <c r="C173" s="28"/>
      <c r="D173" s="28"/>
      <c r="E173" s="55" t="str">
        <f t="shared" si="2"/>
        <v/>
      </c>
      <c r="F173" s="47"/>
    </row>
    <row r="174" spans="1:6" x14ac:dyDescent="0.3">
      <c r="A174" s="27"/>
      <c r="B174" s="28"/>
      <c r="C174" s="28"/>
      <c r="D174" s="28"/>
      <c r="E174" s="55" t="str">
        <f t="shared" si="2"/>
        <v/>
      </c>
      <c r="F174" s="47"/>
    </row>
    <row r="175" spans="1:6" x14ac:dyDescent="0.3">
      <c r="A175" s="27"/>
      <c r="B175" s="28"/>
      <c r="C175" s="28"/>
      <c r="D175" s="28"/>
      <c r="E175" s="55" t="str">
        <f t="shared" si="2"/>
        <v/>
      </c>
      <c r="F175" s="47"/>
    </row>
    <row r="176" spans="1:6" x14ac:dyDescent="0.3">
      <c r="A176" s="27"/>
      <c r="B176" s="28"/>
      <c r="C176" s="28"/>
      <c r="D176" s="28"/>
      <c r="E176" s="55" t="str">
        <f t="shared" si="2"/>
        <v/>
      </c>
      <c r="F176" s="47"/>
    </row>
    <row r="177" spans="1:6" x14ac:dyDescent="0.3">
      <c r="A177" s="27"/>
      <c r="B177" s="28"/>
      <c r="C177" s="28"/>
      <c r="D177" s="28"/>
      <c r="E177" s="55" t="str">
        <f t="shared" si="2"/>
        <v/>
      </c>
      <c r="F177" s="47"/>
    </row>
    <row r="178" spans="1:6" x14ac:dyDescent="0.3">
      <c r="A178" s="27"/>
      <c r="B178" s="28"/>
      <c r="C178" s="28"/>
      <c r="D178" s="28"/>
      <c r="E178" s="55" t="str">
        <f t="shared" si="2"/>
        <v/>
      </c>
      <c r="F178" s="47"/>
    </row>
    <row r="179" spans="1:6" x14ac:dyDescent="0.3">
      <c r="A179" s="27"/>
      <c r="B179" s="28"/>
      <c r="C179" s="28"/>
      <c r="D179" s="28"/>
      <c r="E179" s="55" t="str">
        <f t="shared" si="2"/>
        <v/>
      </c>
      <c r="F179" s="47"/>
    </row>
    <row r="180" spans="1:6" x14ac:dyDescent="0.3">
      <c r="A180" s="27"/>
      <c r="B180" s="28"/>
      <c r="C180" s="28"/>
      <c r="D180" s="28"/>
      <c r="E180" s="55" t="str">
        <f t="shared" si="2"/>
        <v/>
      </c>
      <c r="F180" s="47"/>
    </row>
    <row r="181" spans="1:6" x14ac:dyDescent="0.3">
      <c r="A181" s="27"/>
      <c r="B181" s="28"/>
      <c r="C181" s="28"/>
      <c r="D181" s="28"/>
      <c r="E181" s="55" t="str">
        <f t="shared" si="2"/>
        <v/>
      </c>
      <c r="F181" s="47"/>
    </row>
    <row r="182" spans="1:6" x14ac:dyDescent="0.3">
      <c r="A182" s="27"/>
      <c r="B182" s="28"/>
      <c r="C182" s="28"/>
      <c r="D182" s="28"/>
      <c r="E182" s="55" t="str">
        <f t="shared" si="2"/>
        <v/>
      </c>
      <c r="F182" s="47"/>
    </row>
    <row r="183" spans="1:6" x14ac:dyDescent="0.3">
      <c r="A183" s="27"/>
      <c r="B183" s="28"/>
      <c r="C183" s="28"/>
      <c r="D183" s="28"/>
      <c r="E183" s="55" t="str">
        <f t="shared" si="2"/>
        <v/>
      </c>
      <c r="F183" s="47"/>
    </row>
    <row r="184" spans="1:6" x14ac:dyDescent="0.3">
      <c r="A184" s="27"/>
      <c r="B184" s="28"/>
      <c r="C184" s="28"/>
      <c r="D184" s="28"/>
      <c r="E184" s="55" t="str">
        <f t="shared" si="2"/>
        <v/>
      </c>
      <c r="F184" s="47"/>
    </row>
    <row r="185" spans="1:6" x14ac:dyDescent="0.3">
      <c r="A185" s="27"/>
      <c r="B185" s="28"/>
      <c r="C185" s="28"/>
      <c r="D185" s="28"/>
      <c r="E185" s="55" t="str">
        <f t="shared" si="2"/>
        <v/>
      </c>
      <c r="F185" s="47"/>
    </row>
    <row r="186" spans="1:6" x14ac:dyDescent="0.3">
      <c r="A186" s="27"/>
      <c r="B186" s="28"/>
      <c r="C186" s="28"/>
      <c r="D186" s="28"/>
      <c r="E186" s="55" t="str">
        <f t="shared" si="2"/>
        <v/>
      </c>
      <c r="F186" s="47"/>
    </row>
    <row r="187" spans="1:6" x14ac:dyDescent="0.3">
      <c r="A187" s="27"/>
      <c r="B187" s="28"/>
      <c r="C187" s="28"/>
      <c r="D187" s="28"/>
      <c r="E187" s="55" t="str">
        <f t="shared" si="2"/>
        <v/>
      </c>
      <c r="F187" s="47"/>
    </row>
    <row r="188" spans="1:6" x14ac:dyDescent="0.3">
      <c r="A188" s="27"/>
      <c r="B188" s="28"/>
      <c r="C188" s="28"/>
      <c r="D188" s="28"/>
      <c r="E188" s="55" t="str">
        <f t="shared" si="2"/>
        <v/>
      </c>
      <c r="F188" s="47"/>
    </row>
    <row r="189" spans="1:6" x14ac:dyDescent="0.3">
      <c r="A189" s="27"/>
      <c r="B189" s="28"/>
      <c r="C189" s="28"/>
      <c r="D189" s="28"/>
      <c r="E189" s="55" t="str">
        <f t="shared" si="2"/>
        <v/>
      </c>
      <c r="F189" s="47"/>
    </row>
    <row r="190" spans="1:6" x14ac:dyDescent="0.3">
      <c r="A190" s="27"/>
      <c r="B190" s="28"/>
      <c r="C190" s="28"/>
      <c r="D190" s="28"/>
      <c r="E190" s="55" t="str">
        <f t="shared" si="2"/>
        <v/>
      </c>
      <c r="F190" s="47"/>
    </row>
    <row r="191" spans="1:6" x14ac:dyDescent="0.3">
      <c r="A191" s="27"/>
      <c r="B191" s="28"/>
      <c r="C191" s="28"/>
      <c r="D191" s="28"/>
      <c r="E191" s="55" t="str">
        <f t="shared" si="2"/>
        <v/>
      </c>
      <c r="F191" s="47"/>
    </row>
    <row r="192" spans="1:6" x14ac:dyDescent="0.3">
      <c r="A192" s="27"/>
      <c r="B192" s="28"/>
      <c r="C192" s="28"/>
      <c r="D192" s="28"/>
      <c r="E192" s="55" t="str">
        <f t="shared" si="2"/>
        <v/>
      </c>
      <c r="F192" s="47"/>
    </row>
    <row r="193" spans="1:6" x14ac:dyDescent="0.3">
      <c r="A193" s="27"/>
      <c r="B193" s="28"/>
      <c r="C193" s="28"/>
      <c r="D193" s="28"/>
      <c r="E193" s="55" t="str">
        <f t="shared" si="2"/>
        <v/>
      </c>
      <c r="F193" s="47"/>
    </row>
    <row r="194" spans="1:6" x14ac:dyDescent="0.3">
      <c r="A194" s="27"/>
      <c r="B194" s="28"/>
      <c r="C194" s="28"/>
      <c r="D194" s="28"/>
      <c r="E194" s="55" t="str">
        <f t="shared" si="2"/>
        <v/>
      </c>
      <c r="F194" s="47"/>
    </row>
    <row r="195" spans="1:6" x14ac:dyDescent="0.3">
      <c r="A195" s="27"/>
      <c r="B195" s="28"/>
      <c r="C195" s="28"/>
      <c r="D195" s="28"/>
      <c r="E195" s="55" t="str">
        <f t="shared" si="2"/>
        <v/>
      </c>
      <c r="F195" s="47"/>
    </row>
    <row r="196" spans="1:6" x14ac:dyDescent="0.3">
      <c r="A196" s="27"/>
      <c r="B196" s="28"/>
      <c r="C196" s="28"/>
      <c r="D196" s="28"/>
      <c r="E196" s="55" t="str">
        <f t="shared" ref="E196:E259" si="3">IF(A196="","",D196/C196)</f>
        <v/>
      </c>
      <c r="F196" s="47"/>
    </row>
    <row r="197" spans="1:6" x14ac:dyDescent="0.3">
      <c r="A197" s="27"/>
      <c r="B197" s="28"/>
      <c r="C197" s="28"/>
      <c r="D197" s="28"/>
      <c r="E197" s="55" t="str">
        <f t="shared" si="3"/>
        <v/>
      </c>
      <c r="F197" s="47"/>
    </row>
    <row r="198" spans="1:6" x14ac:dyDescent="0.3">
      <c r="A198" s="27"/>
      <c r="B198" s="28"/>
      <c r="C198" s="28"/>
      <c r="D198" s="28"/>
      <c r="E198" s="55" t="str">
        <f t="shared" si="3"/>
        <v/>
      </c>
      <c r="F198" s="47"/>
    </row>
    <row r="199" spans="1:6" x14ac:dyDescent="0.3">
      <c r="A199" s="27"/>
      <c r="B199" s="28"/>
      <c r="C199" s="28"/>
      <c r="D199" s="28"/>
      <c r="E199" s="55" t="str">
        <f t="shared" si="3"/>
        <v/>
      </c>
      <c r="F199" s="47"/>
    </row>
    <row r="200" spans="1:6" ht="15" thickBot="1" x14ac:dyDescent="0.35">
      <c r="A200" s="30"/>
      <c r="B200" s="31"/>
      <c r="C200" s="31"/>
      <c r="D200" s="31"/>
      <c r="E200" s="58" t="str">
        <f t="shared" si="3"/>
        <v/>
      </c>
      <c r="F200" s="49"/>
    </row>
    <row r="201" spans="1:6" x14ac:dyDescent="0.3">
      <c r="A201" s="28"/>
      <c r="B201" s="28"/>
      <c r="C201" s="28"/>
      <c r="D201" s="28"/>
      <c r="E201" s="55" t="str">
        <f t="shared" si="3"/>
        <v/>
      </c>
    </row>
    <row r="202" spans="1:6" x14ac:dyDescent="0.3">
      <c r="A202" s="28"/>
      <c r="B202" s="28"/>
      <c r="C202" s="28"/>
      <c r="D202" s="28"/>
      <c r="E202" s="55" t="str">
        <f t="shared" si="3"/>
        <v/>
      </c>
    </row>
    <row r="203" spans="1:6" x14ac:dyDescent="0.3">
      <c r="A203" s="28"/>
      <c r="B203" s="28"/>
      <c r="C203" s="28"/>
      <c r="D203" s="28"/>
      <c r="E203" s="55" t="str">
        <f t="shared" si="3"/>
        <v/>
      </c>
    </row>
    <row r="204" spans="1:6" x14ac:dyDescent="0.3">
      <c r="A204" s="28"/>
      <c r="B204" s="28"/>
      <c r="C204" s="28"/>
      <c r="D204" s="28"/>
      <c r="E204" s="55" t="str">
        <f t="shared" si="3"/>
        <v/>
      </c>
    </row>
    <row r="205" spans="1:6" x14ac:dyDescent="0.3">
      <c r="A205" s="28"/>
      <c r="B205" s="28"/>
      <c r="C205" s="28"/>
      <c r="D205" s="28"/>
      <c r="E205" s="55" t="str">
        <f t="shared" si="3"/>
        <v/>
      </c>
    </row>
    <row r="206" spans="1:6" x14ac:dyDescent="0.3">
      <c r="A206" s="28"/>
      <c r="B206" s="28"/>
      <c r="C206" s="28"/>
      <c r="D206" s="28"/>
      <c r="E206" s="55" t="str">
        <f t="shared" si="3"/>
        <v/>
      </c>
    </row>
    <row r="207" spans="1:6" x14ac:dyDescent="0.3">
      <c r="A207" s="28"/>
      <c r="B207" s="28"/>
      <c r="C207" s="28"/>
      <c r="D207" s="28"/>
      <c r="E207" s="55" t="str">
        <f t="shared" si="3"/>
        <v/>
      </c>
    </row>
    <row r="208" spans="1:6" x14ac:dyDescent="0.3">
      <c r="A208" s="28"/>
      <c r="B208" s="28"/>
      <c r="C208" s="28"/>
      <c r="D208" s="28"/>
      <c r="E208" s="55" t="str">
        <f t="shared" si="3"/>
        <v/>
      </c>
    </row>
    <row r="209" spans="1:5" x14ac:dyDescent="0.3">
      <c r="A209" s="28"/>
      <c r="B209" s="28"/>
      <c r="C209" s="28"/>
      <c r="D209" s="28"/>
      <c r="E209" s="55" t="str">
        <f t="shared" si="3"/>
        <v/>
      </c>
    </row>
    <row r="210" spans="1:5" x14ac:dyDescent="0.3">
      <c r="A210" s="28"/>
      <c r="B210" s="28"/>
      <c r="C210" s="28"/>
      <c r="D210" s="28"/>
      <c r="E210" s="55" t="str">
        <f t="shared" si="3"/>
        <v/>
      </c>
    </row>
    <row r="211" spans="1:5" x14ac:dyDescent="0.3">
      <c r="A211" s="28"/>
      <c r="B211" s="28"/>
      <c r="C211" s="28"/>
      <c r="D211" s="28"/>
      <c r="E211" s="55" t="str">
        <f t="shared" si="3"/>
        <v/>
      </c>
    </row>
    <row r="212" spans="1:5" x14ac:dyDescent="0.3">
      <c r="A212" s="28"/>
      <c r="B212" s="28"/>
      <c r="C212" s="28"/>
      <c r="D212" s="28"/>
      <c r="E212" s="55" t="str">
        <f t="shared" si="3"/>
        <v/>
      </c>
    </row>
    <row r="213" spans="1:5" x14ac:dyDescent="0.3">
      <c r="A213" s="28"/>
      <c r="B213" s="28"/>
      <c r="C213" s="28"/>
      <c r="D213" s="28"/>
      <c r="E213" s="55" t="str">
        <f t="shared" si="3"/>
        <v/>
      </c>
    </row>
    <row r="214" spans="1:5" x14ac:dyDescent="0.3">
      <c r="A214" s="28"/>
      <c r="B214" s="28"/>
      <c r="C214" s="28"/>
      <c r="D214" s="28"/>
      <c r="E214" s="55" t="str">
        <f t="shared" si="3"/>
        <v/>
      </c>
    </row>
    <row r="215" spans="1:5" x14ac:dyDescent="0.3">
      <c r="A215" s="28"/>
      <c r="B215" s="28"/>
      <c r="C215" s="28"/>
      <c r="D215" s="28"/>
      <c r="E215" s="55" t="str">
        <f t="shared" si="3"/>
        <v/>
      </c>
    </row>
    <row r="216" spans="1:5" x14ac:dyDescent="0.3">
      <c r="A216" s="28"/>
      <c r="B216" s="28"/>
      <c r="C216" s="28"/>
      <c r="D216" s="28"/>
      <c r="E216" s="55" t="str">
        <f t="shared" si="3"/>
        <v/>
      </c>
    </row>
    <row r="217" spans="1:5" x14ac:dyDescent="0.3">
      <c r="A217" s="28"/>
      <c r="B217" s="28"/>
      <c r="C217" s="28"/>
      <c r="D217" s="28"/>
      <c r="E217" s="55" t="str">
        <f t="shared" si="3"/>
        <v/>
      </c>
    </row>
    <row r="218" spans="1:5" x14ac:dyDescent="0.3">
      <c r="A218" s="28"/>
      <c r="B218" s="28"/>
      <c r="C218" s="28"/>
      <c r="D218" s="28"/>
      <c r="E218" s="55" t="str">
        <f t="shared" si="3"/>
        <v/>
      </c>
    </row>
    <row r="219" spans="1:5" x14ac:dyDescent="0.3">
      <c r="A219" s="28"/>
      <c r="B219" s="28"/>
      <c r="C219" s="28"/>
      <c r="D219" s="28"/>
      <c r="E219" s="55" t="str">
        <f t="shared" si="3"/>
        <v/>
      </c>
    </row>
    <row r="220" spans="1:5" x14ac:dyDescent="0.3">
      <c r="A220" s="28"/>
      <c r="B220" s="28"/>
      <c r="C220" s="28"/>
      <c r="D220" s="28"/>
      <c r="E220" s="55" t="str">
        <f t="shared" si="3"/>
        <v/>
      </c>
    </row>
    <row r="221" spans="1:5" x14ac:dyDescent="0.3">
      <c r="A221" s="28"/>
      <c r="B221" s="28"/>
      <c r="C221" s="28"/>
      <c r="D221" s="28"/>
      <c r="E221" s="55" t="str">
        <f t="shared" si="3"/>
        <v/>
      </c>
    </row>
    <row r="222" spans="1:5" x14ac:dyDescent="0.3">
      <c r="A222" s="28"/>
      <c r="B222" s="28"/>
      <c r="C222" s="28"/>
      <c r="D222" s="28"/>
      <c r="E222" s="55" t="str">
        <f t="shared" si="3"/>
        <v/>
      </c>
    </row>
    <row r="223" spans="1:5" x14ac:dyDescent="0.3">
      <c r="A223" s="28"/>
      <c r="B223" s="28"/>
      <c r="C223" s="28"/>
      <c r="D223" s="28"/>
      <c r="E223" s="55" t="str">
        <f t="shared" si="3"/>
        <v/>
      </c>
    </row>
    <row r="224" spans="1:5" x14ac:dyDescent="0.3">
      <c r="A224" s="28"/>
      <c r="B224" s="28"/>
      <c r="C224" s="28"/>
      <c r="D224" s="28"/>
      <c r="E224" s="55" t="str">
        <f t="shared" si="3"/>
        <v/>
      </c>
    </row>
    <row r="225" spans="1:5" x14ac:dyDescent="0.3">
      <c r="A225" s="28"/>
      <c r="B225" s="28"/>
      <c r="C225" s="28"/>
      <c r="D225" s="28"/>
      <c r="E225" s="55" t="str">
        <f t="shared" si="3"/>
        <v/>
      </c>
    </row>
    <row r="226" spans="1:5" x14ac:dyDescent="0.3">
      <c r="A226" s="28"/>
      <c r="B226" s="28"/>
      <c r="C226" s="28"/>
      <c r="D226" s="28"/>
      <c r="E226" s="55" t="str">
        <f t="shared" si="3"/>
        <v/>
      </c>
    </row>
    <row r="227" spans="1:5" x14ac:dyDescent="0.3">
      <c r="A227" s="28"/>
      <c r="B227" s="28"/>
      <c r="C227" s="28"/>
      <c r="D227" s="28"/>
      <c r="E227" s="55" t="str">
        <f t="shared" si="3"/>
        <v/>
      </c>
    </row>
    <row r="228" spans="1:5" x14ac:dyDescent="0.3">
      <c r="A228" s="28"/>
      <c r="B228" s="28"/>
      <c r="C228" s="28"/>
      <c r="D228" s="28"/>
      <c r="E228" s="55" t="str">
        <f t="shared" si="3"/>
        <v/>
      </c>
    </row>
    <row r="229" spans="1:5" x14ac:dyDescent="0.3">
      <c r="A229" s="28"/>
      <c r="B229" s="28"/>
      <c r="C229" s="28"/>
      <c r="D229" s="28"/>
      <c r="E229" s="55" t="str">
        <f t="shared" si="3"/>
        <v/>
      </c>
    </row>
    <row r="230" spans="1:5" x14ac:dyDescent="0.3">
      <c r="A230" s="28"/>
      <c r="B230" s="28"/>
      <c r="C230" s="28"/>
      <c r="D230" s="28"/>
      <c r="E230" s="55" t="str">
        <f t="shared" si="3"/>
        <v/>
      </c>
    </row>
    <row r="231" spans="1:5" x14ac:dyDescent="0.3">
      <c r="A231" s="28"/>
      <c r="B231" s="28"/>
      <c r="C231" s="28"/>
      <c r="D231" s="28"/>
      <c r="E231" s="55" t="str">
        <f t="shared" si="3"/>
        <v/>
      </c>
    </row>
    <row r="232" spans="1:5" x14ac:dyDescent="0.3">
      <c r="A232" s="28"/>
      <c r="B232" s="28"/>
      <c r="C232" s="28"/>
      <c r="D232" s="28"/>
      <c r="E232" s="55" t="str">
        <f t="shared" si="3"/>
        <v/>
      </c>
    </row>
    <row r="233" spans="1:5" x14ac:dyDescent="0.3">
      <c r="A233" s="28"/>
      <c r="B233" s="28"/>
      <c r="C233" s="28"/>
      <c r="D233" s="28"/>
      <c r="E233" s="55" t="str">
        <f t="shared" si="3"/>
        <v/>
      </c>
    </row>
    <row r="234" spans="1:5" x14ac:dyDescent="0.3">
      <c r="A234" s="28"/>
      <c r="B234" s="28"/>
      <c r="C234" s="28"/>
      <c r="D234" s="28"/>
      <c r="E234" s="55" t="str">
        <f t="shared" si="3"/>
        <v/>
      </c>
    </row>
    <row r="235" spans="1:5" x14ac:dyDescent="0.3">
      <c r="A235" s="28"/>
      <c r="B235" s="28"/>
      <c r="C235" s="28"/>
      <c r="D235" s="28"/>
      <c r="E235" s="55" t="str">
        <f t="shared" si="3"/>
        <v/>
      </c>
    </row>
    <row r="236" spans="1:5" x14ac:dyDescent="0.3">
      <c r="A236" s="28"/>
      <c r="B236" s="28"/>
      <c r="C236" s="28"/>
      <c r="D236" s="28"/>
      <c r="E236" s="55" t="str">
        <f t="shared" si="3"/>
        <v/>
      </c>
    </row>
    <row r="237" spans="1:5" x14ac:dyDescent="0.3">
      <c r="A237" s="28"/>
      <c r="B237" s="28"/>
      <c r="C237" s="28"/>
      <c r="D237" s="28"/>
      <c r="E237" s="55" t="str">
        <f t="shared" si="3"/>
        <v/>
      </c>
    </row>
    <row r="238" spans="1:5" x14ac:dyDescent="0.3">
      <c r="A238" s="28"/>
      <c r="B238" s="28"/>
      <c r="C238" s="28"/>
      <c r="D238" s="28"/>
      <c r="E238" s="55" t="str">
        <f t="shared" si="3"/>
        <v/>
      </c>
    </row>
    <row r="239" spans="1:5" x14ac:dyDescent="0.3">
      <c r="A239" s="28"/>
      <c r="B239" s="28"/>
      <c r="C239" s="28"/>
      <c r="D239" s="28"/>
      <c r="E239" s="55" t="str">
        <f t="shared" si="3"/>
        <v/>
      </c>
    </row>
    <row r="240" spans="1:5" x14ac:dyDescent="0.3">
      <c r="A240" s="28"/>
      <c r="B240" s="28"/>
      <c r="C240" s="28"/>
      <c r="D240" s="28"/>
      <c r="E240" s="55" t="str">
        <f t="shared" si="3"/>
        <v/>
      </c>
    </row>
    <row r="241" spans="1:5" x14ac:dyDescent="0.3">
      <c r="A241" s="28"/>
      <c r="B241" s="28"/>
      <c r="C241" s="28"/>
      <c r="D241" s="28"/>
      <c r="E241" s="55" t="str">
        <f t="shared" si="3"/>
        <v/>
      </c>
    </row>
    <row r="242" spans="1:5" x14ac:dyDescent="0.3">
      <c r="A242" s="28"/>
      <c r="B242" s="28"/>
      <c r="C242" s="28"/>
      <c r="D242" s="28"/>
      <c r="E242" s="55" t="str">
        <f t="shared" si="3"/>
        <v/>
      </c>
    </row>
    <row r="243" spans="1:5" x14ac:dyDescent="0.3">
      <c r="A243" s="28"/>
      <c r="B243" s="28"/>
      <c r="C243" s="28"/>
      <c r="D243" s="28"/>
      <c r="E243" s="55" t="str">
        <f t="shared" si="3"/>
        <v/>
      </c>
    </row>
    <row r="244" spans="1:5" x14ac:dyDescent="0.3">
      <c r="A244" s="28"/>
      <c r="B244" s="28"/>
      <c r="C244" s="28"/>
      <c r="D244" s="28"/>
      <c r="E244" s="55" t="str">
        <f t="shared" si="3"/>
        <v/>
      </c>
    </row>
    <row r="245" spans="1:5" x14ac:dyDescent="0.3">
      <c r="A245" s="28"/>
      <c r="B245" s="28"/>
      <c r="C245" s="28"/>
      <c r="D245" s="28"/>
      <c r="E245" s="55" t="str">
        <f t="shared" si="3"/>
        <v/>
      </c>
    </row>
    <row r="246" spans="1:5" x14ac:dyDescent="0.3">
      <c r="A246" s="28"/>
      <c r="B246" s="28"/>
      <c r="C246" s="28"/>
      <c r="D246" s="28"/>
      <c r="E246" s="55" t="str">
        <f t="shared" si="3"/>
        <v/>
      </c>
    </row>
    <row r="247" spans="1:5" x14ac:dyDescent="0.3">
      <c r="A247" s="28"/>
      <c r="B247" s="28"/>
      <c r="C247" s="28"/>
      <c r="D247" s="28"/>
      <c r="E247" s="55" t="str">
        <f t="shared" si="3"/>
        <v/>
      </c>
    </row>
    <row r="248" spans="1:5" x14ac:dyDescent="0.3">
      <c r="A248" s="28"/>
      <c r="B248" s="28"/>
      <c r="C248" s="28"/>
      <c r="D248" s="28"/>
      <c r="E248" s="55" t="str">
        <f t="shared" si="3"/>
        <v/>
      </c>
    </row>
    <row r="249" spans="1:5" x14ac:dyDescent="0.3">
      <c r="A249" s="28"/>
      <c r="B249" s="28"/>
      <c r="C249" s="28"/>
      <c r="D249" s="28"/>
      <c r="E249" s="55" t="str">
        <f t="shared" si="3"/>
        <v/>
      </c>
    </row>
    <row r="250" spans="1:5" x14ac:dyDescent="0.3">
      <c r="A250" s="28"/>
      <c r="B250" s="28"/>
      <c r="C250" s="28"/>
      <c r="D250" s="28"/>
      <c r="E250" s="55" t="str">
        <f t="shared" si="3"/>
        <v/>
      </c>
    </row>
    <row r="251" spans="1:5" x14ac:dyDescent="0.3">
      <c r="A251" s="28"/>
      <c r="B251" s="28"/>
      <c r="C251" s="28"/>
      <c r="D251" s="28"/>
      <c r="E251" s="55" t="str">
        <f t="shared" si="3"/>
        <v/>
      </c>
    </row>
    <row r="252" spans="1:5" x14ac:dyDescent="0.3">
      <c r="A252" s="28"/>
      <c r="B252" s="28"/>
      <c r="C252" s="28"/>
      <c r="D252" s="28"/>
      <c r="E252" s="55" t="str">
        <f t="shared" si="3"/>
        <v/>
      </c>
    </row>
    <row r="253" spans="1:5" x14ac:dyDescent="0.3">
      <c r="A253" s="28"/>
      <c r="B253" s="28"/>
      <c r="C253" s="28"/>
      <c r="D253" s="28"/>
      <c r="E253" s="55" t="str">
        <f t="shared" si="3"/>
        <v/>
      </c>
    </row>
    <row r="254" spans="1:5" x14ac:dyDescent="0.3">
      <c r="A254" s="28"/>
      <c r="B254" s="28"/>
      <c r="C254" s="28"/>
      <c r="D254" s="28"/>
      <c r="E254" s="55" t="str">
        <f t="shared" si="3"/>
        <v/>
      </c>
    </row>
    <row r="255" spans="1:5" x14ac:dyDescent="0.3">
      <c r="A255" s="28"/>
      <c r="B255" s="28"/>
      <c r="C255" s="28"/>
      <c r="D255" s="28"/>
      <c r="E255" s="55" t="str">
        <f t="shared" si="3"/>
        <v/>
      </c>
    </row>
    <row r="256" spans="1:5" x14ac:dyDescent="0.3">
      <c r="A256" s="28"/>
      <c r="B256" s="28"/>
      <c r="C256" s="28"/>
      <c r="D256" s="28"/>
      <c r="E256" s="55" t="str">
        <f t="shared" si="3"/>
        <v/>
      </c>
    </row>
    <row r="257" spans="1:5" x14ac:dyDescent="0.3">
      <c r="A257" s="28"/>
      <c r="B257" s="28"/>
      <c r="C257" s="28"/>
      <c r="D257" s="28"/>
      <c r="E257" s="55" t="str">
        <f t="shared" si="3"/>
        <v/>
      </c>
    </row>
    <row r="258" spans="1:5" x14ac:dyDescent="0.3">
      <c r="A258" s="28"/>
      <c r="B258" s="28"/>
      <c r="C258" s="28"/>
      <c r="D258" s="28"/>
      <c r="E258" s="55" t="str">
        <f t="shared" si="3"/>
        <v/>
      </c>
    </row>
    <row r="259" spans="1:5" x14ac:dyDescent="0.3">
      <c r="A259" s="28"/>
      <c r="B259" s="28"/>
      <c r="C259" s="28"/>
      <c r="D259" s="28"/>
      <c r="E259" s="55" t="str">
        <f t="shared" si="3"/>
        <v/>
      </c>
    </row>
    <row r="260" spans="1:5" x14ac:dyDescent="0.3">
      <c r="A260" s="28"/>
      <c r="B260" s="28"/>
      <c r="C260" s="28"/>
      <c r="D260" s="28"/>
      <c r="E260" s="55" t="str">
        <f t="shared" ref="E260:E300" si="4">IF(A260="","",D260/C260)</f>
        <v/>
      </c>
    </row>
    <row r="261" spans="1:5" x14ac:dyDescent="0.3">
      <c r="A261" s="28"/>
      <c r="B261" s="28"/>
      <c r="C261" s="28"/>
      <c r="D261" s="28"/>
      <c r="E261" s="55" t="str">
        <f t="shared" si="4"/>
        <v/>
      </c>
    </row>
    <row r="262" spans="1:5" x14ac:dyDescent="0.3">
      <c r="A262" s="28"/>
      <c r="B262" s="28"/>
      <c r="C262" s="28"/>
      <c r="D262" s="28"/>
      <c r="E262" s="55" t="str">
        <f t="shared" si="4"/>
        <v/>
      </c>
    </row>
    <row r="263" spans="1:5" x14ac:dyDescent="0.3">
      <c r="A263" s="28"/>
      <c r="B263" s="28"/>
      <c r="C263" s="28"/>
      <c r="D263" s="28"/>
      <c r="E263" s="55" t="str">
        <f t="shared" si="4"/>
        <v/>
      </c>
    </row>
    <row r="264" spans="1:5" x14ac:dyDescent="0.3">
      <c r="A264" s="28"/>
      <c r="B264" s="28"/>
      <c r="C264" s="28"/>
      <c r="D264" s="28"/>
      <c r="E264" s="55" t="str">
        <f t="shared" si="4"/>
        <v/>
      </c>
    </row>
    <row r="265" spans="1:5" x14ac:dyDescent="0.3">
      <c r="A265" s="28"/>
      <c r="B265" s="28"/>
      <c r="C265" s="28"/>
      <c r="D265" s="28"/>
      <c r="E265" s="55" t="str">
        <f t="shared" si="4"/>
        <v/>
      </c>
    </row>
    <row r="266" spans="1:5" x14ac:dyDescent="0.3">
      <c r="A266" s="28"/>
      <c r="B266" s="28"/>
      <c r="C266" s="28"/>
      <c r="D266" s="28"/>
      <c r="E266" s="55" t="str">
        <f t="shared" si="4"/>
        <v/>
      </c>
    </row>
    <row r="267" spans="1:5" x14ac:dyDescent="0.3">
      <c r="A267" s="28"/>
      <c r="B267" s="28"/>
      <c r="C267" s="28"/>
      <c r="D267" s="28"/>
      <c r="E267" s="55" t="str">
        <f t="shared" si="4"/>
        <v/>
      </c>
    </row>
    <row r="268" spans="1:5" x14ac:dyDescent="0.3">
      <c r="A268" s="28"/>
      <c r="B268" s="28"/>
      <c r="C268" s="28"/>
      <c r="D268" s="28"/>
      <c r="E268" s="55" t="str">
        <f t="shared" si="4"/>
        <v/>
      </c>
    </row>
    <row r="269" spans="1:5" x14ac:dyDescent="0.3">
      <c r="A269" s="28"/>
      <c r="B269" s="28"/>
      <c r="C269" s="28"/>
      <c r="D269" s="28"/>
      <c r="E269" s="55" t="str">
        <f t="shared" si="4"/>
        <v/>
      </c>
    </row>
    <row r="270" spans="1:5" x14ac:dyDescent="0.3">
      <c r="A270" s="28"/>
      <c r="B270" s="28"/>
      <c r="C270" s="28"/>
      <c r="D270" s="28"/>
      <c r="E270" s="55" t="str">
        <f t="shared" si="4"/>
        <v/>
      </c>
    </row>
    <row r="271" spans="1:5" x14ac:dyDescent="0.3">
      <c r="A271" s="28"/>
      <c r="B271" s="28"/>
      <c r="C271" s="28"/>
      <c r="D271" s="28"/>
      <c r="E271" s="55" t="str">
        <f t="shared" si="4"/>
        <v/>
      </c>
    </row>
    <row r="272" spans="1:5" x14ac:dyDescent="0.3">
      <c r="A272" s="28"/>
      <c r="B272" s="28"/>
      <c r="C272" s="28"/>
      <c r="D272" s="28"/>
      <c r="E272" s="55" t="str">
        <f t="shared" si="4"/>
        <v/>
      </c>
    </row>
    <row r="273" spans="1:5" x14ac:dyDescent="0.3">
      <c r="A273" s="28"/>
      <c r="B273" s="28"/>
      <c r="C273" s="28"/>
      <c r="D273" s="28"/>
      <c r="E273" s="55" t="str">
        <f t="shared" si="4"/>
        <v/>
      </c>
    </row>
    <row r="274" spans="1:5" x14ac:dyDescent="0.3">
      <c r="A274" s="28"/>
      <c r="B274" s="28"/>
      <c r="C274" s="28"/>
      <c r="D274" s="28"/>
      <c r="E274" s="55" t="str">
        <f t="shared" si="4"/>
        <v/>
      </c>
    </row>
    <row r="275" spans="1:5" x14ac:dyDescent="0.3">
      <c r="A275" s="28"/>
      <c r="B275" s="28"/>
      <c r="C275" s="28"/>
      <c r="D275" s="28"/>
      <c r="E275" s="55" t="str">
        <f t="shared" si="4"/>
        <v/>
      </c>
    </row>
    <row r="276" spans="1:5" x14ac:dyDescent="0.3">
      <c r="A276" s="28"/>
      <c r="B276" s="28"/>
      <c r="C276" s="28"/>
      <c r="D276" s="28"/>
      <c r="E276" s="55" t="str">
        <f t="shared" si="4"/>
        <v/>
      </c>
    </row>
    <row r="277" spans="1:5" x14ac:dyDescent="0.3">
      <c r="A277" s="28"/>
      <c r="B277" s="28"/>
      <c r="C277" s="28"/>
      <c r="D277" s="28"/>
      <c r="E277" s="55" t="str">
        <f t="shared" si="4"/>
        <v/>
      </c>
    </row>
    <row r="278" spans="1:5" x14ac:dyDescent="0.3">
      <c r="A278" s="28"/>
      <c r="B278" s="28"/>
      <c r="C278" s="28"/>
      <c r="D278" s="28"/>
      <c r="E278" s="55" t="str">
        <f t="shared" si="4"/>
        <v/>
      </c>
    </row>
    <row r="279" spans="1:5" x14ac:dyDescent="0.3">
      <c r="A279" s="28"/>
      <c r="B279" s="28"/>
      <c r="C279" s="28"/>
      <c r="D279" s="28"/>
      <c r="E279" s="55" t="str">
        <f t="shared" si="4"/>
        <v/>
      </c>
    </row>
    <row r="280" spans="1:5" x14ac:dyDescent="0.3">
      <c r="A280" s="28"/>
      <c r="B280" s="28"/>
      <c r="C280" s="28"/>
      <c r="D280" s="28"/>
      <c r="E280" s="55" t="str">
        <f t="shared" si="4"/>
        <v/>
      </c>
    </row>
    <row r="281" spans="1:5" x14ac:dyDescent="0.3">
      <c r="A281" s="28"/>
      <c r="B281" s="28"/>
      <c r="C281" s="28"/>
      <c r="D281" s="28"/>
      <c r="E281" s="55" t="str">
        <f t="shared" si="4"/>
        <v/>
      </c>
    </row>
    <row r="282" spans="1:5" x14ac:dyDescent="0.3">
      <c r="A282" s="28"/>
      <c r="B282" s="28"/>
      <c r="C282" s="28"/>
      <c r="D282" s="28"/>
      <c r="E282" s="55" t="str">
        <f t="shared" si="4"/>
        <v/>
      </c>
    </row>
    <row r="283" spans="1:5" x14ac:dyDescent="0.3">
      <c r="A283" s="28"/>
      <c r="B283" s="28"/>
      <c r="C283" s="28"/>
      <c r="D283" s="28"/>
      <c r="E283" s="55" t="str">
        <f t="shared" si="4"/>
        <v/>
      </c>
    </row>
    <row r="284" spans="1:5" x14ac:dyDescent="0.3">
      <c r="A284" s="28"/>
      <c r="B284" s="28"/>
      <c r="C284" s="28"/>
      <c r="D284" s="28"/>
      <c r="E284" s="55" t="str">
        <f t="shared" si="4"/>
        <v/>
      </c>
    </row>
    <row r="285" spans="1:5" x14ac:dyDescent="0.3">
      <c r="A285" s="28"/>
      <c r="B285" s="28"/>
      <c r="C285" s="28"/>
      <c r="D285" s="28"/>
      <c r="E285" s="55" t="str">
        <f t="shared" si="4"/>
        <v/>
      </c>
    </row>
    <row r="286" spans="1:5" x14ac:dyDescent="0.3">
      <c r="A286" s="28"/>
      <c r="B286" s="28"/>
      <c r="C286" s="28"/>
      <c r="D286" s="28"/>
      <c r="E286" s="55" t="str">
        <f t="shared" si="4"/>
        <v/>
      </c>
    </row>
    <row r="287" spans="1:5" x14ac:dyDescent="0.3">
      <c r="A287" s="28"/>
      <c r="B287" s="28"/>
      <c r="C287" s="28"/>
      <c r="D287" s="28"/>
      <c r="E287" s="55" t="str">
        <f t="shared" si="4"/>
        <v/>
      </c>
    </row>
    <row r="288" spans="1:5" x14ac:dyDescent="0.3">
      <c r="A288" s="28"/>
      <c r="B288" s="28"/>
      <c r="C288" s="28"/>
      <c r="D288" s="28"/>
      <c r="E288" s="55" t="str">
        <f t="shared" si="4"/>
        <v/>
      </c>
    </row>
    <row r="289" spans="1:5" x14ac:dyDescent="0.3">
      <c r="A289" s="28"/>
      <c r="B289" s="28"/>
      <c r="C289" s="28"/>
      <c r="D289" s="28"/>
      <c r="E289" s="55" t="str">
        <f t="shared" si="4"/>
        <v/>
      </c>
    </row>
    <row r="290" spans="1:5" x14ac:dyDescent="0.3">
      <c r="A290" s="28"/>
      <c r="B290" s="28"/>
      <c r="C290" s="28"/>
      <c r="D290" s="28"/>
      <c r="E290" s="55" t="str">
        <f t="shared" si="4"/>
        <v/>
      </c>
    </row>
    <row r="291" spans="1:5" x14ac:dyDescent="0.3">
      <c r="A291" s="28"/>
      <c r="B291" s="28"/>
      <c r="C291" s="28"/>
      <c r="D291" s="28"/>
      <c r="E291" s="55" t="str">
        <f t="shared" si="4"/>
        <v/>
      </c>
    </row>
    <row r="292" spans="1:5" x14ac:dyDescent="0.3">
      <c r="A292" s="28"/>
      <c r="B292" s="28"/>
      <c r="C292" s="28"/>
      <c r="D292" s="28"/>
      <c r="E292" s="55" t="str">
        <f t="shared" si="4"/>
        <v/>
      </c>
    </row>
    <row r="293" spans="1:5" x14ac:dyDescent="0.3">
      <c r="A293" s="28"/>
      <c r="B293" s="28"/>
      <c r="C293" s="28"/>
      <c r="D293" s="28"/>
      <c r="E293" s="55" t="str">
        <f t="shared" si="4"/>
        <v/>
      </c>
    </row>
    <row r="294" spans="1:5" x14ac:dyDescent="0.3">
      <c r="A294" s="28"/>
      <c r="B294" s="28"/>
      <c r="C294" s="28"/>
      <c r="D294" s="28"/>
      <c r="E294" s="55" t="str">
        <f t="shared" si="4"/>
        <v/>
      </c>
    </row>
    <row r="295" spans="1:5" x14ac:dyDescent="0.3">
      <c r="A295" s="28"/>
      <c r="B295" s="28"/>
      <c r="C295" s="28"/>
      <c r="D295" s="28"/>
      <c r="E295" s="55" t="str">
        <f t="shared" si="4"/>
        <v/>
      </c>
    </row>
    <row r="296" spans="1:5" x14ac:dyDescent="0.3">
      <c r="A296" s="28"/>
      <c r="B296" s="28"/>
      <c r="C296" s="28"/>
      <c r="D296" s="28"/>
      <c r="E296" s="55" t="str">
        <f t="shared" si="4"/>
        <v/>
      </c>
    </row>
    <row r="297" spans="1:5" x14ac:dyDescent="0.3">
      <c r="A297" s="28"/>
      <c r="B297" s="28"/>
      <c r="C297" s="28"/>
      <c r="D297" s="28"/>
      <c r="E297" s="55" t="str">
        <f t="shared" si="4"/>
        <v/>
      </c>
    </row>
    <row r="298" spans="1:5" x14ac:dyDescent="0.3">
      <c r="A298" s="28"/>
      <c r="B298" s="28"/>
      <c r="C298" s="28"/>
      <c r="D298" s="28"/>
      <c r="E298" s="55" t="str">
        <f t="shared" si="4"/>
        <v/>
      </c>
    </row>
    <row r="299" spans="1:5" x14ac:dyDescent="0.3">
      <c r="A299" s="28"/>
      <c r="B299" s="28"/>
      <c r="C299" s="28"/>
      <c r="D299" s="28"/>
      <c r="E299" s="55" t="str">
        <f t="shared" si="4"/>
        <v/>
      </c>
    </row>
    <row r="300" spans="1:5" x14ac:dyDescent="0.3">
      <c r="A300" s="28"/>
      <c r="B300" s="28"/>
      <c r="C300" s="28"/>
      <c r="D300" s="28"/>
      <c r="E300" s="55" t="str">
        <f t="shared" si="4"/>
        <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2E0AE-A4C6-4095-BCB4-5639C03961F5}">
  <sheetPr codeName="Sheet17"/>
  <dimension ref="A1:Y301"/>
  <sheetViews>
    <sheetView workbookViewId="0">
      <selection activeCell="D29" sqref="D29"/>
    </sheetView>
  </sheetViews>
  <sheetFormatPr defaultColWidth="8.88671875" defaultRowHeight="14.4" x14ac:dyDescent="0.3"/>
  <cols>
    <col min="1" max="1" width="8.88671875" style="1"/>
    <col min="2" max="2" width="10.5546875" style="1" bestFit="1" customWidth="1"/>
    <col min="3" max="3" width="15.88671875" style="1" bestFit="1" customWidth="1"/>
    <col min="4" max="4" width="11.5546875" style="1" customWidth="1"/>
    <col min="5" max="5" width="8.88671875" style="1"/>
    <col min="6" max="6" width="8.88671875" style="22"/>
    <col min="7" max="8" width="8.88671875" style="1"/>
    <col min="9" max="9" width="9.109375" style="1" bestFit="1" customWidth="1"/>
    <col min="10" max="10" width="15.88671875" style="1" bestFit="1" customWidth="1"/>
    <col min="11" max="11" width="16" style="1" bestFit="1" customWidth="1"/>
    <col min="12" max="12" width="13.44140625" style="1" bestFit="1" customWidth="1"/>
    <col min="13" max="13" width="11.109375" style="1" bestFit="1" customWidth="1"/>
    <col min="14" max="15" width="8.88671875" style="1"/>
    <col min="16" max="16" width="11" style="1" bestFit="1" customWidth="1"/>
    <col min="17" max="17" width="14.109375" style="1" bestFit="1" customWidth="1"/>
    <col min="18" max="18" width="17.5546875" style="1" customWidth="1"/>
    <col min="19" max="19" width="13.44140625" style="1" bestFit="1" customWidth="1"/>
    <col min="20" max="20" width="12.44140625" style="1" bestFit="1" customWidth="1"/>
    <col min="21" max="21" width="9.44140625" style="1" bestFit="1" customWidth="1"/>
    <col min="22" max="22" width="11.5546875" style="1" bestFit="1" customWidth="1"/>
    <col min="23" max="23" width="8.5546875" style="1" bestFit="1" customWidth="1"/>
    <col min="24" max="24" width="14.5546875" style="1" bestFit="1" customWidth="1"/>
    <col min="25" max="25" width="13" style="1" bestFit="1" customWidth="1"/>
    <col min="26" max="16384" width="8.88671875" style="1"/>
  </cols>
  <sheetData>
    <row r="1" spans="1:25" ht="15" thickBot="1" x14ac:dyDescent="0.35">
      <c r="A1" s="34" t="s">
        <v>45</v>
      </c>
      <c r="B1" s="35" t="s">
        <v>56</v>
      </c>
      <c r="C1" s="35" t="s">
        <v>57</v>
      </c>
      <c r="D1" s="35" t="s">
        <v>58</v>
      </c>
      <c r="E1" s="36" t="s">
        <v>59</v>
      </c>
      <c r="F1" s="20"/>
      <c r="G1" s="35" t="s">
        <v>45</v>
      </c>
      <c r="H1" s="35" t="s">
        <v>60</v>
      </c>
      <c r="I1" s="35" t="s">
        <v>61</v>
      </c>
      <c r="J1" s="35" t="s">
        <v>62</v>
      </c>
      <c r="K1" s="35" t="s">
        <v>63</v>
      </c>
      <c r="L1" s="35" t="s">
        <v>64</v>
      </c>
      <c r="M1" s="36" t="s">
        <v>65</v>
      </c>
      <c r="N1" s="15"/>
      <c r="O1" s="37" t="s">
        <v>45</v>
      </c>
      <c r="P1" s="38" t="s">
        <v>65</v>
      </c>
      <c r="Q1" s="38" t="s">
        <v>47</v>
      </c>
      <c r="R1" s="38" t="s">
        <v>63</v>
      </c>
      <c r="S1" s="39" t="s">
        <v>66</v>
      </c>
      <c r="T1" s="15"/>
      <c r="U1" s="34" t="s">
        <v>45</v>
      </c>
      <c r="V1" s="35" t="s">
        <v>65</v>
      </c>
      <c r="W1" s="35" t="s">
        <v>47</v>
      </c>
      <c r="X1" s="35" t="s">
        <v>63</v>
      </c>
      <c r="Y1" s="36" t="s">
        <v>66</v>
      </c>
    </row>
    <row r="2" spans="1:25" x14ac:dyDescent="0.3">
      <c r="A2" s="40" t="str">
        <f>IF('Australian MTransaction'!A2= "","",'Australian MTransaction'!A2)</f>
        <v>IOZ</v>
      </c>
      <c r="B2" s="41" t="str">
        <f>IF('Australian MTransaction'!B2= "","",'Australian MTransaction'!B2)</f>
        <v>BUY</v>
      </c>
      <c r="C2" s="41">
        <f>IF('Australian MTransaction'!C2= "","",IF(B2="BUY",'Australian MTransaction'!C2,-'Australian MTransaction'!C2))</f>
        <v>40</v>
      </c>
      <c r="D2" s="41">
        <f>IF('Australian MTransaction'!D2 = "","",IF($B2 = "BUY", 'Australian MTransaction'!D2,-'Australian MTransaction'!D2))</f>
        <v>761.68</v>
      </c>
      <c r="E2" s="41">
        <f>IF('Australian MTransaction'!E2= "","",'Australian MTransaction'!E2)</f>
        <v>19.041999999999998</v>
      </c>
      <c r="F2" s="21"/>
      <c r="G2" s="41" t="str">
        <f>A2</f>
        <v>IOZ</v>
      </c>
      <c r="H2" s="41">
        <f>IF(A2="","",COUNTIF($G$2:G2,G2))</f>
        <v>1</v>
      </c>
      <c r="I2" s="41" t="str">
        <f>_xlfn.CONCAT(G2,H2)</f>
        <v>IOZ1</v>
      </c>
      <c r="J2" s="41">
        <f>IFERROR(IF(B2="BUY",C2,-C2),"")</f>
        <v>40</v>
      </c>
      <c r="K2" s="42">
        <f>IF(G2="","",IF(COUNTIF($G$2:G2,G2)&gt;1,SUMIF($A$2:A2,G2,$D$2:D2),D2) +SUMIF($G$2:G2,G2,$M$2:M2))</f>
        <v>761.68</v>
      </c>
      <c r="L2" s="42">
        <f>IF(G2="","",IFERROR(K2/J2,0))</f>
        <v>19.041999999999998</v>
      </c>
      <c r="M2" s="43">
        <f>IF(G2="","",IF(B2 = "BUY", 0,(E2-VLOOKUP(CONCATENATE(G2,(H2-1)),$I1:L$2,4,FALSE))*-C2))</f>
        <v>0</v>
      </c>
      <c r="O2" s="40" t="str" cm="1">
        <f t="array" ref="O2:O8">_xlfn.UNIQUE(G2:G300,FALSE,FALSE)</f>
        <v>IOZ</v>
      </c>
      <c r="P2" s="41">
        <f>IF(O2="","",SUMIF($G$2:$G$300,O2,$M$2:$M$300))</f>
        <v>0</v>
      </c>
      <c r="Q2" s="41">
        <f>IF(O2="","",VLOOKUP(CONCATENATE(O2,(COUNTIF($G$2:$G$300,O2))),$I$2:$L$300,2,FALSE))</f>
        <v>75</v>
      </c>
      <c r="R2" s="41">
        <f>IF(O2="","",VLOOKUP(CONCATENATE(O2,(COUNTIF($G$2:$G$300,O2))),$I$2:$L$300,3,FALSE))</f>
        <v>1677.98</v>
      </c>
      <c r="S2" s="43">
        <f>IF(O2="","",VLOOKUP(CONCATENATE(O2,(COUNTIF($G$2:$G$300,O2))),$I$2:$L$300,4,FALSE))</f>
        <v>22.373066666666666</v>
      </c>
      <c r="U2" s="40" t="str">
        <f>IF($Q2="","",IF($Q2&gt;0.0001,O2,""))</f>
        <v>IOZ</v>
      </c>
      <c r="V2" s="41">
        <f t="shared" ref="V2:Y17" si="0">IF($Q2="","",IF($Q2&gt;0.0001,P2,""))</f>
        <v>0</v>
      </c>
      <c r="W2" s="41">
        <f t="shared" si="0"/>
        <v>75</v>
      </c>
      <c r="X2" s="41">
        <f t="shared" si="0"/>
        <v>1677.98</v>
      </c>
      <c r="Y2" s="44">
        <f t="shared" si="0"/>
        <v>22.373066666666666</v>
      </c>
    </row>
    <row r="3" spans="1:25" x14ac:dyDescent="0.3">
      <c r="A3" s="27" t="str">
        <f>IF('Australian MTransaction'!A3= "","",'Australian MTransaction'!A3)</f>
        <v>WBC</v>
      </c>
      <c r="B3" s="28" t="str">
        <f>IF('Australian MTransaction'!B3= "","",'Australian MTransaction'!B3)</f>
        <v>BUY</v>
      </c>
      <c r="C3" s="28">
        <f>IF('Australian MTransaction'!C3= "","",IF(B3="BUY",'Australian MTransaction'!C3,-'Australian MTransaction'!C3))</f>
        <v>30</v>
      </c>
      <c r="D3" s="28">
        <f>IF('Australian MTransaction'!D3 = "","",IF($B3 = "BUY", 'Australian MTransaction'!D3,-'Australian MTransaction'!D3))</f>
        <v>596.41000000000008</v>
      </c>
      <c r="E3" s="28">
        <f>IF('Australian MTransaction'!E3= "","",'Australian MTransaction'!E3)</f>
        <v>19.880333333333336</v>
      </c>
      <c r="F3" s="33"/>
      <c r="G3" s="28" t="str">
        <f t="shared" ref="G3:G66" si="1">A3</f>
        <v>WBC</v>
      </c>
      <c r="H3" s="28">
        <f>IF(A3="","",COUNTIF($G$2:G3,G3))</f>
        <v>1</v>
      </c>
      <c r="I3" s="28" t="str">
        <f t="shared" ref="I3:I66" si="2">_xlfn.CONCAT(G3,H3)</f>
        <v>WBC1</v>
      </c>
      <c r="J3" s="28">
        <f>IF(G3="","",IF(COUNTIF($G$2:G3,G3)&gt;1,SUMIF($A$2:A3,G3,$C$2:C3),C3))</f>
        <v>30</v>
      </c>
      <c r="K3" s="45">
        <f>IF(G3="","",IF(COUNTIF($G$2:G3,G3)&gt;1,SUMIF($A$2:A3,G3,$D$2:D3),D3) +SUMIF($G$2:G3,G3,$M$2:M3))</f>
        <v>596.41000000000008</v>
      </c>
      <c r="L3" s="45">
        <f t="shared" ref="L3:L66" si="3">IF(G3="","",IFERROR(K3/J3,0))</f>
        <v>19.880333333333336</v>
      </c>
      <c r="M3" s="46">
        <f>IF(G3="","",IF(B3 = "BUY", 0,(E3-VLOOKUP(CONCATENATE(G3,(H3-1)),$I2:L$2,4,FALSE))*-C3))</f>
        <v>0</v>
      </c>
      <c r="O3" s="27" t="str">
        <v>WBC</v>
      </c>
      <c r="P3" s="28">
        <f t="shared" ref="P3:P21" si="4">IF(O3="","",SUMIF($G$2:$G$300,O3,$M$2:$M$300))</f>
        <v>-94.810000000000016</v>
      </c>
      <c r="Q3" s="28">
        <f t="shared" ref="Q3:Q21" si="5">IF(O3="","",VLOOKUP(CONCATENATE(O3,(COUNTIF($G$2:$G$300,O3))),$I$2:$L$300,2,FALSE))</f>
        <v>0</v>
      </c>
      <c r="R3" s="28">
        <f t="shared" ref="R3:R21" si="6">IF(O3="","",VLOOKUP(CONCATENATE(O3,(COUNTIF($G$2:$G$300,O3))),$I$2:$L$300,3,FALSE))</f>
        <v>4.2632564145606011E-14</v>
      </c>
      <c r="S3" s="46">
        <f t="shared" ref="S3:S21" si="7">IF(O3="","",VLOOKUP(CONCATENATE(O3,(COUNTIF($G$2:$G$300,O3))),$I$2:$L$300,4,FALSE))</f>
        <v>0</v>
      </c>
      <c r="U3" s="27" t="str">
        <f t="shared" ref="U3:Y18" si="8">IF($Q3="","",IF($Q3&gt;0.0001,O3,""))</f>
        <v/>
      </c>
      <c r="V3" s="1" t="str">
        <f t="shared" si="0"/>
        <v/>
      </c>
      <c r="W3" s="1" t="str">
        <f t="shared" si="0"/>
        <v/>
      </c>
      <c r="X3" s="1" t="str">
        <f t="shared" si="0"/>
        <v/>
      </c>
      <c r="Y3" s="47" t="str">
        <f t="shared" si="0"/>
        <v/>
      </c>
    </row>
    <row r="4" spans="1:25" x14ac:dyDescent="0.3">
      <c r="A4" s="27" t="str">
        <f>IF('Australian MTransaction'!A4= "","",'Australian MTransaction'!A4)</f>
        <v>WBC</v>
      </c>
      <c r="B4" s="28" t="str">
        <f>IF('Australian MTransaction'!B4= "","",'Australian MTransaction'!B4)</f>
        <v>SELL</v>
      </c>
      <c r="C4" s="28">
        <f>IF('Australian MTransaction'!C4= "","",IF(B4="BUY",'Australian MTransaction'!C4,-'Australian MTransaction'!C4))</f>
        <v>-30</v>
      </c>
      <c r="D4" s="28">
        <f>IF('Australian MTransaction'!D4 = "","",IF($B4 = "BUY", 'Australian MTransaction'!D4,-'Australian MTransaction'!D4))</f>
        <v>-501.6</v>
      </c>
      <c r="E4" s="28">
        <f>IF('Australian MTransaction'!E4= "","",'Australian MTransaction'!E4)</f>
        <v>16.720000000000002</v>
      </c>
      <c r="F4" s="33"/>
      <c r="G4" s="28" t="str">
        <f t="shared" si="1"/>
        <v>WBC</v>
      </c>
      <c r="H4" s="28">
        <f>IF(A4="","",COUNTIF($G$2:G4,G4))</f>
        <v>2</v>
      </c>
      <c r="I4" s="28" t="str">
        <f t="shared" si="2"/>
        <v>WBC2</v>
      </c>
      <c r="J4" s="28">
        <f>IF(G4="","",IF(COUNTIF($G$2:G4,G4)&gt;1,SUMIF($A$2:A4,G4,$C$2:C4),C4))</f>
        <v>0</v>
      </c>
      <c r="K4" s="45">
        <f>IF(G4="","",IF(COUNTIF($G$2:G4,G4)&gt;1,SUMIF($A$2:A4,G4,$D$2:D4),D4) +SUMIF($G$2:G4,G4,$M$2:M4))</f>
        <v>4.2632564145606011E-14</v>
      </c>
      <c r="L4" s="45">
        <f t="shared" si="3"/>
        <v>0</v>
      </c>
      <c r="M4" s="46">
        <f>IF(G4="","",IF(B4 = "BUY", 0,(E4-VLOOKUP(CONCATENATE(G4,(H4-1)),$I$2:L3,4,FALSE))*-C4))</f>
        <v>-94.810000000000016</v>
      </c>
      <c r="O4" s="27" t="str">
        <v>VEU</v>
      </c>
      <c r="P4" s="28">
        <f t="shared" si="4"/>
        <v>0</v>
      </c>
      <c r="Q4" s="28">
        <f t="shared" si="5"/>
        <v>15</v>
      </c>
      <c r="R4" s="28">
        <f t="shared" si="6"/>
        <v>1023.4</v>
      </c>
      <c r="S4" s="46">
        <f t="shared" si="7"/>
        <v>68.226666666666659</v>
      </c>
      <c r="U4" s="27" t="str">
        <f t="shared" si="8"/>
        <v>VEU</v>
      </c>
      <c r="V4" s="1">
        <f t="shared" si="0"/>
        <v>0</v>
      </c>
      <c r="W4" s="1">
        <f t="shared" si="0"/>
        <v>15</v>
      </c>
      <c r="X4" s="1">
        <f t="shared" si="0"/>
        <v>1023.4</v>
      </c>
      <c r="Y4" s="47">
        <f t="shared" si="0"/>
        <v>68.226666666666659</v>
      </c>
    </row>
    <row r="5" spans="1:25" x14ac:dyDescent="0.3">
      <c r="A5" s="27" t="str">
        <f>IF('Australian MTransaction'!A5= "","",'Australian MTransaction'!A5)</f>
        <v>VEU</v>
      </c>
      <c r="B5" s="28" t="str">
        <f>IF('Australian MTransaction'!B5= "","",'Australian MTransaction'!B5)</f>
        <v>BUY</v>
      </c>
      <c r="C5" s="28">
        <f>IF('Australian MTransaction'!C5= "","",IF(B5="BUY",'Australian MTransaction'!C5,-'Australian MTransaction'!C5))</f>
        <v>15</v>
      </c>
      <c r="D5" s="28">
        <f>IF('Australian MTransaction'!D5 = "","",IF($B5 = "BUY", 'Australian MTransaction'!D5,-'Australian MTransaction'!D5))</f>
        <v>1023.4</v>
      </c>
      <c r="E5" s="28">
        <f>IF('Australian MTransaction'!E5= "","",'Australian MTransaction'!E5)</f>
        <v>68.226666666666659</v>
      </c>
      <c r="F5" s="33"/>
      <c r="G5" s="28" t="str">
        <f t="shared" si="1"/>
        <v>VEU</v>
      </c>
      <c r="H5" s="28">
        <f>IF(A5="","",COUNTIF($G$2:G5,G5))</f>
        <v>1</v>
      </c>
      <c r="I5" s="28" t="str">
        <f t="shared" si="2"/>
        <v>VEU1</v>
      </c>
      <c r="J5" s="28">
        <f>IF(G5="","",IF(COUNTIF($G$2:G5,G5)&gt;1,SUMIF($A$2:A5,G5,$C$2:C5),C5))</f>
        <v>15</v>
      </c>
      <c r="K5" s="45">
        <f>IF(G5="","",IF(COUNTIF($G$2:G5,G5)&gt;1,SUMIF($A$2:A5,G5,$D$2:D5),D5) +SUMIF($G$2:G5,G5,$M$2:M5))</f>
        <v>1023.4</v>
      </c>
      <c r="L5" s="45">
        <f t="shared" si="3"/>
        <v>68.226666666666659</v>
      </c>
      <c r="M5" s="46">
        <f>IF(G5="","",IF(B5 = "BUY", 0,(E5-VLOOKUP(CONCATENATE(G5,(H5-1)),$I$2:L4,4,FALSE))*-C5))</f>
        <v>0</v>
      </c>
      <c r="O5" s="27" t="str">
        <v>VDHG</v>
      </c>
      <c r="P5" s="28">
        <f t="shared" si="4"/>
        <v>0</v>
      </c>
      <c r="Q5" s="28">
        <f t="shared" si="5"/>
        <v>40</v>
      </c>
      <c r="R5" s="28">
        <f t="shared" si="6"/>
        <v>1993.63</v>
      </c>
      <c r="S5" s="46">
        <f t="shared" si="7"/>
        <v>49.84075</v>
      </c>
      <c r="U5" s="27" t="str">
        <f t="shared" si="8"/>
        <v>VDHG</v>
      </c>
      <c r="V5" s="1">
        <f t="shared" si="0"/>
        <v>0</v>
      </c>
      <c r="W5" s="1">
        <f t="shared" si="0"/>
        <v>40</v>
      </c>
      <c r="X5" s="1">
        <f t="shared" si="0"/>
        <v>1993.63</v>
      </c>
      <c r="Y5" s="47">
        <f t="shared" si="0"/>
        <v>49.84075</v>
      </c>
    </row>
    <row r="6" spans="1:25" x14ac:dyDescent="0.3">
      <c r="A6" s="27" t="str">
        <f>IF('Australian MTransaction'!A6= "","",'Australian MTransaction'!A6)</f>
        <v>VDHG</v>
      </c>
      <c r="B6" s="28" t="str">
        <f>IF('Australian MTransaction'!B6= "","",'Australian MTransaction'!B6)</f>
        <v>BUY</v>
      </c>
      <c r="C6" s="28">
        <f>IF('Australian MTransaction'!C6= "","",IF(B6="BUY",'Australian MTransaction'!C6,-'Australian MTransaction'!C6))</f>
        <v>40</v>
      </c>
      <c r="D6" s="28">
        <f>IF('Australian MTransaction'!D6 = "","",IF($B6 = "BUY", 'Australian MTransaction'!D6,-'Australian MTransaction'!D6))</f>
        <v>1993.63</v>
      </c>
      <c r="E6" s="28">
        <f>IF('Australian MTransaction'!E6= "","",'Australian MTransaction'!E6)</f>
        <v>49.84075</v>
      </c>
      <c r="F6" s="33"/>
      <c r="G6" s="28" t="str">
        <f t="shared" si="1"/>
        <v>VDHG</v>
      </c>
      <c r="H6" s="28">
        <f>IF(A6="","",COUNTIF($G$2:G6,G6))</f>
        <v>1</v>
      </c>
      <c r="I6" s="28" t="str">
        <f t="shared" si="2"/>
        <v>VDHG1</v>
      </c>
      <c r="J6" s="28">
        <f>IF(G6="","",IF(COUNTIF($G$2:G6,G6)&gt;1,SUMIF($A$2:A6,G6,$C$2:C6),C6))</f>
        <v>40</v>
      </c>
      <c r="K6" s="45">
        <f>IF(G6="","",IF(COUNTIF($G$2:G6,G6)&gt;1,SUMIF($A$2:A6,G6,$D$2:D6),D6) +SUMIF($G$2:G6,G6,$M$2:M6))</f>
        <v>1993.63</v>
      </c>
      <c r="L6" s="45">
        <f t="shared" si="3"/>
        <v>49.84075</v>
      </c>
      <c r="M6" s="46">
        <f>IF(G6="","",IF(B6 = "BUY", 0,(E6-VLOOKUP(CONCATENATE(G6,(H6-1)),$I$2:L5,4,FALSE))*-C6))</f>
        <v>0</v>
      </c>
      <c r="O6" s="27" t="str">
        <v>VHY</v>
      </c>
      <c r="P6" s="28">
        <f t="shared" si="4"/>
        <v>0</v>
      </c>
      <c r="Q6" s="28">
        <f t="shared" si="5"/>
        <v>33</v>
      </c>
      <c r="R6" s="28">
        <f t="shared" si="6"/>
        <v>2024.5</v>
      </c>
      <c r="S6" s="46">
        <f t="shared" si="7"/>
        <v>61.348484848484851</v>
      </c>
      <c r="U6" s="27" t="str">
        <f t="shared" si="8"/>
        <v>VHY</v>
      </c>
      <c r="V6" s="1">
        <f t="shared" si="0"/>
        <v>0</v>
      </c>
      <c r="W6" s="1">
        <f t="shared" si="0"/>
        <v>33</v>
      </c>
      <c r="X6" s="1">
        <f t="shared" si="0"/>
        <v>2024.5</v>
      </c>
      <c r="Y6" s="47">
        <f t="shared" si="0"/>
        <v>61.348484848484851</v>
      </c>
    </row>
    <row r="7" spans="1:25" x14ac:dyDescent="0.3">
      <c r="A7" s="27" t="str">
        <f>IF('Australian MTransaction'!A7= "","",'Australian MTransaction'!A7)</f>
        <v>VHY</v>
      </c>
      <c r="B7" s="28" t="str">
        <f>IF('Australian MTransaction'!B7= "","",'Australian MTransaction'!B7)</f>
        <v>BUY</v>
      </c>
      <c r="C7" s="28">
        <f>IF('Australian MTransaction'!C7= "","",IF(B7="BUY",'Australian MTransaction'!C7,-'Australian MTransaction'!C7))</f>
        <v>33</v>
      </c>
      <c r="D7" s="28">
        <f>IF('Australian MTransaction'!D7 = "","",IF($B7 = "BUY", 'Australian MTransaction'!D7,-'Australian MTransaction'!D7))</f>
        <v>2024.5</v>
      </c>
      <c r="E7" s="28">
        <f>IF('Australian MTransaction'!E7= "","",'Australian MTransaction'!E7)</f>
        <v>61.348484848484851</v>
      </c>
      <c r="F7" s="33"/>
      <c r="G7" s="28" t="str">
        <f t="shared" si="1"/>
        <v>VHY</v>
      </c>
      <c r="H7" s="28">
        <f>IF(A7="","",COUNTIF($G$2:G7,G7))</f>
        <v>1</v>
      </c>
      <c r="I7" s="28" t="str">
        <f t="shared" si="2"/>
        <v>VHY1</v>
      </c>
      <c r="J7" s="28">
        <f>IF(G7="","",IF(COUNTIF($G$2:G7,G7)&gt;1,SUMIF($A$2:A7,G7,$C$2:C7),C7))</f>
        <v>33</v>
      </c>
      <c r="K7" s="45">
        <f>IF(G7="","",IF(COUNTIF($G$2:G7,G7)&gt;1,SUMIF($A$2:A7,G7,$D$2:D7),D7) +SUMIF($G$2:G7,G7,$M$2:M7))</f>
        <v>2024.5</v>
      </c>
      <c r="L7" s="45">
        <f t="shared" si="3"/>
        <v>61.348484848484851</v>
      </c>
      <c r="M7" s="46">
        <f>IF(G7="","",IF(B7 = "BUY", 0,(E7-VLOOKUP(CONCATENATE(G7,(H7-1)),$I$2:L6,4,FALSE))*-C7))</f>
        <v>0</v>
      </c>
      <c r="O7" s="27" t="str">
        <v>ETHI</v>
      </c>
      <c r="P7" s="28">
        <f t="shared" si="4"/>
        <v>0</v>
      </c>
      <c r="Q7" s="28">
        <f t="shared" si="5"/>
        <v>300</v>
      </c>
      <c r="R7" s="28">
        <f t="shared" si="6"/>
        <v>3254.05</v>
      </c>
      <c r="S7" s="46">
        <f t="shared" si="7"/>
        <v>10.846833333333334</v>
      </c>
      <c r="U7" s="27" t="str">
        <f t="shared" si="8"/>
        <v>ETHI</v>
      </c>
      <c r="V7" s="1">
        <f t="shared" si="0"/>
        <v>0</v>
      </c>
      <c r="W7" s="1">
        <f t="shared" si="0"/>
        <v>300</v>
      </c>
      <c r="X7" s="1">
        <f t="shared" si="0"/>
        <v>3254.05</v>
      </c>
      <c r="Y7" s="47">
        <f t="shared" si="0"/>
        <v>10.846833333333334</v>
      </c>
    </row>
    <row r="8" spans="1:25" x14ac:dyDescent="0.3">
      <c r="A8" s="27" t="str">
        <f>IF('Australian MTransaction'!A8= "","",'Australian MTransaction'!A8)</f>
        <v>ETHI</v>
      </c>
      <c r="B8" s="28" t="str">
        <f>IF('Australian MTransaction'!B8= "","",'Australian MTransaction'!B8)</f>
        <v>BUY</v>
      </c>
      <c r="C8" s="28">
        <f>IF('Australian MTransaction'!C8= "","",IF(B8="BUY",'Australian MTransaction'!C8,-'Australian MTransaction'!C8))</f>
        <v>300</v>
      </c>
      <c r="D8" s="28">
        <f>IF('Australian MTransaction'!D8 = "","",IF($B8 = "BUY", 'Australian MTransaction'!D8,-'Australian MTransaction'!D8))</f>
        <v>3254.05</v>
      </c>
      <c r="E8" s="28">
        <f>IF('Australian MTransaction'!E8= "","",'Australian MTransaction'!E8)</f>
        <v>10.846833333333334</v>
      </c>
      <c r="F8" s="33"/>
      <c r="G8" s="28" t="str">
        <f t="shared" si="1"/>
        <v>ETHI</v>
      </c>
      <c r="H8" s="28">
        <f>IF(A8="","",COUNTIF($G$2:G8,G8))</f>
        <v>1</v>
      </c>
      <c r="I8" s="28" t="str">
        <f t="shared" si="2"/>
        <v>ETHI1</v>
      </c>
      <c r="J8" s="28">
        <f>IF(G8="","",IF(COUNTIF($G$2:G8,G8)&gt;1,SUMIF($A$2:A8,G8,$C$2:C8),C8))</f>
        <v>300</v>
      </c>
      <c r="K8" s="45">
        <f>IF(G8="","",IF(COUNTIF($G$2:G8,G8)&gt;1,SUMIF($A$2:A8,G8,$D$2:D8),D8) +SUMIF($G$2:G8,G8,$M$2:M8))</f>
        <v>3254.05</v>
      </c>
      <c r="L8" s="45">
        <f t="shared" si="3"/>
        <v>10.846833333333334</v>
      </c>
      <c r="M8" s="46">
        <f>IF(G8="","",IF(B8 = "BUY", 0,(E8-VLOOKUP(CONCATENATE(G8,(H8-1)),$I$2:L7,4,FALSE))*-C8))</f>
        <v>0</v>
      </c>
      <c r="O8" s="27" t="str">
        <v/>
      </c>
      <c r="P8" s="28" t="str">
        <f t="shared" si="4"/>
        <v/>
      </c>
      <c r="Q8" s="28" t="str">
        <f t="shared" si="5"/>
        <v/>
      </c>
      <c r="R8" s="28" t="str">
        <f t="shared" si="6"/>
        <v/>
      </c>
      <c r="S8" s="46" t="str">
        <f t="shared" si="7"/>
        <v/>
      </c>
      <c r="U8" s="27" t="str">
        <f t="shared" si="8"/>
        <v/>
      </c>
      <c r="V8" s="1" t="str">
        <f t="shared" si="0"/>
        <v/>
      </c>
      <c r="W8" s="1" t="str">
        <f t="shared" si="0"/>
        <v/>
      </c>
      <c r="X8" s="1" t="str">
        <f t="shared" si="0"/>
        <v/>
      </c>
      <c r="Y8" s="47" t="str">
        <f t="shared" si="0"/>
        <v/>
      </c>
    </row>
    <row r="9" spans="1:25" x14ac:dyDescent="0.3">
      <c r="A9" s="27" t="str">
        <f>IF('Australian MTransaction'!A9= "","",'Australian MTransaction'!A9)</f>
        <v>IOZ</v>
      </c>
      <c r="B9" s="28" t="str">
        <f>IF('Australian MTransaction'!B9= "","",'Australian MTransaction'!B9)</f>
        <v>BUY</v>
      </c>
      <c r="C9" s="28">
        <f>IF('Australian MTransaction'!C9= "","",IF(B9="BUY",'Australian MTransaction'!C9,-'Australian MTransaction'!C9))</f>
        <v>35</v>
      </c>
      <c r="D9" s="28">
        <f>IF('Australian MTransaction'!D9 = "","",IF($B9 = "BUY", 'Australian MTransaction'!D9,-'Australian MTransaction'!D9))</f>
        <v>916.3</v>
      </c>
      <c r="E9" s="28">
        <f>IF('Australian MTransaction'!E9= "","",'Australian MTransaction'!E9)</f>
        <v>26.18</v>
      </c>
      <c r="F9" s="33"/>
      <c r="G9" s="28" t="str">
        <f t="shared" si="1"/>
        <v>IOZ</v>
      </c>
      <c r="H9" s="28">
        <f>IF(A9="","",COUNTIF($G$2:G9,G9))</f>
        <v>2</v>
      </c>
      <c r="I9" s="28" t="str">
        <f t="shared" si="2"/>
        <v>IOZ2</v>
      </c>
      <c r="J9" s="28">
        <f>IF(G9="","",IF(COUNTIF($G$2:G9,G9)&gt;1,SUMIF($A$2:A9,G9,$C$2:C9),C9))</f>
        <v>75</v>
      </c>
      <c r="K9" s="45">
        <f>IF(G9="","",IF(COUNTIF($G$2:G9,G9)&gt;1,SUMIF($A$2:A9,G9,$D$2:D9),D9) +SUMIF($G$2:G9,G9,$M$2:M9))</f>
        <v>1677.98</v>
      </c>
      <c r="L9" s="45">
        <f t="shared" si="3"/>
        <v>22.373066666666666</v>
      </c>
      <c r="M9" s="46">
        <f>IF(G9="","",IF(B9 = "BUY", 0,(E9-VLOOKUP(CONCATENATE(G9,(H9-1)),$I$2:L8,4,FALSE))*-C9))</f>
        <v>0</v>
      </c>
      <c r="O9" s="27"/>
      <c r="P9" s="28" t="str">
        <f t="shared" si="4"/>
        <v/>
      </c>
      <c r="Q9" s="28" t="str">
        <f t="shared" si="5"/>
        <v/>
      </c>
      <c r="R9" s="28" t="str">
        <f t="shared" si="6"/>
        <v/>
      </c>
      <c r="S9" s="46" t="str">
        <f t="shared" si="7"/>
        <v/>
      </c>
      <c r="U9" s="27" t="str">
        <f t="shared" si="8"/>
        <v/>
      </c>
      <c r="V9" s="1" t="str">
        <f t="shared" si="0"/>
        <v/>
      </c>
      <c r="W9" s="1" t="str">
        <f t="shared" si="0"/>
        <v/>
      </c>
      <c r="X9" s="1" t="str">
        <f t="shared" si="0"/>
        <v/>
      </c>
      <c r="Y9" s="47" t="str">
        <f t="shared" si="0"/>
        <v/>
      </c>
    </row>
    <row r="10" spans="1:25" x14ac:dyDescent="0.3">
      <c r="A10" s="27" t="str">
        <f>IF('Australian MTransaction'!A10= "","",'Australian MTransaction'!A10)</f>
        <v/>
      </c>
      <c r="B10" s="28" t="str">
        <f>IF('Australian MTransaction'!B10= "","",'Australian MTransaction'!B10)</f>
        <v/>
      </c>
      <c r="C10" s="28" t="str">
        <f>IF('Australian MTransaction'!C10= "","",IF(B10="BUY",'Australian MTransaction'!C10,-'Australian MTransaction'!C10))</f>
        <v/>
      </c>
      <c r="D10" s="28" t="str">
        <f>IF('Australian MTransaction'!D10 = "","",IF($B10 = "BUY", 'Australian MTransaction'!D10,-'Australian MTransaction'!D10))</f>
        <v/>
      </c>
      <c r="E10" s="28" t="str">
        <f>IF('Australian MTransaction'!E10= "","",'Australian MTransaction'!E10)</f>
        <v/>
      </c>
      <c r="F10" s="33"/>
      <c r="G10" s="28" t="str">
        <f t="shared" si="1"/>
        <v/>
      </c>
      <c r="H10" s="28" t="str">
        <f>IF(A10="","",COUNTIF($G$2:G10,G10))</f>
        <v/>
      </c>
      <c r="I10" s="28" t="str">
        <f t="shared" si="2"/>
        <v/>
      </c>
      <c r="J10" s="28" t="str">
        <f>IF(G10="","",IF(COUNTIF($G$2:G10,G10)&gt;1,SUMIF($A$2:A10,G10,$C$2:C10),C10))</f>
        <v/>
      </c>
      <c r="K10" s="45" t="str">
        <f>IF(G10="","",IF(COUNTIF($G$2:G10,G10)&gt;1,SUMIF($A$2:A10,G10,$D$2:D10),D10) +SUMIF($G$2:G10,G10,$M$2:M10))</f>
        <v/>
      </c>
      <c r="L10" s="45" t="str">
        <f t="shared" si="3"/>
        <v/>
      </c>
      <c r="M10" s="46" t="str">
        <f>IF(G10="","",IF(B10 = "BUY", 0,(E10-VLOOKUP(CONCATENATE(G10,(H10-1)),$I$2:L9,4,FALSE))*-C10))</f>
        <v/>
      </c>
      <c r="O10" s="27"/>
      <c r="P10" s="28" t="str">
        <f t="shared" si="4"/>
        <v/>
      </c>
      <c r="Q10" s="28" t="str">
        <f t="shared" si="5"/>
        <v/>
      </c>
      <c r="R10" s="28" t="str">
        <f t="shared" si="6"/>
        <v/>
      </c>
      <c r="S10" s="46" t="str">
        <f t="shared" si="7"/>
        <v/>
      </c>
      <c r="U10" s="27" t="str">
        <f t="shared" si="8"/>
        <v/>
      </c>
      <c r="V10" s="1" t="str">
        <f t="shared" si="0"/>
        <v/>
      </c>
      <c r="W10" s="1" t="str">
        <f t="shared" si="0"/>
        <v/>
      </c>
      <c r="X10" s="1" t="str">
        <f t="shared" si="0"/>
        <v/>
      </c>
      <c r="Y10" s="47" t="str">
        <f t="shared" si="0"/>
        <v/>
      </c>
    </row>
    <row r="11" spans="1:25" x14ac:dyDescent="0.3">
      <c r="A11" s="27" t="str">
        <f>IF('Australian MTransaction'!A11= "","",'Australian MTransaction'!A11)</f>
        <v/>
      </c>
      <c r="B11" s="28" t="str">
        <f>IF('Australian MTransaction'!B11= "","",'Australian MTransaction'!B11)</f>
        <v/>
      </c>
      <c r="C11" s="28" t="str">
        <f>IF('Australian MTransaction'!C11= "","",IF(B11="BUY",'Australian MTransaction'!C11,-'Australian MTransaction'!C11))</f>
        <v/>
      </c>
      <c r="D11" s="28" t="str">
        <f>IF('Australian MTransaction'!D11 = "","",IF($B11 = "BUY", 'Australian MTransaction'!D11,-'Australian MTransaction'!D11))</f>
        <v/>
      </c>
      <c r="E11" s="28" t="str">
        <f>IF('Australian MTransaction'!E11= "","",'Australian MTransaction'!E11)</f>
        <v/>
      </c>
      <c r="F11" s="33"/>
      <c r="G11" s="28" t="str">
        <f t="shared" si="1"/>
        <v/>
      </c>
      <c r="H11" s="28" t="str">
        <f>IF(A11="","",COUNTIF($G$2:G11,G11))</f>
        <v/>
      </c>
      <c r="I11" s="28" t="str">
        <f t="shared" si="2"/>
        <v/>
      </c>
      <c r="J11" s="28" t="str">
        <f>IF(G11="","",IF(COUNTIF($G$2:G11,G11)&gt;1,SUMIF($A$2:A11,G11,$C$2:C11),C11))</f>
        <v/>
      </c>
      <c r="K11" s="45" t="str">
        <f>IF(G11="","",IF(COUNTIF($G$2:G11,G11)&gt;1,SUMIF($A$2:A11,G11,$D$2:D11),D11) +SUMIF($G$2:G11,G11,$M$2:M11))</f>
        <v/>
      </c>
      <c r="L11" s="45" t="str">
        <f t="shared" si="3"/>
        <v/>
      </c>
      <c r="M11" s="46" t="str">
        <f>IF(G11="","",IF(B11 = "BUY", 0,(E11-VLOOKUP(CONCATENATE(G11,(H11-1)),$I$2:L10,4,FALSE))*-C11))</f>
        <v/>
      </c>
      <c r="O11" s="27"/>
      <c r="P11" s="28" t="str">
        <f t="shared" si="4"/>
        <v/>
      </c>
      <c r="Q11" s="28" t="str">
        <f t="shared" si="5"/>
        <v/>
      </c>
      <c r="R11" s="28" t="str">
        <f t="shared" si="6"/>
        <v/>
      </c>
      <c r="S11" s="46" t="str">
        <f t="shared" si="7"/>
        <v/>
      </c>
      <c r="U11" s="27" t="str">
        <f t="shared" si="8"/>
        <v/>
      </c>
      <c r="V11" s="1" t="str">
        <f t="shared" si="0"/>
        <v/>
      </c>
      <c r="W11" s="1" t="str">
        <f t="shared" si="0"/>
        <v/>
      </c>
      <c r="X11" s="1" t="str">
        <f t="shared" si="0"/>
        <v/>
      </c>
      <c r="Y11" s="47" t="str">
        <f t="shared" si="0"/>
        <v/>
      </c>
    </row>
    <row r="12" spans="1:25" x14ac:dyDescent="0.3">
      <c r="A12" s="27" t="str">
        <f>IF('Australian MTransaction'!A12= "","",'Australian MTransaction'!A12)</f>
        <v/>
      </c>
      <c r="B12" s="28" t="str">
        <f>IF('Australian MTransaction'!B12= "","",'Australian MTransaction'!B12)</f>
        <v/>
      </c>
      <c r="C12" s="28" t="str">
        <f>IF('Australian MTransaction'!C12= "","",IF(B12="BUY",'Australian MTransaction'!C12,-'Australian MTransaction'!C12))</f>
        <v/>
      </c>
      <c r="D12" s="28" t="str">
        <f>IF('Australian MTransaction'!D12 = "","",IF($B12 = "BUY", 'Australian MTransaction'!D12,-'Australian MTransaction'!D12))</f>
        <v/>
      </c>
      <c r="E12" s="28" t="str">
        <f>IF('Australian MTransaction'!E12= "","",'Australian MTransaction'!E12)</f>
        <v/>
      </c>
      <c r="F12" s="33"/>
      <c r="G12" s="28" t="str">
        <f t="shared" si="1"/>
        <v/>
      </c>
      <c r="H12" s="28" t="str">
        <f>IF(A12="","",COUNTIF($G$2:G12,G12))</f>
        <v/>
      </c>
      <c r="I12" s="28" t="str">
        <f t="shared" si="2"/>
        <v/>
      </c>
      <c r="J12" s="28" t="str">
        <f>IF(G12="","",IF(COUNTIF($G$2:G12,G12)&gt;1,SUMIF($A$2:A12,G12,$C$2:C12),C12))</f>
        <v/>
      </c>
      <c r="K12" s="45" t="str">
        <f>IF(G12="","",IF(COUNTIF($G$2:G12,G12)&gt;1,SUMIF($A$2:A12,G12,$D$2:D12),D12) +SUMIF($G$2:G12,G12,$M$2:M12))</f>
        <v/>
      </c>
      <c r="L12" s="45" t="str">
        <f t="shared" si="3"/>
        <v/>
      </c>
      <c r="M12" s="46" t="str">
        <f>IF(G12="","",IF(B12 = "BUY", 0,(E12-VLOOKUP(CONCATENATE(G12,(H12-1)),$I$2:L11,4,FALSE))*-C12))</f>
        <v/>
      </c>
      <c r="O12" s="27"/>
      <c r="P12" s="28" t="str">
        <f t="shared" si="4"/>
        <v/>
      </c>
      <c r="Q12" s="28" t="str">
        <f t="shared" si="5"/>
        <v/>
      </c>
      <c r="R12" s="28" t="str">
        <f t="shared" si="6"/>
        <v/>
      </c>
      <c r="S12" s="46" t="str">
        <f t="shared" si="7"/>
        <v/>
      </c>
      <c r="U12" s="27" t="str">
        <f t="shared" si="8"/>
        <v/>
      </c>
      <c r="V12" s="1" t="str">
        <f t="shared" si="0"/>
        <v/>
      </c>
      <c r="W12" s="1" t="str">
        <f t="shared" si="0"/>
        <v/>
      </c>
      <c r="X12" s="1" t="str">
        <f t="shared" si="0"/>
        <v/>
      </c>
      <c r="Y12" s="47" t="str">
        <f t="shared" si="0"/>
        <v/>
      </c>
    </row>
    <row r="13" spans="1:25" x14ac:dyDescent="0.3">
      <c r="A13" s="27" t="str">
        <f>IF('Australian MTransaction'!A13= "","",'Australian MTransaction'!A13)</f>
        <v/>
      </c>
      <c r="B13" s="28" t="str">
        <f>IF('Australian MTransaction'!B13= "","",'Australian MTransaction'!B13)</f>
        <v/>
      </c>
      <c r="C13" s="28" t="str">
        <f>IF('Australian MTransaction'!C13= "","",IF(B13="BUY",'Australian MTransaction'!C13,-'Australian MTransaction'!C13))</f>
        <v/>
      </c>
      <c r="D13" s="28" t="str">
        <f>IF('Australian MTransaction'!D13 = "","",IF($B13 = "BUY", 'Australian MTransaction'!D13,-'Australian MTransaction'!D13))</f>
        <v/>
      </c>
      <c r="E13" s="28" t="str">
        <f>IF('Australian MTransaction'!E13= "","",'Australian MTransaction'!E13)</f>
        <v/>
      </c>
      <c r="F13" s="33"/>
      <c r="G13" s="28" t="str">
        <f t="shared" si="1"/>
        <v/>
      </c>
      <c r="H13" s="28" t="str">
        <f>IF(A13="","",COUNTIF($G$2:G13,G13))</f>
        <v/>
      </c>
      <c r="I13" s="28" t="str">
        <f t="shared" si="2"/>
        <v/>
      </c>
      <c r="J13" s="28" t="str">
        <f>IF(G13="","",IF(COUNTIF($G$2:G13,G13)&gt;1,SUMIF($A$2:A13,G13,$C$2:C13),C13))</f>
        <v/>
      </c>
      <c r="K13" s="45" t="str">
        <f>IF(G13="","",IF(COUNTIF($G$2:G13,G13)&gt;1,SUMIF($A$2:A13,G13,$D$2:D13),D13) +SUMIF($G$2:G13,G13,$M$2:M13))</f>
        <v/>
      </c>
      <c r="L13" s="45" t="str">
        <f t="shared" si="3"/>
        <v/>
      </c>
      <c r="M13" s="46" t="str">
        <f>IF(G13="","",IF(B13 = "BUY", 0,(E13-VLOOKUP(CONCATENATE(G13,(H13-1)),$I$2:L12,4,FALSE))*-C13))</f>
        <v/>
      </c>
      <c r="O13" s="27"/>
      <c r="P13" s="28" t="str">
        <f t="shared" si="4"/>
        <v/>
      </c>
      <c r="Q13" s="28" t="str">
        <f t="shared" si="5"/>
        <v/>
      </c>
      <c r="R13" s="28" t="str">
        <f t="shared" si="6"/>
        <v/>
      </c>
      <c r="S13" s="46" t="str">
        <f t="shared" si="7"/>
        <v/>
      </c>
      <c r="U13" s="27" t="str">
        <f t="shared" si="8"/>
        <v/>
      </c>
      <c r="V13" s="1" t="str">
        <f t="shared" si="0"/>
        <v/>
      </c>
      <c r="W13" s="1" t="str">
        <f t="shared" si="0"/>
        <v/>
      </c>
      <c r="X13" s="1" t="str">
        <f t="shared" si="0"/>
        <v/>
      </c>
      <c r="Y13" s="47" t="str">
        <f t="shared" si="0"/>
        <v/>
      </c>
    </row>
    <row r="14" spans="1:25" x14ac:dyDescent="0.3">
      <c r="A14" s="27" t="str">
        <f>IF('Australian MTransaction'!A14= "","",'Australian MTransaction'!A14)</f>
        <v/>
      </c>
      <c r="B14" s="28" t="str">
        <f>IF('Australian MTransaction'!B14= "","",'Australian MTransaction'!B14)</f>
        <v/>
      </c>
      <c r="C14" s="28" t="str">
        <f>IF('Australian MTransaction'!C14= "","",IF(B14="BUY",'Australian MTransaction'!C14,-'Australian MTransaction'!C14))</f>
        <v/>
      </c>
      <c r="D14" s="28" t="str">
        <f>IF('Australian MTransaction'!D14 = "","",IF($B14 = "BUY", 'Australian MTransaction'!D14,-'Australian MTransaction'!D14))</f>
        <v/>
      </c>
      <c r="E14" s="28" t="str">
        <f>IF('Australian MTransaction'!E14= "","",'Australian MTransaction'!E14)</f>
        <v/>
      </c>
      <c r="F14" s="33"/>
      <c r="G14" s="28" t="str">
        <f t="shared" si="1"/>
        <v/>
      </c>
      <c r="H14" s="28" t="str">
        <f>IF(A14="","",COUNTIF($G$2:G14,G14))</f>
        <v/>
      </c>
      <c r="I14" s="28" t="str">
        <f t="shared" si="2"/>
        <v/>
      </c>
      <c r="J14" s="28" t="str">
        <f>IF(G14="","",IF(COUNTIF($G$2:G14,G14)&gt;1,SUMIF($A$2:A14,G14,$C$2:C14),C14))</f>
        <v/>
      </c>
      <c r="K14" s="45" t="str">
        <f>IF(G14="","",IF(COUNTIF($G$2:G14,G14)&gt;1,SUMIF($A$2:A14,G14,$D$2:D14),D14) +SUMIF($G$2:G14,G14,$M$2:M14))</f>
        <v/>
      </c>
      <c r="L14" s="45" t="str">
        <f t="shared" si="3"/>
        <v/>
      </c>
      <c r="M14" s="46" t="str">
        <f>IF(G14="","",IF(B14 = "BUY", 0,(E14-VLOOKUP(CONCATENATE(G14,(H14-1)),$I$2:L13,4,FALSE))*-C14))</f>
        <v/>
      </c>
      <c r="O14" s="27"/>
      <c r="P14" s="28" t="str">
        <f t="shared" si="4"/>
        <v/>
      </c>
      <c r="Q14" s="28" t="str">
        <f t="shared" si="5"/>
        <v/>
      </c>
      <c r="R14" s="28" t="str">
        <f t="shared" si="6"/>
        <v/>
      </c>
      <c r="S14" s="46" t="str">
        <f t="shared" si="7"/>
        <v/>
      </c>
      <c r="U14" s="27" t="str">
        <f t="shared" si="8"/>
        <v/>
      </c>
      <c r="V14" s="1" t="str">
        <f t="shared" si="0"/>
        <v/>
      </c>
      <c r="W14" s="1" t="str">
        <f t="shared" si="0"/>
        <v/>
      </c>
      <c r="X14" s="1" t="str">
        <f t="shared" si="0"/>
        <v/>
      </c>
      <c r="Y14" s="47" t="str">
        <f t="shared" si="0"/>
        <v/>
      </c>
    </row>
    <row r="15" spans="1:25" x14ac:dyDescent="0.3">
      <c r="A15" s="27" t="str">
        <f>IF('Australian MTransaction'!A15= "","",'Australian MTransaction'!A15)</f>
        <v/>
      </c>
      <c r="B15" s="28" t="str">
        <f>IF('Australian MTransaction'!B15= "","",'Australian MTransaction'!B15)</f>
        <v/>
      </c>
      <c r="C15" s="28" t="str">
        <f>IF('Australian MTransaction'!C15= "","",IF(B15="BUY",'Australian MTransaction'!C15,-'Australian MTransaction'!C15))</f>
        <v/>
      </c>
      <c r="D15" s="28" t="str">
        <f>IF('Australian MTransaction'!D15 = "","",IF($B15 = "BUY", 'Australian MTransaction'!D15,-'Australian MTransaction'!D15))</f>
        <v/>
      </c>
      <c r="E15" s="28" t="str">
        <f>IF('Australian MTransaction'!E15= "","",'Australian MTransaction'!E15)</f>
        <v/>
      </c>
      <c r="F15" s="33"/>
      <c r="G15" s="28" t="str">
        <f t="shared" si="1"/>
        <v/>
      </c>
      <c r="H15" s="28" t="str">
        <f>IF(A15="","",COUNTIF($G$2:G15,G15))</f>
        <v/>
      </c>
      <c r="I15" s="28" t="str">
        <f t="shared" si="2"/>
        <v/>
      </c>
      <c r="J15" s="28" t="str">
        <f>IF(G15="","",IF(COUNTIF($G$2:G15,G15)&gt;1,SUMIF($A$2:A15,G15,$C$2:C15),C15))</f>
        <v/>
      </c>
      <c r="K15" s="45" t="str">
        <f>IF(G15="","",IF(COUNTIF($G$2:G15,G15)&gt;1,SUMIF($A$2:A15,G15,$D$2:D15),D15) +SUMIF($G$2:G15,G15,$M$2:M15))</f>
        <v/>
      </c>
      <c r="L15" s="45" t="str">
        <f t="shared" si="3"/>
        <v/>
      </c>
      <c r="M15" s="46" t="str">
        <f>IF(G15="","",IF(B15 = "BUY", 0,(E15-VLOOKUP(CONCATENATE(G15,(H15-1)),$I$2:L14,4,FALSE))*-C15))</f>
        <v/>
      </c>
      <c r="O15" s="27"/>
      <c r="P15" s="28" t="str">
        <f t="shared" si="4"/>
        <v/>
      </c>
      <c r="Q15" s="28" t="str">
        <f t="shared" si="5"/>
        <v/>
      </c>
      <c r="R15" s="28" t="str">
        <f t="shared" si="6"/>
        <v/>
      </c>
      <c r="S15" s="46" t="str">
        <f t="shared" si="7"/>
        <v/>
      </c>
      <c r="U15" s="27" t="str">
        <f t="shared" si="8"/>
        <v/>
      </c>
      <c r="V15" s="1" t="str">
        <f t="shared" si="0"/>
        <v/>
      </c>
      <c r="W15" s="1" t="str">
        <f t="shared" si="0"/>
        <v/>
      </c>
      <c r="X15" s="1" t="str">
        <f t="shared" si="0"/>
        <v/>
      </c>
      <c r="Y15" s="47" t="str">
        <f t="shared" si="0"/>
        <v/>
      </c>
    </row>
    <row r="16" spans="1:25" x14ac:dyDescent="0.3">
      <c r="A16" s="27" t="str">
        <f>IF('Australian MTransaction'!A16= "","",'Australian MTransaction'!A16)</f>
        <v/>
      </c>
      <c r="B16" s="28" t="str">
        <f>IF('Australian MTransaction'!B16= "","",'Australian MTransaction'!B16)</f>
        <v/>
      </c>
      <c r="C16" s="28" t="str">
        <f>IF('Australian MTransaction'!C16= "","",IF(B16="BUY",'Australian MTransaction'!C16,-'Australian MTransaction'!C16))</f>
        <v/>
      </c>
      <c r="D16" s="28" t="str">
        <f>IF('Australian MTransaction'!D16 = "","",IF($B16 = "BUY", 'Australian MTransaction'!D16,-'Australian MTransaction'!D16))</f>
        <v/>
      </c>
      <c r="E16" s="28" t="str">
        <f>IF('Australian MTransaction'!E16= "","",'Australian MTransaction'!E16)</f>
        <v/>
      </c>
      <c r="F16" s="33"/>
      <c r="G16" s="28" t="str">
        <f t="shared" si="1"/>
        <v/>
      </c>
      <c r="H16" s="28" t="str">
        <f>IF(A16="","",COUNTIF($G$2:G16,G16))</f>
        <v/>
      </c>
      <c r="I16" s="28" t="str">
        <f t="shared" si="2"/>
        <v/>
      </c>
      <c r="J16" s="28" t="str">
        <f>IF(G16="","",IF(COUNTIF($G$2:G16,G16)&gt;1,SUMIF($A$2:A16,G16,$C$2:C16),C16))</f>
        <v/>
      </c>
      <c r="K16" s="45" t="str">
        <f>IF(G16="","",IF(COUNTIF($G$2:G16,G16)&gt;1,SUMIF($A$2:A16,G16,$D$2:D16),D16) +SUMIF($G$2:G16,G16,$M$2:M16))</f>
        <v/>
      </c>
      <c r="L16" s="45" t="str">
        <f t="shared" si="3"/>
        <v/>
      </c>
      <c r="M16" s="46" t="str">
        <f>IF(G16="","",IF(B16 = "BUY", 0,(E16-VLOOKUP(CONCATENATE(G16,(H16-1)),$I$2:L15,4,FALSE))*-C16))</f>
        <v/>
      </c>
      <c r="O16" s="27"/>
      <c r="P16" s="28" t="str">
        <f t="shared" si="4"/>
        <v/>
      </c>
      <c r="Q16" s="28" t="str">
        <f t="shared" si="5"/>
        <v/>
      </c>
      <c r="R16" s="28" t="str">
        <f t="shared" si="6"/>
        <v/>
      </c>
      <c r="S16" s="46" t="str">
        <f t="shared" si="7"/>
        <v/>
      </c>
      <c r="U16" s="27" t="str">
        <f t="shared" si="8"/>
        <v/>
      </c>
      <c r="V16" s="1" t="str">
        <f t="shared" si="0"/>
        <v/>
      </c>
      <c r="W16" s="1" t="str">
        <f t="shared" si="0"/>
        <v/>
      </c>
      <c r="X16" s="1" t="str">
        <f t="shared" si="0"/>
        <v/>
      </c>
      <c r="Y16" s="47" t="str">
        <f t="shared" si="0"/>
        <v/>
      </c>
    </row>
    <row r="17" spans="1:25" x14ac:dyDescent="0.3">
      <c r="A17" s="27" t="str">
        <f>IF('Australian MTransaction'!A17= "","",'Australian MTransaction'!A17)</f>
        <v/>
      </c>
      <c r="B17" s="28" t="str">
        <f>IF('Australian MTransaction'!B17= "","",'Australian MTransaction'!B17)</f>
        <v/>
      </c>
      <c r="C17" s="28" t="str">
        <f>IF('Australian MTransaction'!C17= "","",IF(B17="BUY",'Australian MTransaction'!C17,-'Australian MTransaction'!C17))</f>
        <v/>
      </c>
      <c r="D17" s="28" t="str">
        <f>IF('Australian MTransaction'!D17 = "","",IF($B17 = "BUY", 'Australian MTransaction'!D17,-'Australian MTransaction'!D17))</f>
        <v/>
      </c>
      <c r="E17" s="28" t="str">
        <f>IF('Australian MTransaction'!E17= "","",'Australian MTransaction'!E17)</f>
        <v/>
      </c>
      <c r="F17" s="33"/>
      <c r="G17" s="28" t="str">
        <f t="shared" si="1"/>
        <v/>
      </c>
      <c r="H17" s="28" t="str">
        <f>IF(A17="","",COUNTIF($G$2:G17,G17))</f>
        <v/>
      </c>
      <c r="I17" s="28" t="str">
        <f t="shared" si="2"/>
        <v/>
      </c>
      <c r="J17" s="28" t="str">
        <f>IF(G17="","",IF(COUNTIF($G$2:G17,G17)&gt;1,SUMIF($A$2:A17,G17,$C$2:C17),C17))</f>
        <v/>
      </c>
      <c r="K17" s="45" t="str">
        <f>IF(G17="","",IF(COUNTIF($G$2:G17,G17)&gt;1,SUMIF($A$2:A17,G17,$D$2:D17),D17) +SUMIF($G$2:G17,G17,$M$2:M17))</f>
        <v/>
      </c>
      <c r="L17" s="45" t="str">
        <f t="shared" si="3"/>
        <v/>
      </c>
      <c r="M17" s="46" t="str">
        <f>IF(G17="","",IF(B17 = "BUY", 0,(E17-VLOOKUP(CONCATENATE(G17,(H17-1)),$I$2:L16,4,FALSE))*-C17))</f>
        <v/>
      </c>
      <c r="O17" s="27"/>
      <c r="P17" s="28" t="str">
        <f t="shared" si="4"/>
        <v/>
      </c>
      <c r="Q17" s="28" t="str">
        <f t="shared" si="5"/>
        <v/>
      </c>
      <c r="R17" s="28" t="str">
        <f t="shared" si="6"/>
        <v/>
      </c>
      <c r="S17" s="46" t="str">
        <f t="shared" si="7"/>
        <v/>
      </c>
      <c r="U17" s="27" t="str">
        <f t="shared" si="8"/>
        <v/>
      </c>
      <c r="V17" s="1" t="str">
        <f t="shared" si="0"/>
        <v/>
      </c>
      <c r="W17" s="1" t="str">
        <f t="shared" si="0"/>
        <v/>
      </c>
      <c r="X17" s="1" t="str">
        <f t="shared" si="0"/>
        <v/>
      </c>
      <c r="Y17" s="47" t="str">
        <f t="shared" si="0"/>
        <v/>
      </c>
    </row>
    <row r="18" spans="1:25" x14ac:dyDescent="0.3">
      <c r="A18" s="27" t="str">
        <f>IF('Australian MTransaction'!A18= "","",'Australian MTransaction'!A18)</f>
        <v/>
      </c>
      <c r="B18" s="28" t="str">
        <f>IF('Australian MTransaction'!B18= "","",'Australian MTransaction'!B18)</f>
        <v/>
      </c>
      <c r="C18" s="28" t="str">
        <f>IF('Australian MTransaction'!C18= "","",IF(B18="BUY",'Australian MTransaction'!C18,-'Australian MTransaction'!C18))</f>
        <v/>
      </c>
      <c r="D18" s="28" t="str">
        <f>IF('Australian MTransaction'!D18 = "","",IF($B18 = "BUY", 'Australian MTransaction'!D18,-'Australian MTransaction'!D18))</f>
        <v/>
      </c>
      <c r="E18" s="28" t="str">
        <f>IF('Australian MTransaction'!E18= "","",'Australian MTransaction'!E18)</f>
        <v/>
      </c>
      <c r="F18" s="33"/>
      <c r="G18" s="28" t="str">
        <f t="shared" si="1"/>
        <v/>
      </c>
      <c r="H18" s="28" t="str">
        <f>IF(A18="","",COUNTIF($G$2:G18,G18))</f>
        <v/>
      </c>
      <c r="I18" s="28" t="str">
        <f t="shared" si="2"/>
        <v/>
      </c>
      <c r="J18" s="28" t="str">
        <f>IF(G18="","",IF(COUNTIF($G$2:G18,G18)&gt;1,SUMIF($A$2:A18,G18,$C$2:C18),C18))</f>
        <v/>
      </c>
      <c r="K18" s="45" t="str">
        <f>IF(G18="","",IF(COUNTIF($G$2:G18,G18)&gt;1,SUMIF($A$2:A18,G18,$D$2:D18),D18) +SUMIF($G$2:G18,G18,$M$2:M18))</f>
        <v/>
      </c>
      <c r="L18" s="45" t="str">
        <f t="shared" si="3"/>
        <v/>
      </c>
      <c r="M18" s="46" t="str">
        <f>IF(G18="","",IF(B18 = "BUY", 0,(E18-VLOOKUP(CONCATENATE(G18,(H18-1)),$I$2:L17,4,FALSE))*-C18))</f>
        <v/>
      </c>
      <c r="O18" s="27"/>
      <c r="P18" s="28" t="str">
        <f t="shared" si="4"/>
        <v/>
      </c>
      <c r="Q18" s="28" t="str">
        <f t="shared" si="5"/>
        <v/>
      </c>
      <c r="R18" s="28" t="str">
        <f t="shared" si="6"/>
        <v/>
      </c>
      <c r="S18" s="46" t="str">
        <f t="shared" si="7"/>
        <v/>
      </c>
      <c r="U18" s="27" t="str">
        <f t="shared" si="8"/>
        <v/>
      </c>
      <c r="V18" s="1" t="str">
        <f t="shared" si="8"/>
        <v/>
      </c>
      <c r="W18" s="1" t="str">
        <f t="shared" si="8"/>
        <v/>
      </c>
      <c r="X18" s="1" t="str">
        <f t="shared" si="8"/>
        <v/>
      </c>
      <c r="Y18" s="47" t="str">
        <f t="shared" si="8"/>
        <v/>
      </c>
    </row>
    <row r="19" spans="1:25" x14ac:dyDescent="0.3">
      <c r="A19" s="27" t="str">
        <f>IF('Australian MTransaction'!A19= "","",'Australian MTransaction'!A19)</f>
        <v/>
      </c>
      <c r="B19" s="28" t="str">
        <f>IF('Australian MTransaction'!B19= "","",'Australian MTransaction'!B19)</f>
        <v/>
      </c>
      <c r="C19" s="28" t="str">
        <f>IF('Australian MTransaction'!C19= "","",IF(B19="BUY",'Australian MTransaction'!C19,-'Australian MTransaction'!C19))</f>
        <v/>
      </c>
      <c r="D19" s="28" t="str">
        <f>IF('Australian MTransaction'!D19 = "","",IF($B19 = "BUY", 'Australian MTransaction'!D19,-'Australian MTransaction'!D19))</f>
        <v/>
      </c>
      <c r="E19" s="28" t="str">
        <f>IF('Australian MTransaction'!E19= "","",'Australian MTransaction'!E19)</f>
        <v/>
      </c>
      <c r="F19" s="33"/>
      <c r="G19" s="28" t="str">
        <f t="shared" si="1"/>
        <v/>
      </c>
      <c r="H19" s="28" t="str">
        <f>IF(A19="","",COUNTIF($G$2:G19,G19))</f>
        <v/>
      </c>
      <c r="I19" s="28" t="str">
        <f t="shared" si="2"/>
        <v/>
      </c>
      <c r="J19" s="28" t="str">
        <f>IF(G19="","",IF(COUNTIF($G$2:G19,G19)&gt;1,SUMIF($A$2:A19,G19,$C$2:C19),C19))</f>
        <v/>
      </c>
      <c r="K19" s="45" t="str">
        <f>IF(G19="","",IF(COUNTIF($G$2:G19,G19)&gt;1,SUMIF($A$2:A19,G19,$D$2:D19),D19) +SUMIF($G$2:G19,G19,$M$2:M19))</f>
        <v/>
      </c>
      <c r="L19" s="45" t="str">
        <f t="shared" si="3"/>
        <v/>
      </c>
      <c r="M19" s="46" t="str">
        <f>IF(G19="","",IF(B19 = "BUY", 0,(E19-VLOOKUP(CONCATENATE(G19,(H19-1)),$I$2:L18,4,FALSE))*-C19))</f>
        <v/>
      </c>
      <c r="O19" s="27"/>
      <c r="P19" s="28" t="str">
        <f t="shared" si="4"/>
        <v/>
      </c>
      <c r="Q19" s="28" t="str">
        <f t="shared" si="5"/>
        <v/>
      </c>
      <c r="R19" s="28" t="str">
        <f t="shared" si="6"/>
        <v/>
      </c>
      <c r="S19" s="46" t="str">
        <f t="shared" si="7"/>
        <v/>
      </c>
      <c r="U19" s="27" t="str">
        <f t="shared" ref="U19:Y21" si="9">IF($Q19="","",IF($Q19&gt;0.0001,O19,""))</f>
        <v/>
      </c>
      <c r="V19" s="1" t="str">
        <f t="shared" si="9"/>
        <v/>
      </c>
      <c r="W19" s="1" t="str">
        <f t="shared" si="9"/>
        <v/>
      </c>
      <c r="X19" s="1" t="str">
        <f t="shared" si="9"/>
        <v/>
      </c>
      <c r="Y19" s="47" t="str">
        <f t="shared" si="9"/>
        <v/>
      </c>
    </row>
    <row r="20" spans="1:25" x14ac:dyDescent="0.3">
      <c r="A20" s="27" t="str">
        <f>IF('Australian MTransaction'!A20= "","",'Australian MTransaction'!A20)</f>
        <v/>
      </c>
      <c r="B20" s="28" t="str">
        <f>IF('Australian MTransaction'!B20= "","",'Australian MTransaction'!B20)</f>
        <v/>
      </c>
      <c r="C20" s="28" t="str">
        <f>IF('Australian MTransaction'!C20= "","",IF(B20="BUY",'Australian MTransaction'!C20,-'Australian MTransaction'!C20))</f>
        <v/>
      </c>
      <c r="D20" s="28" t="str">
        <f>IF('Australian MTransaction'!D20 = "","",IF($B20 = "BUY", 'Australian MTransaction'!D20,-'Australian MTransaction'!D20))</f>
        <v/>
      </c>
      <c r="E20" s="28" t="str">
        <f>IF('Australian MTransaction'!E20= "","",'Australian MTransaction'!E20)</f>
        <v/>
      </c>
      <c r="F20" s="33"/>
      <c r="G20" s="28" t="str">
        <f t="shared" si="1"/>
        <v/>
      </c>
      <c r="H20" s="28" t="str">
        <f>IF(A20="","",COUNTIF($G$2:G20,G20))</f>
        <v/>
      </c>
      <c r="I20" s="28" t="str">
        <f t="shared" si="2"/>
        <v/>
      </c>
      <c r="J20" s="28" t="str">
        <f>IF(G20="","",IF(COUNTIF($G$2:G20,G20)&gt;1,SUMIF($A$2:A20,G20,$C$2:C20),C20))</f>
        <v/>
      </c>
      <c r="K20" s="45" t="str">
        <f>IF(G20="","",IF(COUNTIF($G$2:G20,G20)&gt;1,SUMIF($A$2:A20,G20,$D$2:D20),D20) +SUMIF($G$2:G20,G20,$M$2:M20))</f>
        <v/>
      </c>
      <c r="L20" s="45" t="str">
        <f t="shared" si="3"/>
        <v/>
      </c>
      <c r="M20" s="46" t="str">
        <f>IF(G20="","",IF(B20 = "BUY", 0,(E20-VLOOKUP(CONCATENATE(G20,(H20-1)),$I$2:L19,4,FALSE))*-C20))</f>
        <v/>
      </c>
      <c r="O20" s="27"/>
      <c r="P20" s="28" t="str">
        <f t="shared" si="4"/>
        <v/>
      </c>
      <c r="Q20" s="28" t="str">
        <f t="shared" si="5"/>
        <v/>
      </c>
      <c r="R20" s="28" t="str">
        <f t="shared" si="6"/>
        <v/>
      </c>
      <c r="S20" s="46" t="str">
        <f t="shared" si="7"/>
        <v/>
      </c>
      <c r="U20" s="27" t="str">
        <f t="shared" si="9"/>
        <v/>
      </c>
      <c r="V20" s="1" t="str">
        <f t="shared" si="9"/>
        <v/>
      </c>
      <c r="W20" s="1" t="str">
        <f t="shared" si="9"/>
        <v/>
      </c>
      <c r="X20" s="1" t="str">
        <f t="shared" si="9"/>
        <v/>
      </c>
      <c r="Y20" s="47" t="str">
        <f t="shared" si="9"/>
        <v/>
      </c>
    </row>
    <row r="21" spans="1:25" ht="15" thickBot="1" x14ac:dyDescent="0.35">
      <c r="A21" s="27" t="str">
        <f>IF('Australian MTransaction'!A21= "","",'Australian MTransaction'!A21)</f>
        <v/>
      </c>
      <c r="B21" s="28" t="str">
        <f>IF('Australian MTransaction'!B21= "","",'Australian MTransaction'!B21)</f>
        <v/>
      </c>
      <c r="C21" s="28" t="str">
        <f>IF('Australian MTransaction'!C21= "","",IF(B21="BUY",'Australian MTransaction'!C21,-'Australian MTransaction'!C21))</f>
        <v/>
      </c>
      <c r="D21" s="28" t="str">
        <f>IF('Australian MTransaction'!D21 = "","",IF($B21 = "BUY", 'Australian MTransaction'!D21,-'Australian MTransaction'!D21))</f>
        <v/>
      </c>
      <c r="E21" s="28" t="str">
        <f>IF('Australian MTransaction'!E21= "","",'Australian MTransaction'!E21)</f>
        <v/>
      </c>
      <c r="F21" s="33"/>
      <c r="G21" s="28" t="str">
        <f t="shared" si="1"/>
        <v/>
      </c>
      <c r="H21" s="28" t="str">
        <f>IF(A21="","",COUNTIF($G$2:G21,G21))</f>
        <v/>
      </c>
      <c r="I21" s="28" t="str">
        <f t="shared" si="2"/>
        <v/>
      </c>
      <c r="J21" s="28" t="str">
        <f>IF(G21="","",IF(COUNTIF($G$2:G21,G21)&gt;1,SUMIF($A$2:A21,G21,$C$2:C21),C21))</f>
        <v/>
      </c>
      <c r="K21" s="45" t="str">
        <f>IF(G21="","",IF(COUNTIF($G$2:G21,G21)&gt;1,SUMIF($A$2:A21,G21,$D$2:D21),D21) +SUMIF($G$2:G21,G21,$M$2:M21))</f>
        <v/>
      </c>
      <c r="L21" s="45" t="str">
        <f t="shared" si="3"/>
        <v/>
      </c>
      <c r="M21" s="46" t="str">
        <f>IF(G21="","",IF(B21 = "BUY", 0,(E21-VLOOKUP(CONCATENATE(G21,(H21-1)),$I$2:L20,4,FALSE))*-C21))</f>
        <v/>
      </c>
      <c r="O21" s="30"/>
      <c r="P21" s="31" t="str">
        <f t="shared" si="4"/>
        <v/>
      </c>
      <c r="Q21" s="31" t="str">
        <f t="shared" si="5"/>
        <v/>
      </c>
      <c r="R21" s="31" t="str">
        <f t="shared" si="6"/>
        <v/>
      </c>
      <c r="S21" s="48" t="str">
        <f t="shared" si="7"/>
        <v/>
      </c>
      <c r="U21" s="30" t="str">
        <f t="shared" si="9"/>
        <v/>
      </c>
      <c r="V21" s="31" t="str">
        <f t="shared" si="9"/>
        <v/>
      </c>
      <c r="W21" s="31" t="str">
        <f t="shared" si="9"/>
        <v/>
      </c>
      <c r="X21" s="31" t="str">
        <f t="shared" si="9"/>
        <v/>
      </c>
      <c r="Y21" s="49" t="str">
        <f t="shared" si="9"/>
        <v/>
      </c>
    </row>
    <row r="22" spans="1:25" x14ac:dyDescent="0.3">
      <c r="A22" s="27" t="str">
        <f>IF('Australian MTransaction'!A22= "","",'Australian MTransaction'!A22)</f>
        <v/>
      </c>
      <c r="B22" s="28" t="str">
        <f>IF('Australian MTransaction'!B22= "","",'Australian MTransaction'!B22)</f>
        <v/>
      </c>
      <c r="C22" s="28" t="str">
        <f>IF('Australian MTransaction'!C22= "","",IF(B22="BUY",'Australian MTransaction'!C22,-'Australian MTransaction'!C22))</f>
        <v/>
      </c>
      <c r="D22" s="28" t="str">
        <f>IF('Australian MTransaction'!D22 = "","",IF($B22 = "BUY", 'Australian MTransaction'!D22,-'Australian MTransaction'!D22))</f>
        <v/>
      </c>
      <c r="E22" s="28" t="str">
        <f>IF('Australian MTransaction'!E22= "","",'Australian MTransaction'!E22)</f>
        <v/>
      </c>
      <c r="F22" s="33"/>
      <c r="G22" s="28" t="str">
        <f t="shared" si="1"/>
        <v/>
      </c>
      <c r="H22" s="28" t="str">
        <f>IF(A22="","",COUNTIF($G$2:G22,G22))</f>
        <v/>
      </c>
      <c r="I22" s="28" t="str">
        <f t="shared" si="2"/>
        <v/>
      </c>
      <c r="J22" s="28" t="str">
        <f>IF(G22="","",IF(COUNTIF($G$2:G22,G22)&gt;1,SUMIF($A$2:A22,G22,$C$2:C22),C22))</f>
        <v/>
      </c>
      <c r="K22" s="45" t="str">
        <f>IF(G22="","",IF(COUNTIF($G$2:G22,G22)&gt;1,SUMIF($A$2:A22,G22,$D$2:D22),D22) +SUMIF($G$2:G22,G22,$M$2:M22))</f>
        <v/>
      </c>
      <c r="L22" s="45" t="str">
        <f t="shared" si="3"/>
        <v/>
      </c>
      <c r="M22" s="46" t="str">
        <f>IF(G22="","",IF(B22 = "BUY", 0,(E22-VLOOKUP(CONCATENATE(G22,(H22-1)),$I$2:L21,4,FALSE))*-C22))</f>
        <v/>
      </c>
      <c r="P22" s="1" t="str">
        <f t="shared" ref="P22:P51" si="10">IF(O22="","",SUMIF($G$2:$G$51,O22,$M$2:$M$51))</f>
        <v/>
      </c>
      <c r="Q22" s="1" t="str">
        <f t="shared" ref="Q22:Q51" si="11">IF(O22="","",VLOOKUP(CONCATENATE(O22,(COUNTIF($G$2:$G$51,O22))),$I$2:$L$51,2,FALSE))</f>
        <v/>
      </c>
      <c r="R22" s="1" t="str">
        <f t="shared" ref="R22:R51" si="12">IF(O22="","",VLOOKUP(CONCATENATE(O22,(COUNTIF($G$2:$G$51,O22))),$I$2:$L$51,3,FALSE))</f>
        <v/>
      </c>
      <c r="S22" s="1" t="str">
        <f t="shared" ref="S22:S51" si="13">IF(O22="","",VLOOKUP(CONCATENATE(O22,(COUNTIF($G$2:$G$51,O22))),$I$2:$L$51,4,FALSE))</f>
        <v/>
      </c>
    </row>
    <row r="23" spans="1:25" x14ac:dyDescent="0.3">
      <c r="A23" s="27" t="str">
        <f>IF('Australian MTransaction'!A23= "","",'Australian MTransaction'!A23)</f>
        <v/>
      </c>
      <c r="B23" s="28" t="str">
        <f>IF('Australian MTransaction'!B23= "","",'Australian MTransaction'!B23)</f>
        <v/>
      </c>
      <c r="C23" s="28" t="str">
        <f>IF('Australian MTransaction'!C23= "","",IF(B23="BUY",'Australian MTransaction'!C23,-'Australian MTransaction'!C23))</f>
        <v/>
      </c>
      <c r="D23" s="28" t="str">
        <f>IF('Australian MTransaction'!D23 = "","",IF($B23 = "BUY", 'Australian MTransaction'!D23,-'Australian MTransaction'!D23))</f>
        <v/>
      </c>
      <c r="E23" s="28" t="str">
        <f>IF('Australian MTransaction'!E23= "","",'Australian MTransaction'!E23)</f>
        <v/>
      </c>
      <c r="F23" s="33"/>
      <c r="G23" s="28" t="str">
        <f t="shared" si="1"/>
        <v/>
      </c>
      <c r="H23" s="28" t="str">
        <f>IF(A23="","",COUNTIF($G$2:G23,G23))</f>
        <v/>
      </c>
      <c r="I23" s="28" t="str">
        <f t="shared" si="2"/>
        <v/>
      </c>
      <c r="J23" s="28" t="str">
        <f>IF(G23="","",IF(COUNTIF($G$2:G23,G23)&gt;1,SUMIF($A$2:A23,G23,$C$2:C23),C23))</f>
        <v/>
      </c>
      <c r="K23" s="45" t="str">
        <f>IF(G23="","",IF(COUNTIF($G$2:G23,G23)&gt;1,SUMIF($A$2:A23,G23,$D$2:D23),D23) +SUMIF($G$2:G23,G23,$M$2:M23))</f>
        <v/>
      </c>
      <c r="L23" s="45" t="str">
        <f t="shared" si="3"/>
        <v/>
      </c>
      <c r="M23" s="46" t="str">
        <f>IF(G23="","",IF(B23 = "BUY", 0,(E23-VLOOKUP(CONCATENATE(G23,(H23-1)),$I$2:L22,4,FALSE))*-C23))</f>
        <v/>
      </c>
      <c r="P23" s="1" t="str">
        <f t="shared" si="10"/>
        <v/>
      </c>
      <c r="Q23" s="1" t="str">
        <f t="shared" si="11"/>
        <v/>
      </c>
      <c r="R23" s="1" t="str">
        <f t="shared" si="12"/>
        <v/>
      </c>
      <c r="S23" s="1" t="str">
        <f t="shared" si="13"/>
        <v/>
      </c>
    </row>
    <row r="24" spans="1:25" x14ac:dyDescent="0.3">
      <c r="A24" s="27" t="str">
        <f>IF('Australian MTransaction'!A24= "","",'Australian MTransaction'!A24)</f>
        <v/>
      </c>
      <c r="B24" s="28" t="str">
        <f>IF('Australian MTransaction'!B24= "","",'Australian MTransaction'!B24)</f>
        <v/>
      </c>
      <c r="C24" s="28" t="str">
        <f>IF('Australian MTransaction'!C24= "","",IF(B24="BUY",'Australian MTransaction'!C24,-'Australian MTransaction'!C24))</f>
        <v/>
      </c>
      <c r="D24" s="28" t="str">
        <f>IF('Australian MTransaction'!D24 = "","",IF($B24 = "BUY", 'Australian MTransaction'!D24,-'Australian MTransaction'!D24))</f>
        <v/>
      </c>
      <c r="E24" s="28" t="str">
        <f>IF('Australian MTransaction'!E24= "","",'Australian MTransaction'!E24)</f>
        <v/>
      </c>
      <c r="F24" s="33"/>
      <c r="G24" s="28" t="str">
        <f t="shared" si="1"/>
        <v/>
      </c>
      <c r="H24" s="28" t="str">
        <f>IF(A24="","",COUNTIF($G$2:G24,G24))</f>
        <v/>
      </c>
      <c r="I24" s="28" t="str">
        <f t="shared" si="2"/>
        <v/>
      </c>
      <c r="J24" s="28" t="str">
        <f>IF(G24="","",IF(COUNTIF($G$2:G24,G24)&gt;1,SUMIF($A$2:A24,G24,$C$2:C24),C24))</f>
        <v/>
      </c>
      <c r="K24" s="45" t="str">
        <f>IF(G24="","",IF(COUNTIF($G$2:G24,G24)&gt;1,SUMIF($A$2:A24,G24,$D$2:D24),D24) +SUMIF($G$2:G24,G24,$M$2:M24))</f>
        <v/>
      </c>
      <c r="L24" s="45" t="str">
        <f t="shared" si="3"/>
        <v/>
      </c>
      <c r="M24" s="46" t="str">
        <f>IF(G24="","",IF(B24 = "BUY", 0,(E24-VLOOKUP(CONCATENATE(G24,(H24-1)),$I$2:L23,4,FALSE))*-C24))</f>
        <v/>
      </c>
      <c r="P24" s="1" t="str">
        <f t="shared" si="10"/>
        <v/>
      </c>
      <c r="Q24" s="1" t="str">
        <f t="shared" si="11"/>
        <v/>
      </c>
      <c r="R24" s="1" t="str">
        <f t="shared" si="12"/>
        <v/>
      </c>
      <c r="S24" s="1" t="str">
        <f t="shared" si="13"/>
        <v/>
      </c>
    </row>
    <row r="25" spans="1:25" x14ac:dyDescent="0.3">
      <c r="A25" s="27" t="str">
        <f>IF('Australian MTransaction'!A25= "","",'Australian MTransaction'!A25)</f>
        <v/>
      </c>
      <c r="B25" s="28" t="str">
        <f>IF('Australian MTransaction'!B25= "","",'Australian MTransaction'!B25)</f>
        <v/>
      </c>
      <c r="C25" s="28" t="str">
        <f>IF('Australian MTransaction'!C25= "","",IF(B25="BUY",'Australian MTransaction'!C25,-'Australian MTransaction'!C25))</f>
        <v/>
      </c>
      <c r="D25" s="28" t="str">
        <f>IF('Australian MTransaction'!D25 = "","",IF($B25 = "BUY", 'Australian MTransaction'!D25,-'Australian MTransaction'!D25))</f>
        <v/>
      </c>
      <c r="E25" s="28" t="str">
        <f>IF('Australian MTransaction'!E25= "","",'Australian MTransaction'!E25)</f>
        <v/>
      </c>
      <c r="F25" s="33"/>
      <c r="G25" s="28" t="str">
        <f t="shared" si="1"/>
        <v/>
      </c>
      <c r="H25" s="28" t="str">
        <f>IF(A25="","",COUNTIF($G$2:G25,G25))</f>
        <v/>
      </c>
      <c r="I25" s="28" t="str">
        <f t="shared" si="2"/>
        <v/>
      </c>
      <c r="J25" s="28" t="str">
        <f>IF(G25="","",IF(COUNTIF($G$2:G25,G25)&gt;1,SUMIF($A$2:A25,G25,$C$2:C25),C25))</f>
        <v/>
      </c>
      <c r="K25" s="45" t="str">
        <f>IF(G25="","",IF(COUNTIF($G$2:G25,G25)&gt;1,SUMIF($A$2:A25,G25,$D$2:D25),D25) +SUMIF($G$2:G25,G25,$M$2:M25))</f>
        <v/>
      </c>
      <c r="L25" s="45" t="str">
        <f t="shared" si="3"/>
        <v/>
      </c>
      <c r="M25" s="46" t="str">
        <f>IF(G25="","",IF(B25 = "BUY", 0,(E25-VLOOKUP(CONCATENATE(G25,(H25-1)),$I$2:L24,4,FALSE))*-C25))</f>
        <v/>
      </c>
      <c r="P25" s="1" t="str">
        <f t="shared" si="10"/>
        <v/>
      </c>
      <c r="Q25" s="1" t="str">
        <f t="shared" si="11"/>
        <v/>
      </c>
      <c r="R25" s="1" t="str">
        <f t="shared" si="12"/>
        <v/>
      </c>
      <c r="S25" s="1" t="str">
        <f t="shared" si="13"/>
        <v/>
      </c>
    </row>
    <row r="26" spans="1:25" x14ac:dyDescent="0.3">
      <c r="A26" s="27" t="str">
        <f>IF('Australian MTransaction'!A26= "","",'Australian MTransaction'!A26)</f>
        <v/>
      </c>
      <c r="B26" s="28" t="str">
        <f>IF('Australian MTransaction'!B26= "","",'Australian MTransaction'!B26)</f>
        <v/>
      </c>
      <c r="C26" s="28" t="str">
        <f>IF('Australian MTransaction'!C26= "","",IF(B26="BUY",'Australian MTransaction'!C26,-'Australian MTransaction'!C26))</f>
        <v/>
      </c>
      <c r="D26" s="28" t="str">
        <f>IF('Australian MTransaction'!D26 = "","",IF($B26 = "BUY", 'Australian MTransaction'!D26,-'Australian MTransaction'!D26))</f>
        <v/>
      </c>
      <c r="E26" s="28" t="str">
        <f>IF('Australian MTransaction'!E26= "","",'Australian MTransaction'!E26)</f>
        <v/>
      </c>
      <c r="F26" s="33"/>
      <c r="G26" s="28" t="str">
        <f t="shared" si="1"/>
        <v/>
      </c>
      <c r="H26" s="28" t="str">
        <f>IF(A26="","",COUNTIF($G$2:G26,G26))</f>
        <v/>
      </c>
      <c r="I26" s="28" t="str">
        <f t="shared" si="2"/>
        <v/>
      </c>
      <c r="J26" s="28" t="str">
        <f>IF(G26="","",IF(COUNTIF($G$2:G26,G26)&gt;1,SUMIF($A$2:A26,G26,$C$2:C26),C26))</f>
        <v/>
      </c>
      <c r="K26" s="45" t="str">
        <f>IF(G26="","",IF(COUNTIF($G$2:G26,G26)&gt;1,SUMIF($A$2:A26,G26,$D$2:D26),D26) +SUMIF($G$2:G26,G26,$M$2:M26))</f>
        <v/>
      </c>
      <c r="L26" s="45" t="str">
        <f t="shared" si="3"/>
        <v/>
      </c>
      <c r="M26" s="46" t="str">
        <f>IF(G26="","",IF(B26 = "BUY", 0,(E26-VLOOKUP(CONCATENATE(G26,(H26-1)),$I$2:L25,4,FALSE))*-C26))</f>
        <v/>
      </c>
      <c r="P26" s="1" t="str">
        <f t="shared" si="10"/>
        <v/>
      </c>
      <c r="Q26" s="1" t="str">
        <f t="shared" si="11"/>
        <v/>
      </c>
      <c r="R26" s="1" t="str">
        <f t="shared" si="12"/>
        <v/>
      </c>
      <c r="S26" s="1" t="str">
        <f t="shared" si="13"/>
        <v/>
      </c>
    </row>
    <row r="27" spans="1:25" x14ac:dyDescent="0.3">
      <c r="A27" s="27" t="str">
        <f>IF('Australian MTransaction'!A27= "","",'Australian MTransaction'!A27)</f>
        <v/>
      </c>
      <c r="B27" s="28" t="str">
        <f>IF('Australian MTransaction'!B27= "","",'Australian MTransaction'!B27)</f>
        <v/>
      </c>
      <c r="C27" s="28" t="str">
        <f>IF('Australian MTransaction'!C27= "","",IF(B27="BUY",'Australian MTransaction'!C27,-'Australian MTransaction'!C27))</f>
        <v/>
      </c>
      <c r="D27" s="28" t="str">
        <f>IF('Australian MTransaction'!D27 = "","",IF($B27 = "BUY", 'Australian MTransaction'!D27,-'Australian MTransaction'!D27))</f>
        <v/>
      </c>
      <c r="E27" s="28" t="str">
        <f>IF('Australian MTransaction'!E27= "","",'Australian MTransaction'!E27)</f>
        <v/>
      </c>
      <c r="F27" s="33"/>
      <c r="G27" s="28" t="str">
        <f t="shared" si="1"/>
        <v/>
      </c>
      <c r="H27" s="28" t="str">
        <f>IF(A27="","",COUNTIF($G$2:G27,G27))</f>
        <v/>
      </c>
      <c r="I27" s="28" t="str">
        <f t="shared" si="2"/>
        <v/>
      </c>
      <c r="J27" s="28" t="str">
        <f>IF(G27="","",IF(COUNTIF($G$2:G27,G27)&gt;1,SUMIF($A$2:A27,G27,$C$2:C27),C27))</f>
        <v/>
      </c>
      <c r="K27" s="45" t="str">
        <f>IF(G27="","",IF(COUNTIF($G$2:G27,G27)&gt;1,SUMIF($A$2:A27,G27,$D$2:D27),D27) +SUMIF($G$2:G27,G27,$M$2:M27))</f>
        <v/>
      </c>
      <c r="L27" s="45" t="str">
        <f t="shared" si="3"/>
        <v/>
      </c>
      <c r="M27" s="46" t="str">
        <f>IF(G27="","",IF(B27 = "BUY", 0,(E27-VLOOKUP(CONCATENATE(G27,(H27-1)),$I$2:L26,4,FALSE))*-C27))</f>
        <v/>
      </c>
      <c r="P27" s="1" t="str">
        <f t="shared" si="10"/>
        <v/>
      </c>
      <c r="Q27" s="1" t="str">
        <f t="shared" si="11"/>
        <v/>
      </c>
      <c r="R27" s="1" t="str">
        <f t="shared" si="12"/>
        <v/>
      </c>
      <c r="S27" s="1" t="str">
        <f t="shared" si="13"/>
        <v/>
      </c>
    </row>
    <row r="28" spans="1:25" x14ac:dyDescent="0.3">
      <c r="A28" s="27" t="str">
        <f>IF('Australian MTransaction'!A28= "","",'Australian MTransaction'!A28)</f>
        <v/>
      </c>
      <c r="B28" s="28" t="str">
        <f>IF('Australian MTransaction'!B28= "","",'Australian MTransaction'!B28)</f>
        <v/>
      </c>
      <c r="C28" s="28" t="str">
        <f>IF('Australian MTransaction'!C28= "","",IF(B28="BUY",'Australian MTransaction'!C28,-'Australian MTransaction'!C28))</f>
        <v/>
      </c>
      <c r="D28" s="28" t="str">
        <f>IF('Australian MTransaction'!D28 = "","",IF($B28 = "BUY", 'Australian MTransaction'!D28,-'Australian MTransaction'!D28))</f>
        <v/>
      </c>
      <c r="E28" s="28" t="str">
        <f>IF('Australian MTransaction'!E28= "","",'Australian MTransaction'!E28)</f>
        <v/>
      </c>
      <c r="F28" s="33"/>
      <c r="G28" s="28" t="str">
        <f t="shared" si="1"/>
        <v/>
      </c>
      <c r="H28" s="28" t="str">
        <f>IF(A28="","",COUNTIF($G$2:G28,G28))</f>
        <v/>
      </c>
      <c r="I28" s="28" t="str">
        <f t="shared" si="2"/>
        <v/>
      </c>
      <c r="J28" s="28" t="str">
        <f>IF(G28="","",IF(COUNTIF($G$2:G28,G28)&gt;1,SUMIF($A$2:A28,G28,$C$2:C28),C28))</f>
        <v/>
      </c>
      <c r="K28" s="45" t="str">
        <f>IF(G28="","",IF(COUNTIF($G$2:G28,G28)&gt;1,SUMIF($A$2:A28,G28,$D$2:D28),D28) +SUMIF($G$2:G28,G28,$M$2:M28))</f>
        <v/>
      </c>
      <c r="L28" s="45" t="str">
        <f t="shared" si="3"/>
        <v/>
      </c>
      <c r="M28" s="46" t="str">
        <f>IF(G28="","",IF(B28 = "BUY", 0,(E28-VLOOKUP(CONCATENATE(G28,(H28-1)),$I$2:L27,4,FALSE))*-C28))</f>
        <v/>
      </c>
      <c r="P28" s="1" t="str">
        <f t="shared" si="10"/>
        <v/>
      </c>
      <c r="Q28" s="1" t="str">
        <f t="shared" si="11"/>
        <v/>
      </c>
      <c r="R28" s="1" t="str">
        <f t="shared" si="12"/>
        <v/>
      </c>
      <c r="S28" s="1" t="str">
        <f t="shared" si="13"/>
        <v/>
      </c>
    </row>
    <row r="29" spans="1:25" x14ac:dyDescent="0.3">
      <c r="A29" s="27" t="str">
        <f>IF('Australian MTransaction'!A29= "","",'Australian MTransaction'!A29)</f>
        <v/>
      </c>
      <c r="B29" s="28" t="str">
        <f>IF('Australian MTransaction'!B29= "","",'Australian MTransaction'!B29)</f>
        <v/>
      </c>
      <c r="C29" s="28" t="str">
        <f>IF('Australian MTransaction'!C29= "","",IF(B29="BUY",'Australian MTransaction'!C29,-'Australian MTransaction'!C29))</f>
        <v/>
      </c>
      <c r="D29" s="28" t="str">
        <f>IF('Australian MTransaction'!D29 = "","",IF($B29 = "BUY", 'Australian MTransaction'!D29,-'Australian MTransaction'!D29))</f>
        <v/>
      </c>
      <c r="E29" s="28" t="str">
        <f>IF('Australian MTransaction'!E29= "","",'Australian MTransaction'!E29)</f>
        <v/>
      </c>
      <c r="F29" s="33"/>
      <c r="G29" s="28" t="str">
        <f t="shared" si="1"/>
        <v/>
      </c>
      <c r="H29" s="28" t="str">
        <f>IF(A29="","",COUNTIF($G$2:G29,G29))</f>
        <v/>
      </c>
      <c r="I29" s="28" t="str">
        <f t="shared" si="2"/>
        <v/>
      </c>
      <c r="J29" s="28" t="str">
        <f>IF(G29="","",IF(COUNTIF($G$2:G29,G29)&gt;1,SUMIF($A$2:A29,G29,$C$2:C29),C29))</f>
        <v/>
      </c>
      <c r="K29" s="45" t="str">
        <f>IF(G29="","",IF(COUNTIF($G$2:G29,G29)&gt;1,SUMIF($A$2:A29,G29,$D$2:D29),D29) +SUMIF($G$2:G29,G29,$M$2:M29))</f>
        <v/>
      </c>
      <c r="L29" s="45" t="str">
        <f t="shared" si="3"/>
        <v/>
      </c>
      <c r="M29" s="46" t="str">
        <f>IF(G29="","",IF(B29 = "BUY", 0,(E29-VLOOKUP(CONCATENATE(G29,(H29-1)),$I$2:L28,4,FALSE))*-C29))</f>
        <v/>
      </c>
      <c r="P29" s="1" t="str">
        <f t="shared" si="10"/>
        <v/>
      </c>
      <c r="Q29" s="1" t="str">
        <f t="shared" si="11"/>
        <v/>
      </c>
      <c r="R29" s="1" t="str">
        <f t="shared" si="12"/>
        <v/>
      </c>
      <c r="S29" s="1" t="str">
        <f t="shared" si="13"/>
        <v/>
      </c>
    </row>
    <row r="30" spans="1:25" x14ac:dyDescent="0.3">
      <c r="A30" s="27" t="str">
        <f>IF('Australian MTransaction'!A30= "","",'Australian MTransaction'!A30)</f>
        <v/>
      </c>
      <c r="B30" s="28" t="str">
        <f>IF('Australian MTransaction'!B30= "","",'Australian MTransaction'!B30)</f>
        <v/>
      </c>
      <c r="C30" s="28" t="str">
        <f>IF('Australian MTransaction'!C30= "","",IF(B30="BUY",'Australian MTransaction'!C30,-'Australian MTransaction'!C30))</f>
        <v/>
      </c>
      <c r="D30" s="28" t="str">
        <f>IF('Australian MTransaction'!D30 = "","",IF($B30 = "BUY", 'Australian MTransaction'!D30,-'Australian MTransaction'!D30))</f>
        <v/>
      </c>
      <c r="E30" s="28" t="str">
        <f>IF('Australian MTransaction'!E30= "","",'Australian MTransaction'!E30)</f>
        <v/>
      </c>
      <c r="F30" s="33"/>
      <c r="G30" s="28" t="str">
        <f t="shared" si="1"/>
        <v/>
      </c>
      <c r="H30" s="28" t="str">
        <f>IF(A30="","",COUNTIF($G$2:G30,G30))</f>
        <v/>
      </c>
      <c r="I30" s="28" t="str">
        <f t="shared" si="2"/>
        <v/>
      </c>
      <c r="J30" s="28" t="str">
        <f>IF(G30="","",IF(COUNTIF($G$2:G30,G30)&gt;1,SUMIF($A$2:A30,G30,$C$2:C30),C30))</f>
        <v/>
      </c>
      <c r="K30" s="45" t="str">
        <f>IF(G30="","",IF(COUNTIF($G$2:G30,G30)&gt;1,SUMIF($A$2:A30,G30,$D$2:D30),D30) +SUMIF($G$2:G30,G30,$M$2:M30))</f>
        <v/>
      </c>
      <c r="L30" s="45" t="str">
        <f t="shared" si="3"/>
        <v/>
      </c>
      <c r="M30" s="46" t="str">
        <f>IF(G30="","",IF(B30 = "BUY", 0,(E30-VLOOKUP(CONCATENATE(G30,(H30-1)),$I$2:L29,4,FALSE))*-C30))</f>
        <v/>
      </c>
      <c r="P30" s="1" t="str">
        <f t="shared" si="10"/>
        <v/>
      </c>
      <c r="Q30" s="1" t="str">
        <f t="shared" si="11"/>
        <v/>
      </c>
      <c r="R30" s="1" t="str">
        <f t="shared" si="12"/>
        <v/>
      </c>
      <c r="S30" s="1" t="str">
        <f t="shared" si="13"/>
        <v/>
      </c>
    </row>
    <row r="31" spans="1:25" x14ac:dyDescent="0.3">
      <c r="A31" s="27" t="str">
        <f>IF('Australian MTransaction'!A31= "","",'Australian MTransaction'!A31)</f>
        <v/>
      </c>
      <c r="B31" s="28" t="str">
        <f>IF('Australian MTransaction'!B31= "","",'Australian MTransaction'!B31)</f>
        <v/>
      </c>
      <c r="C31" s="28" t="str">
        <f>IF('Australian MTransaction'!C31= "","",IF(B31="BUY",'Australian MTransaction'!C31,-'Australian MTransaction'!C31))</f>
        <v/>
      </c>
      <c r="D31" s="28" t="str">
        <f>IF('Australian MTransaction'!D31 = "","",IF($B31 = "BUY", 'Australian MTransaction'!D31,-'Australian MTransaction'!D31))</f>
        <v/>
      </c>
      <c r="E31" s="28" t="str">
        <f>IF('Australian MTransaction'!E31= "","",'Australian MTransaction'!E31)</f>
        <v/>
      </c>
      <c r="F31" s="33"/>
      <c r="G31" s="28" t="str">
        <f t="shared" si="1"/>
        <v/>
      </c>
      <c r="H31" s="28" t="str">
        <f>IF(A31="","",COUNTIF($G$2:G31,G31))</f>
        <v/>
      </c>
      <c r="I31" s="28" t="str">
        <f t="shared" si="2"/>
        <v/>
      </c>
      <c r="J31" s="28" t="str">
        <f>IF(G31="","",IF(COUNTIF($G$2:G31,G31)&gt;1,SUMIF($A$2:A31,G31,$C$2:C31),C31))</f>
        <v/>
      </c>
      <c r="K31" s="45" t="str">
        <f>IF(G31="","",IF(COUNTIF($G$2:G31,G31)&gt;1,SUMIF($A$2:A31,G31,$D$2:D31),D31) +SUMIF($G$2:G31,G31,$M$2:M31))</f>
        <v/>
      </c>
      <c r="L31" s="45" t="str">
        <f t="shared" si="3"/>
        <v/>
      </c>
      <c r="M31" s="46" t="str">
        <f>IF(G31="","",IF(B31 = "BUY", 0,(E31-VLOOKUP(CONCATENATE(G31,(H31-1)),$I$2:L30,4,FALSE))*-C31))</f>
        <v/>
      </c>
      <c r="P31" s="1" t="str">
        <f t="shared" si="10"/>
        <v/>
      </c>
      <c r="Q31" s="1" t="str">
        <f t="shared" si="11"/>
        <v/>
      </c>
      <c r="R31" s="1" t="str">
        <f t="shared" si="12"/>
        <v/>
      </c>
      <c r="S31" s="1" t="str">
        <f t="shared" si="13"/>
        <v/>
      </c>
    </row>
    <row r="32" spans="1:25" x14ac:dyDescent="0.3">
      <c r="A32" s="27" t="str">
        <f>IF('Australian MTransaction'!A32= "","",'Australian MTransaction'!A32)</f>
        <v/>
      </c>
      <c r="B32" s="28" t="str">
        <f>IF('Australian MTransaction'!B32= "","",'Australian MTransaction'!B32)</f>
        <v/>
      </c>
      <c r="C32" s="28" t="str">
        <f>IF('Australian MTransaction'!C32= "","",IF(B32="BUY",'Australian MTransaction'!C32,-'Australian MTransaction'!C32))</f>
        <v/>
      </c>
      <c r="D32" s="28" t="str">
        <f>IF('Australian MTransaction'!D32 = "","",IF($B32 = "BUY", 'Australian MTransaction'!D32,-'Australian MTransaction'!D32))</f>
        <v/>
      </c>
      <c r="E32" s="28" t="str">
        <f>IF('Australian MTransaction'!E32= "","",'Australian MTransaction'!E32)</f>
        <v/>
      </c>
      <c r="F32" s="33"/>
      <c r="G32" s="28" t="str">
        <f t="shared" si="1"/>
        <v/>
      </c>
      <c r="H32" s="28" t="str">
        <f>IF(A32="","",COUNTIF($G$2:G32,G32))</f>
        <v/>
      </c>
      <c r="I32" s="28" t="str">
        <f t="shared" si="2"/>
        <v/>
      </c>
      <c r="J32" s="28" t="str">
        <f>IF(G32="","",IF(COUNTIF($G$2:G32,G32)&gt;1,SUMIF($A$2:A32,G32,$C$2:C32),C32))</f>
        <v/>
      </c>
      <c r="K32" s="45" t="str">
        <f>IF(G32="","",IF(COUNTIF($G$2:G32,G32)&gt;1,SUMIF($A$2:A32,G32,$D$2:D32),D32) +SUMIF($G$2:G32,G32,$M$2:M32))</f>
        <v/>
      </c>
      <c r="L32" s="45" t="str">
        <f t="shared" si="3"/>
        <v/>
      </c>
      <c r="M32" s="46" t="str">
        <f>IF(G32="","",IF(B32 = "BUY", 0,(E32-VLOOKUP(CONCATENATE(G32,(H32-1)),$I$2:L31,4,FALSE))*-C32))</f>
        <v/>
      </c>
      <c r="P32" s="1" t="str">
        <f t="shared" si="10"/>
        <v/>
      </c>
      <c r="Q32" s="1" t="str">
        <f t="shared" si="11"/>
        <v/>
      </c>
      <c r="R32" s="1" t="str">
        <f t="shared" si="12"/>
        <v/>
      </c>
      <c r="S32" s="1" t="str">
        <f t="shared" si="13"/>
        <v/>
      </c>
    </row>
    <row r="33" spans="1:19" x14ac:dyDescent="0.3">
      <c r="A33" s="27" t="str">
        <f>IF('Australian MTransaction'!A33= "","",'Australian MTransaction'!A33)</f>
        <v/>
      </c>
      <c r="B33" s="28" t="str">
        <f>IF('Australian MTransaction'!B33= "","",'Australian MTransaction'!B33)</f>
        <v/>
      </c>
      <c r="C33" s="28" t="str">
        <f>IF('Australian MTransaction'!C33= "","",IF(B33="BUY",'Australian MTransaction'!C33,-'Australian MTransaction'!C33))</f>
        <v/>
      </c>
      <c r="D33" s="28" t="str">
        <f>IF('Australian MTransaction'!D33 = "","",IF($B33 = "BUY", 'Australian MTransaction'!D33,-'Australian MTransaction'!D33))</f>
        <v/>
      </c>
      <c r="E33" s="28" t="str">
        <f>IF('Australian MTransaction'!E33= "","",'Australian MTransaction'!E33)</f>
        <v/>
      </c>
      <c r="F33" s="33"/>
      <c r="G33" s="28" t="str">
        <f t="shared" si="1"/>
        <v/>
      </c>
      <c r="H33" s="28" t="str">
        <f>IF(A33="","",COUNTIF($G$2:G33,G33))</f>
        <v/>
      </c>
      <c r="I33" s="28" t="str">
        <f t="shared" si="2"/>
        <v/>
      </c>
      <c r="J33" s="28" t="str">
        <f>IF(G33="","",IF(COUNTIF($G$2:G33,G33)&gt;1,SUMIF($A$2:A33,G33,$C$2:C33),C33))</f>
        <v/>
      </c>
      <c r="K33" s="45" t="str">
        <f>IF(G33="","",IF(COUNTIF($G$2:G33,G33)&gt;1,SUMIF($A$2:A33,G33,$D$2:D33),D33) +SUMIF($G$2:G33,G33,$M$2:M33))</f>
        <v/>
      </c>
      <c r="L33" s="45" t="str">
        <f t="shared" si="3"/>
        <v/>
      </c>
      <c r="M33" s="46" t="str">
        <f>IF(G33="","",IF(B33 = "BUY", 0,(E33-VLOOKUP(CONCATENATE(G33,(H33-1)),$I$2:L32,4,FALSE))*-C33))</f>
        <v/>
      </c>
      <c r="P33" s="1" t="str">
        <f t="shared" si="10"/>
        <v/>
      </c>
      <c r="Q33" s="1" t="str">
        <f t="shared" si="11"/>
        <v/>
      </c>
      <c r="R33" s="1" t="str">
        <f t="shared" si="12"/>
        <v/>
      </c>
      <c r="S33" s="1" t="str">
        <f t="shared" si="13"/>
        <v/>
      </c>
    </row>
    <row r="34" spans="1:19" x14ac:dyDescent="0.3">
      <c r="A34" s="27" t="str">
        <f>IF('Australian MTransaction'!A34= "","",'Australian MTransaction'!A34)</f>
        <v/>
      </c>
      <c r="B34" s="28" t="str">
        <f>IF('Australian MTransaction'!B34= "","",'Australian MTransaction'!B34)</f>
        <v/>
      </c>
      <c r="C34" s="28" t="str">
        <f>IF('Australian MTransaction'!C34= "","",IF(B34="BUY",'Australian MTransaction'!C34,-'Australian MTransaction'!C34))</f>
        <v/>
      </c>
      <c r="D34" s="28" t="str">
        <f>IF('Australian MTransaction'!D34 = "","",IF($B34 = "BUY", 'Australian MTransaction'!D34,-'Australian MTransaction'!D34))</f>
        <v/>
      </c>
      <c r="E34" s="28" t="str">
        <f>IF('Australian MTransaction'!E34= "","",'Australian MTransaction'!E34)</f>
        <v/>
      </c>
      <c r="F34" s="33"/>
      <c r="G34" s="28" t="str">
        <f t="shared" si="1"/>
        <v/>
      </c>
      <c r="H34" s="28" t="str">
        <f>IF(A34="","",COUNTIF($G$2:G34,G34))</f>
        <v/>
      </c>
      <c r="I34" s="28" t="str">
        <f t="shared" si="2"/>
        <v/>
      </c>
      <c r="J34" s="28" t="str">
        <f>IF(G34="","",IF(COUNTIF($G$2:G34,G34)&gt;1,SUMIF($A$2:A34,G34,$C$2:C34),C34))</f>
        <v/>
      </c>
      <c r="K34" s="45" t="str">
        <f>IF(G34="","",IF(COUNTIF($G$2:G34,G34)&gt;1,SUMIF($A$2:A34,G34,$D$2:D34),D34) +SUMIF($G$2:G34,G34,$M$2:M34))</f>
        <v/>
      </c>
      <c r="L34" s="45" t="str">
        <f t="shared" si="3"/>
        <v/>
      </c>
      <c r="M34" s="46" t="str">
        <f>IF(G34="","",IF(B34 = "BUY", 0,(E34-VLOOKUP(CONCATENATE(G34,(H34-1)),$I$2:L33,4,FALSE))*-C34))</f>
        <v/>
      </c>
      <c r="P34" s="1" t="str">
        <f t="shared" si="10"/>
        <v/>
      </c>
      <c r="Q34" s="1" t="str">
        <f t="shared" si="11"/>
        <v/>
      </c>
      <c r="R34" s="1" t="str">
        <f t="shared" si="12"/>
        <v/>
      </c>
      <c r="S34" s="1" t="str">
        <f t="shared" si="13"/>
        <v/>
      </c>
    </row>
    <row r="35" spans="1:19" x14ac:dyDescent="0.3">
      <c r="A35" s="27" t="str">
        <f>IF('Australian MTransaction'!A35= "","",'Australian MTransaction'!A35)</f>
        <v/>
      </c>
      <c r="B35" s="28" t="str">
        <f>IF('Australian MTransaction'!B35= "","",'Australian MTransaction'!B35)</f>
        <v/>
      </c>
      <c r="C35" s="28" t="str">
        <f>IF('Australian MTransaction'!C35= "","",IF(B35="BUY",'Australian MTransaction'!C35,-'Australian MTransaction'!C35))</f>
        <v/>
      </c>
      <c r="D35" s="28" t="str">
        <f>IF('Australian MTransaction'!D35 = "","",IF($B35 = "BUY", 'Australian MTransaction'!D35,-'Australian MTransaction'!D35))</f>
        <v/>
      </c>
      <c r="E35" s="28" t="str">
        <f>IF('Australian MTransaction'!E35= "","",'Australian MTransaction'!E35)</f>
        <v/>
      </c>
      <c r="F35" s="33"/>
      <c r="G35" s="28" t="str">
        <f t="shared" si="1"/>
        <v/>
      </c>
      <c r="H35" s="28" t="str">
        <f>IF(A35="","",COUNTIF($G$2:G35,G35))</f>
        <v/>
      </c>
      <c r="I35" s="28" t="str">
        <f t="shared" si="2"/>
        <v/>
      </c>
      <c r="J35" s="28" t="str">
        <f>IF(G35="","",IF(COUNTIF($G$2:G35,G35)&gt;1,SUMIF($A$2:A35,G35,$C$2:C35),C35))</f>
        <v/>
      </c>
      <c r="K35" s="45" t="str">
        <f>IF(G35="","",IF(COUNTIF($G$2:G35,G35)&gt;1,SUMIF($A$2:A35,G35,$D$2:D35),D35) +SUMIF($G$2:G35,G35,$M$2:M35))</f>
        <v/>
      </c>
      <c r="L35" s="45" t="str">
        <f t="shared" si="3"/>
        <v/>
      </c>
      <c r="M35" s="46" t="str">
        <f>IF(G35="","",IF(B35 = "BUY", 0,(E35-VLOOKUP(CONCATENATE(G35,(H35-1)),$I$2:L34,4,FALSE))*-C35))</f>
        <v/>
      </c>
      <c r="P35" s="1" t="str">
        <f t="shared" si="10"/>
        <v/>
      </c>
      <c r="Q35" s="1" t="str">
        <f t="shared" si="11"/>
        <v/>
      </c>
      <c r="R35" s="1" t="str">
        <f t="shared" si="12"/>
        <v/>
      </c>
      <c r="S35" s="1" t="str">
        <f t="shared" si="13"/>
        <v/>
      </c>
    </row>
    <row r="36" spans="1:19" x14ac:dyDescent="0.3">
      <c r="A36" s="27" t="str">
        <f>IF('Australian MTransaction'!A36= "","",'Australian MTransaction'!A36)</f>
        <v/>
      </c>
      <c r="B36" s="28" t="str">
        <f>IF('Australian MTransaction'!B36= "","",'Australian MTransaction'!B36)</f>
        <v/>
      </c>
      <c r="C36" s="28" t="str">
        <f>IF('Australian MTransaction'!C36= "","",IF(B36="BUY",'Australian MTransaction'!C36,-'Australian MTransaction'!C36))</f>
        <v/>
      </c>
      <c r="D36" s="28" t="str">
        <f>IF('Australian MTransaction'!D36 = "","",IF($B36 = "BUY", 'Australian MTransaction'!D36,-'Australian MTransaction'!D36))</f>
        <v/>
      </c>
      <c r="E36" s="28" t="str">
        <f>IF('Australian MTransaction'!E36= "","",'Australian MTransaction'!E36)</f>
        <v/>
      </c>
      <c r="F36" s="33"/>
      <c r="G36" s="28" t="str">
        <f t="shared" si="1"/>
        <v/>
      </c>
      <c r="H36" s="28" t="str">
        <f>IF(A36="","",COUNTIF($G$2:G36,G36))</f>
        <v/>
      </c>
      <c r="I36" s="28" t="str">
        <f t="shared" si="2"/>
        <v/>
      </c>
      <c r="J36" s="28" t="str">
        <f>IF(G36="","",IF(COUNTIF($G$2:G36,G36)&gt;1,SUMIF($A$2:A36,G36,$C$2:C36),C36))</f>
        <v/>
      </c>
      <c r="K36" s="45" t="str">
        <f>IF(G36="","",IF(COUNTIF($G$2:G36,G36)&gt;1,SUMIF($A$2:A36,G36,$D$2:D36),D36) +SUMIF($G$2:G36,G36,$M$2:M36))</f>
        <v/>
      </c>
      <c r="L36" s="45" t="str">
        <f t="shared" si="3"/>
        <v/>
      </c>
      <c r="M36" s="46" t="str">
        <f>IF(G36="","",IF(B36 = "BUY", 0,(E36-VLOOKUP(CONCATENATE(G36,(H36-1)),$I$2:L35,4,FALSE))*-C36))</f>
        <v/>
      </c>
      <c r="P36" s="1" t="str">
        <f t="shared" si="10"/>
        <v/>
      </c>
      <c r="Q36" s="1" t="str">
        <f t="shared" si="11"/>
        <v/>
      </c>
      <c r="R36" s="1" t="str">
        <f t="shared" si="12"/>
        <v/>
      </c>
      <c r="S36" s="1" t="str">
        <f t="shared" si="13"/>
        <v/>
      </c>
    </row>
    <row r="37" spans="1:19" x14ac:dyDescent="0.3">
      <c r="A37" s="27" t="str">
        <f>IF('Australian MTransaction'!A37= "","",'Australian MTransaction'!A37)</f>
        <v/>
      </c>
      <c r="B37" s="28" t="str">
        <f>IF('Australian MTransaction'!B37= "","",'Australian MTransaction'!B37)</f>
        <v/>
      </c>
      <c r="C37" s="28" t="str">
        <f>IF('Australian MTransaction'!C37= "","",IF(B37="BUY",'Australian MTransaction'!C37,-'Australian MTransaction'!C37))</f>
        <v/>
      </c>
      <c r="D37" s="28" t="str">
        <f>IF('Australian MTransaction'!D37 = "","",IF($B37 = "BUY", 'Australian MTransaction'!D37,-'Australian MTransaction'!D37))</f>
        <v/>
      </c>
      <c r="E37" s="28" t="str">
        <f>IF('Australian MTransaction'!E37= "","",'Australian MTransaction'!E37)</f>
        <v/>
      </c>
      <c r="F37" s="33"/>
      <c r="G37" s="28" t="str">
        <f t="shared" si="1"/>
        <v/>
      </c>
      <c r="H37" s="28" t="str">
        <f>IF(A37="","",COUNTIF($G$2:G37,G37))</f>
        <v/>
      </c>
      <c r="I37" s="28" t="str">
        <f t="shared" si="2"/>
        <v/>
      </c>
      <c r="J37" s="28" t="str">
        <f>IF(G37="","",IF(COUNTIF($G$2:G37,G37)&gt;1,SUMIF($A$2:A37,G37,$C$2:C37),C37))</f>
        <v/>
      </c>
      <c r="K37" s="45" t="str">
        <f>IF(G37="","",IF(COUNTIF($G$2:G37,G37)&gt;1,SUMIF($A$2:A37,G37,$D$2:D37),D37) +SUMIF($G$2:G37,G37,$M$2:M37))</f>
        <v/>
      </c>
      <c r="L37" s="45" t="str">
        <f t="shared" si="3"/>
        <v/>
      </c>
      <c r="M37" s="46" t="str">
        <f>IF(G37="","",IF(B37 = "BUY", 0,(E37-VLOOKUP(CONCATENATE(G37,(H37-1)),$I$2:L36,4,FALSE))*-C37))</f>
        <v/>
      </c>
      <c r="P37" s="1" t="str">
        <f t="shared" si="10"/>
        <v/>
      </c>
      <c r="Q37" s="1" t="str">
        <f t="shared" si="11"/>
        <v/>
      </c>
      <c r="R37" s="1" t="str">
        <f t="shared" si="12"/>
        <v/>
      </c>
      <c r="S37" s="1" t="str">
        <f t="shared" si="13"/>
        <v/>
      </c>
    </row>
    <row r="38" spans="1:19" x14ac:dyDescent="0.3">
      <c r="A38" s="27" t="str">
        <f>IF('Australian MTransaction'!A38= "","",'Australian MTransaction'!A38)</f>
        <v/>
      </c>
      <c r="B38" s="28" t="str">
        <f>IF('Australian MTransaction'!B38= "","",'Australian MTransaction'!B38)</f>
        <v/>
      </c>
      <c r="C38" s="28" t="str">
        <f>IF('Australian MTransaction'!C38= "","",IF(B38="BUY",'Australian MTransaction'!C38,-'Australian MTransaction'!C38))</f>
        <v/>
      </c>
      <c r="D38" s="28" t="str">
        <f>IF('Australian MTransaction'!D38 = "","",IF($B38 = "BUY", 'Australian MTransaction'!D38,-'Australian MTransaction'!D38))</f>
        <v/>
      </c>
      <c r="E38" s="28" t="str">
        <f>IF('Australian MTransaction'!E38= "","",'Australian MTransaction'!E38)</f>
        <v/>
      </c>
      <c r="F38" s="33"/>
      <c r="G38" s="28" t="str">
        <f t="shared" si="1"/>
        <v/>
      </c>
      <c r="H38" s="28" t="str">
        <f>IF(A38="","",COUNTIF($G$2:G38,G38))</f>
        <v/>
      </c>
      <c r="I38" s="28" t="str">
        <f t="shared" si="2"/>
        <v/>
      </c>
      <c r="J38" s="28" t="str">
        <f>IF(G38="","",IF(COUNTIF($G$2:G38,G38)&gt;1,SUMIF($A$2:A38,G38,$C$2:C38),C38))</f>
        <v/>
      </c>
      <c r="K38" s="45" t="str">
        <f>IF(G38="","",IF(COUNTIF($G$2:G38,G38)&gt;1,SUMIF($A$2:A38,G38,$D$2:D38),D38) +SUMIF($G$2:G38,G38,$M$2:M38))</f>
        <v/>
      </c>
      <c r="L38" s="45" t="str">
        <f t="shared" si="3"/>
        <v/>
      </c>
      <c r="M38" s="46" t="str">
        <f>IF(G38="","",IF(B38 = "BUY", 0,(E38-VLOOKUP(CONCATENATE(G38,(H38-1)),$I$2:L37,4,FALSE))*-C38))</f>
        <v/>
      </c>
      <c r="P38" s="1" t="str">
        <f t="shared" si="10"/>
        <v/>
      </c>
      <c r="Q38" s="1" t="str">
        <f t="shared" si="11"/>
        <v/>
      </c>
      <c r="R38" s="1" t="str">
        <f t="shared" si="12"/>
        <v/>
      </c>
      <c r="S38" s="1" t="str">
        <f t="shared" si="13"/>
        <v/>
      </c>
    </row>
    <row r="39" spans="1:19" x14ac:dyDescent="0.3">
      <c r="A39" s="27" t="str">
        <f>IF('Australian MTransaction'!A39= "","",'Australian MTransaction'!A39)</f>
        <v/>
      </c>
      <c r="B39" s="28" t="str">
        <f>IF('Australian MTransaction'!B39= "","",'Australian MTransaction'!B39)</f>
        <v/>
      </c>
      <c r="C39" s="28" t="str">
        <f>IF('Australian MTransaction'!C39= "","",IF(B39="BUY",'Australian MTransaction'!C39,-'Australian MTransaction'!C39))</f>
        <v/>
      </c>
      <c r="D39" s="28" t="str">
        <f>IF('Australian MTransaction'!D39 = "","",IF($B39 = "BUY", 'Australian MTransaction'!D39,-'Australian MTransaction'!D39))</f>
        <v/>
      </c>
      <c r="E39" s="28" t="str">
        <f>IF('Australian MTransaction'!E39= "","",'Australian MTransaction'!E39)</f>
        <v/>
      </c>
      <c r="F39" s="33"/>
      <c r="G39" s="28" t="str">
        <f t="shared" si="1"/>
        <v/>
      </c>
      <c r="H39" s="28" t="str">
        <f>IF(A39="","",COUNTIF($G$2:G39,G39))</f>
        <v/>
      </c>
      <c r="I39" s="28" t="str">
        <f t="shared" si="2"/>
        <v/>
      </c>
      <c r="J39" s="28" t="str">
        <f>IF(G39="","",IF(COUNTIF($G$2:G39,G39)&gt;1,SUMIF($A$2:A39,G39,$C$2:C39),C39))</f>
        <v/>
      </c>
      <c r="K39" s="45" t="str">
        <f>IF(G39="","",IF(COUNTIF($G$2:G39,G39)&gt;1,SUMIF($A$2:A39,G39,$D$2:D39),D39) +SUMIF($G$2:G39,G39,$M$2:M39))</f>
        <v/>
      </c>
      <c r="L39" s="45" t="str">
        <f t="shared" si="3"/>
        <v/>
      </c>
      <c r="M39" s="46" t="str">
        <f>IF(G39="","",IF(B39 = "BUY", 0,(E39-VLOOKUP(CONCATENATE(G39,(H39-1)),$I$2:L38,4,FALSE))*-C39))</f>
        <v/>
      </c>
      <c r="P39" s="1" t="str">
        <f t="shared" si="10"/>
        <v/>
      </c>
      <c r="Q39" s="1" t="str">
        <f t="shared" si="11"/>
        <v/>
      </c>
      <c r="R39" s="1" t="str">
        <f t="shared" si="12"/>
        <v/>
      </c>
      <c r="S39" s="1" t="str">
        <f t="shared" si="13"/>
        <v/>
      </c>
    </row>
    <row r="40" spans="1:19" x14ac:dyDescent="0.3">
      <c r="A40" s="27" t="str">
        <f>IF('Australian MTransaction'!A40= "","",'Australian MTransaction'!A40)</f>
        <v/>
      </c>
      <c r="B40" s="28" t="str">
        <f>IF('Australian MTransaction'!B40= "","",'Australian MTransaction'!B40)</f>
        <v/>
      </c>
      <c r="C40" s="28" t="str">
        <f>IF('Australian MTransaction'!C40= "","",IF(B40="BUY",'Australian MTransaction'!C40,-'Australian MTransaction'!C40))</f>
        <v/>
      </c>
      <c r="D40" s="28" t="str">
        <f>IF('Australian MTransaction'!D40 = "","",IF($B40 = "BUY", 'Australian MTransaction'!D40,-'Australian MTransaction'!D40))</f>
        <v/>
      </c>
      <c r="E40" s="28" t="str">
        <f>IF('Australian MTransaction'!E40= "","",'Australian MTransaction'!E40)</f>
        <v/>
      </c>
      <c r="F40" s="33"/>
      <c r="G40" s="28" t="str">
        <f t="shared" si="1"/>
        <v/>
      </c>
      <c r="H40" s="28" t="str">
        <f>IF(A40="","",COUNTIF($G$2:G40,G40))</f>
        <v/>
      </c>
      <c r="I40" s="28" t="str">
        <f t="shared" si="2"/>
        <v/>
      </c>
      <c r="J40" s="28" t="str">
        <f>IF(G40="","",IF(COUNTIF($G$2:G40,G40)&gt;1,SUMIF($A$2:A40,G40,$C$2:C40),C40))</f>
        <v/>
      </c>
      <c r="K40" s="45" t="str">
        <f>IF(G40="","",IF(COUNTIF($G$2:G40,G40)&gt;1,SUMIF($A$2:A40,G40,$D$2:D40),D40) +SUMIF($G$2:G40,G40,$M$2:M40))</f>
        <v/>
      </c>
      <c r="L40" s="45" t="str">
        <f t="shared" si="3"/>
        <v/>
      </c>
      <c r="M40" s="46" t="str">
        <f>IF(G40="","",IF(B40 = "BUY", 0,(E40-VLOOKUP(CONCATENATE(G40,(H40-1)),$I$2:L39,4,FALSE))*-C40))</f>
        <v/>
      </c>
      <c r="P40" s="1" t="str">
        <f t="shared" si="10"/>
        <v/>
      </c>
      <c r="Q40" s="1" t="str">
        <f t="shared" si="11"/>
        <v/>
      </c>
      <c r="R40" s="1" t="str">
        <f t="shared" si="12"/>
        <v/>
      </c>
      <c r="S40" s="1" t="str">
        <f t="shared" si="13"/>
        <v/>
      </c>
    </row>
    <row r="41" spans="1:19" x14ac:dyDescent="0.3">
      <c r="A41" s="27" t="str">
        <f>IF('Australian MTransaction'!A41= "","",'Australian MTransaction'!A41)</f>
        <v/>
      </c>
      <c r="B41" s="28" t="str">
        <f>IF('Australian MTransaction'!B41= "","",'Australian MTransaction'!B41)</f>
        <v/>
      </c>
      <c r="C41" s="28" t="str">
        <f>IF('Australian MTransaction'!C41= "","",IF(B41="BUY",'Australian MTransaction'!C41,-'Australian MTransaction'!C41))</f>
        <v/>
      </c>
      <c r="D41" s="28" t="str">
        <f>IF('Australian MTransaction'!D41 = "","",IF($B41 = "BUY", 'Australian MTransaction'!D41,-'Australian MTransaction'!D41))</f>
        <v/>
      </c>
      <c r="E41" s="28" t="str">
        <f>IF('Australian MTransaction'!E41= "","",'Australian MTransaction'!E41)</f>
        <v/>
      </c>
      <c r="F41" s="33"/>
      <c r="G41" s="28" t="str">
        <f t="shared" si="1"/>
        <v/>
      </c>
      <c r="H41" s="28" t="str">
        <f>IF(A41="","",COUNTIF($G$2:G41,G41))</f>
        <v/>
      </c>
      <c r="I41" s="28" t="str">
        <f t="shared" si="2"/>
        <v/>
      </c>
      <c r="J41" s="28" t="str">
        <f>IF(G41="","",IF(COUNTIF($G$2:G41,G41)&gt;1,SUMIF($A$2:A41,G41,$C$2:C41),C41))</f>
        <v/>
      </c>
      <c r="K41" s="45" t="str">
        <f>IF(G41="","",IF(COUNTIF($G$2:G41,G41)&gt;1,SUMIF($A$2:A41,G41,$D$2:D41),D41) +SUMIF($G$2:G41,G41,$M$2:M41))</f>
        <v/>
      </c>
      <c r="L41" s="45" t="str">
        <f t="shared" si="3"/>
        <v/>
      </c>
      <c r="M41" s="46" t="str">
        <f>IF(G41="","",IF(B41 = "BUY", 0,(E41-VLOOKUP(CONCATENATE(G41,(H41-1)),$I$2:L40,4,FALSE))*-C41))</f>
        <v/>
      </c>
      <c r="P41" s="1" t="str">
        <f t="shared" si="10"/>
        <v/>
      </c>
      <c r="Q41" s="1" t="str">
        <f t="shared" si="11"/>
        <v/>
      </c>
      <c r="R41" s="1" t="str">
        <f t="shared" si="12"/>
        <v/>
      </c>
      <c r="S41" s="1" t="str">
        <f t="shared" si="13"/>
        <v/>
      </c>
    </row>
    <row r="42" spans="1:19" x14ac:dyDescent="0.3">
      <c r="A42" s="27" t="str">
        <f>IF('Australian MTransaction'!A42= "","",'Australian MTransaction'!A42)</f>
        <v/>
      </c>
      <c r="B42" s="28" t="str">
        <f>IF('Australian MTransaction'!B42= "","",'Australian MTransaction'!B42)</f>
        <v/>
      </c>
      <c r="C42" s="28" t="str">
        <f>IF('Australian MTransaction'!C42= "","",IF(B42="BUY",'Australian MTransaction'!C42,-'Australian MTransaction'!C42))</f>
        <v/>
      </c>
      <c r="D42" s="28" t="str">
        <f>IF('Australian MTransaction'!D42 = "","",IF($B42 = "BUY", 'Australian MTransaction'!D42,-'Australian MTransaction'!D42))</f>
        <v/>
      </c>
      <c r="E42" s="28" t="str">
        <f>IF('Australian MTransaction'!E42= "","",'Australian MTransaction'!E42)</f>
        <v/>
      </c>
      <c r="F42" s="33"/>
      <c r="G42" s="28" t="str">
        <f t="shared" si="1"/>
        <v/>
      </c>
      <c r="H42" s="28" t="str">
        <f>IF(A42="","",COUNTIF($G$2:G42,G42))</f>
        <v/>
      </c>
      <c r="I42" s="28" t="str">
        <f t="shared" si="2"/>
        <v/>
      </c>
      <c r="J42" s="28" t="str">
        <f>IF(G42="","",IF(COUNTIF($G$2:G42,G42)&gt;1,SUMIF($A$2:A42,G42,$C$2:C42),C42))</f>
        <v/>
      </c>
      <c r="K42" s="45" t="str">
        <f>IF(G42="","",IF(COUNTIF($G$2:G42,G42)&gt;1,SUMIF($A$2:A42,G42,$D$2:D42),D42) +SUMIF($G$2:G42,G42,$M$2:M42))</f>
        <v/>
      </c>
      <c r="L42" s="45" t="str">
        <f t="shared" si="3"/>
        <v/>
      </c>
      <c r="M42" s="46" t="str">
        <f>IF(G42="","",IF(B42 = "BUY", 0,(E42-VLOOKUP(CONCATENATE(G42,(H42-1)),$I$2:L41,4,FALSE))*-C42))</f>
        <v/>
      </c>
      <c r="P42" s="1" t="str">
        <f t="shared" si="10"/>
        <v/>
      </c>
      <c r="Q42" s="1" t="str">
        <f t="shared" si="11"/>
        <v/>
      </c>
      <c r="R42" s="1" t="str">
        <f t="shared" si="12"/>
        <v/>
      </c>
      <c r="S42" s="1" t="str">
        <f t="shared" si="13"/>
        <v/>
      </c>
    </row>
    <row r="43" spans="1:19" x14ac:dyDescent="0.3">
      <c r="A43" s="27" t="str">
        <f>IF('Australian MTransaction'!A43= "","",'Australian MTransaction'!A43)</f>
        <v/>
      </c>
      <c r="B43" s="28" t="str">
        <f>IF('Australian MTransaction'!B43= "","",'Australian MTransaction'!B43)</f>
        <v/>
      </c>
      <c r="C43" s="28" t="str">
        <f>IF('Australian MTransaction'!C43= "","",IF(B43="BUY",'Australian MTransaction'!C43,-'Australian MTransaction'!C43))</f>
        <v/>
      </c>
      <c r="D43" s="28" t="str">
        <f>IF('Australian MTransaction'!D43 = "","",IF($B43 = "BUY", 'Australian MTransaction'!D43,-'Australian MTransaction'!D43))</f>
        <v/>
      </c>
      <c r="E43" s="28" t="str">
        <f>IF('Australian MTransaction'!E43= "","",'Australian MTransaction'!E43)</f>
        <v/>
      </c>
      <c r="F43" s="33"/>
      <c r="G43" s="28" t="str">
        <f t="shared" si="1"/>
        <v/>
      </c>
      <c r="H43" s="28" t="str">
        <f>IF(A43="","",COUNTIF($G$2:G43,G43))</f>
        <v/>
      </c>
      <c r="I43" s="28" t="str">
        <f t="shared" si="2"/>
        <v/>
      </c>
      <c r="J43" s="28" t="str">
        <f>IF(G43="","",IF(COUNTIF($G$2:G43,G43)&gt;1,SUMIF($A$2:A43,G43,$C$2:C43),C43))</f>
        <v/>
      </c>
      <c r="K43" s="45" t="str">
        <f>IF(G43="","",IF(COUNTIF($G$2:G43,G43)&gt;1,SUMIF($A$2:A43,G43,$D$2:D43),D43) +SUMIF($G$2:G43,G43,$M$2:M43))</f>
        <v/>
      </c>
      <c r="L43" s="45" t="str">
        <f t="shared" si="3"/>
        <v/>
      </c>
      <c r="M43" s="46" t="str">
        <f>IF(G43="","",IF(B43 = "BUY", 0,(E43-VLOOKUP(CONCATENATE(G43,(H43-1)),$I$2:L42,4,FALSE))*-C43))</f>
        <v/>
      </c>
      <c r="P43" s="1" t="str">
        <f t="shared" si="10"/>
        <v/>
      </c>
      <c r="Q43" s="1" t="str">
        <f t="shared" si="11"/>
        <v/>
      </c>
      <c r="R43" s="1" t="str">
        <f t="shared" si="12"/>
        <v/>
      </c>
      <c r="S43" s="1" t="str">
        <f t="shared" si="13"/>
        <v/>
      </c>
    </row>
    <row r="44" spans="1:19" x14ac:dyDescent="0.3">
      <c r="A44" s="27" t="str">
        <f>IF('Australian MTransaction'!A44= "","",'Australian MTransaction'!A44)</f>
        <v/>
      </c>
      <c r="B44" s="28" t="str">
        <f>IF('Australian MTransaction'!B44= "","",'Australian MTransaction'!B44)</f>
        <v/>
      </c>
      <c r="C44" s="28" t="str">
        <f>IF('Australian MTransaction'!C44= "","",IF(B44="BUY",'Australian MTransaction'!C44,-'Australian MTransaction'!C44))</f>
        <v/>
      </c>
      <c r="D44" s="28" t="str">
        <f>IF('Australian MTransaction'!D44 = "","",IF($B44 = "BUY", 'Australian MTransaction'!D44,-'Australian MTransaction'!D44))</f>
        <v/>
      </c>
      <c r="E44" s="28" t="str">
        <f>IF('Australian MTransaction'!E44= "","",'Australian MTransaction'!E44)</f>
        <v/>
      </c>
      <c r="F44" s="33"/>
      <c r="G44" s="28" t="str">
        <f t="shared" si="1"/>
        <v/>
      </c>
      <c r="H44" s="28" t="str">
        <f>IF(A44="","",COUNTIF($G$2:G44,G44))</f>
        <v/>
      </c>
      <c r="I44" s="28" t="str">
        <f t="shared" si="2"/>
        <v/>
      </c>
      <c r="J44" s="28" t="str">
        <f>IF(G44="","",IF(COUNTIF($G$2:G44,G44)&gt;1,SUMIF($A$2:A44,G44,$C$2:C44),C44))</f>
        <v/>
      </c>
      <c r="K44" s="45" t="str">
        <f>IF(G44="","",IF(COUNTIF($G$2:G44,G44)&gt;1,SUMIF($A$2:A44,G44,$D$2:D44),D44) +SUMIF($G$2:G44,G44,$M$2:M44))</f>
        <v/>
      </c>
      <c r="L44" s="45" t="str">
        <f t="shared" si="3"/>
        <v/>
      </c>
      <c r="M44" s="46" t="str">
        <f>IF(G44="","",IF(B44 = "BUY", 0,(E44-VLOOKUP(CONCATENATE(G44,(H44-1)),$I$2:L43,4,FALSE))*-C44))</f>
        <v/>
      </c>
      <c r="P44" s="1" t="str">
        <f t="shared" si="10"/>
        <v/>
      </c>
      <c r="Q44" s="1" t="str">
        <f t="shared" si="11"/>
        <v/>
      </c>
      <c r="R44" s="1" t="str">
        <f t="shared" si="12"/>
        <v/>
      </c>
      <c r="S44" s="1" t="str">
        <f t="shared" si="13"/>
        <v/>
      </c>
    </row>
    <row r="45" spans="1:19" x14ac:dyDescent="0.3">
      <c r="A45" s="27" t="str">
        <f>IF('Australian MTransaction'!A45= "","",'Australian MTransaction'!A45)</f>
        <v/>
      </c>
      <c r="B45" s="28" t="str">
        <f>IF('Australian MTransaction'!B45= "","",'Australian MTransaction'!B45)</f>
        <v/>
      </c>
      <c r="C45" s="28" t="str">
        <f>IF('Australian MTransaction'!C45= "","",IF(B45="BUY",'Australian MTransaction'!C45,-'Australian MTransaction'!C45))</f>
        <v/>
      </c>
      <c r="D45" s="28" t="str">
        <f>IF('Australian MTransaction'!D45 = "","",IF($B45 = "BUY", 'Australian MTransaction'!D45,-'Australian MTransaction'!D45))</f>
        <v/>
      </c>
      <c r="E45" s="28" t="str">
        <f>IF('Australian MTransaction'!E45= "","",'Australian MTransaction'!E45)</f>
        <v/>
      </c>
      <c r="F45" s="33"/>
      <c r="G45" s="28" t="str">
        <f t="shared" si="1"/>
        <v/>
      </c>
      <c r="H45" s="28" t="str">
        <f>IF(A45="","",COUNTIF($G$2:G45,G45))</f>
        <v/>
      </c>
      <c r="I45" s="28" t="str">
        <f t="shared" si="2"/>
        <v/>
      </c>
      <c r="J45" s="28" t="str">
        <f>IF(G45="","",IF(COUNTIF($G$2:G45,G45)&gt;1,SUMIF($A$2:A45,G45,$C$2:C45),C45))</f>
        <v/>
      </c>
      <c r="K45" s="45" t="str">
        <f>IF(G45="","",IF(COUNTIF($G$2:G45,G45)&gt;1,SUMIF($A$2:A45,G45,$D$2:D45),D45) +SUMIF($G$2:G45,G45,$M$2:M45))</f>
        <v/>
      </c>
      <c r="L45" s="45" t="str">
        <f t="shared" si="3"/>
        <v/>
      </c>
      <c r="M45" s="46" t="str">
        <f>IF(G45="","",IF(B45 = "BUY", 0,(E45-VLOOKUP(CONCATENATE(G45,(H45-1)),$I$2:L44,4,FALSE))*-C45))</f>
        <v/>
      </c>
      <c r="P45" s="1" t="str">
        <f t="shared" si="10"/>
        <v/>
      </c>
      <c r="Q45" s="1" t="str">
        <f t="shared" si="11"/>
        <v/>
      </c>
      <c r="R45" s="1" t="str">
        <f t="shared" si="12"/>
        <v/>
      </c>
      <c r="S45" s="1" t="str">
        <f t="shared" si="13"/>
        <v/>
      </c>
    </row>
    <row r="46" spans="1:19" x14ac:dyDescent="0.3">
      <c r="A46" s="27" t="str">
        <f>IF('Australian MTransaction'!A46= "","",'Australian MTransaction'!A46)</f>
        <v/>
      </c>
      <c r="B46" s="28" t="str">
        <f>IF('Australian MTransaction'!B46= "","",'Australian MTransaction'!B46)</f>
        <v/>
      </c>
      <c r="C46" s="28" t="str">
        <f>IF('Australian MTransaction'!C46= "","",IF(B46="BUY",'Australian MTransaction'!C46,-'Australian MTransaction'!C46))</f>
        <v/>
      </c>
      <c r="D46" s="28" t="str">
        <f>IF('Australian MTransaction'!D46 = "","",IF($B46 = "BUY", 'Australian MTransaction'!D46,-'Australian MTransaction'!D46))</f>
        <v/>
      </c>
      <c r="E46" s="28" t="str">
        <f>IF('Australian MTransaction'!E46= "","",'Australian MTransaction'!E46)</f>
        <v/>
      </c>
      <c r="F46" s="33"/>
      <c r="G46" s="28" t="str">
        <f t="shared" si="1"/>
        <v/>
      </c>
      <c r="H46" s="28" t="str">
        <f>IF(A46="","",COUNTIF($G$2:G46,G46))</f>
        <v/>
      </c>
      <c r="I46" s="28" t="str">
        <f t="shared" si="2"/>
        <v/>
      </c>
      <c r="J46" s="28" t="str">
        <f>IF(G46="","",IF(COUNTIF($G$2:G46,G46)&gt;1,SUMIF($A$2:A46,G46,$C$2:C46),C46))</f>
        <v/>
      </c>
      <c r="K46" s="45" t="str">
        <f>IF(G46="","",IF(COUNTIF($G$2:G46,G46)&gt;1,SUMIF($A$2:A46,G46,$D$2:D46),D46) +SUMIF($G$2:G46,G46,$M$2:M46))</f>
        <v/>
      </c>
      <c r="L46" s="45" t="str">
        <f t="shared" si="3"/>
        <v/>
      </c>
      <c r="M46" s="46" t="str">
        <f>IF(G46="","",IF(B46 = "BUY", 0,(E46-VLOOKUP(CONCATENATE(G46,(H46-1)),$I$2:L45,4,FALSE))*-C46))</f>
        <v/>
      </c>
      <c r="P46" s="1" t="str">
        <f t="shared" si="10"/>
        <v/>
      </c>
      <c r="Q46" s="1" t="str">
        <f t="shared" si="11"/>
        <v/>
      </c>
      <c r="R46" s="1" t="str">
        <f t="shared" si="12"/>
        <v/>
      </c>
      <c r="S46" s="1" t="str">
        <f t="shared" si="13"/>
        <v/>
      </c>
    </row>
    <row r="47" spans="1:19" x14ac:dyDescent="0.3">
      <c r="A47" s="27" t="str">
        <f>IF('Australian MTransaction'!A47= "","",'Australian MTransaction'!A47)</f>
        <v/>
      </c>
      <c r="B47" s="28" t="str">
        <f>IF('Australian MTransaction'!B47= "","",'Australian MTransaction'!B47)</f>
        <v/>
      </c>
      <c r="C47" s="28" t="str">
        <f>IF('Australian MTransaction'!C47= "","",IF(B47="BUY",'Australian MTransaction'!C47,-'Australian MTransaction'!C47))</f>
        <v/>
      </c>
      <c r="D47" s="28" t="str">
        <f>IF('Australian MTransaction'!D47 = "","",IF($B47 = "BUY", 'Australian MTransaction'!D47,-'Australian MTransaction'!D47))</f>
        <v/>
      </c>
      <c r="E47" s="28" t="str">
        <f>IF('Australian MTransaction'!E47= "","",'Australian MTransaction'!E47)</f>
        <v/>
      </c>
      <c r="F47" s="33"/>
      <c r="G47" s="28" t="str">
        <f t="shared" si="1"/>
        <v/>
      </c>
      <c r="H47" s="28" t="str">
        <f>IF(A47="","",COUNTIF($G$2:G47,G47))</f>
        <v/>
      </c>
      <c r="I47" s="28" t="str">
        <f t="shared" si="2"/>
        <v/>
      </c>
      <c r="J47" s="28" t="str">
        <f>IF(G47="","",IF(COUNTIF($G$2:G47,G47)&gt;1,SUMIF($A$2:A47,G47,$C$2:C47),C47))</f>
        <v/>
      </c>
      <c r="K47" s="45" t="str">
        <f>IF(G47="","",IF(COUNTIF($G$2:G47,G47)&gt;1,SUMIF($A$2:A47,G47,$D$2:D47),D47) +SUMIF($G$2:G47,G47,$M$2:M47))</f>
        <v/>
      </c>
      <c r="L47" s="45" t="str">
        <f t="shared" si="3"/>
        <v/>
      </c>
      <c r="M47" s="46" t="str">
        <f>IF(G47="","",IF(B47 = "BUY", 0,(E47-VLOOKUP(CONCATENATE(G47,(H47-1)),$I$2:L46,4,FALSE))*-C47))</f>
        <v/>
      </c>
      <c r="P47" s="1" t="str">
        <f t="shared" si="10"/>
        <v/>
      </c>
      <c r="Q47" s="1" t="str">
        <f t="shared" si="11"/>
        <v/>
      </c>
      <c r="R47" s="1" t="str">
        <f t="shared" si="12"/>
        <v/>
      </c>
      <c r="S47" s="1" t="str">
        <f t="shared" si="13"/>
        <v/>
      </c>
    </row>
    <row r="48" spans="1:19" x14ac:dyDescent="0.3">
      <c r="A48" s="27" t="str">
        <f>IF('Australian MTransaction'!A48= "","",'Australian MTransaction'!A48)</f>
        <v/>
      </c>
      <c r="B48" s="28" t="str">
        <f>IF('Australian MTransaction'!B48= "","",'Australian MTransaction'!B48)</f>
        <v/>
      </c>
      <c r="C48" s="28" t="str">
        <f>IF('Australian MTransaction'!C48= "","",IF(B48="BUY",'Australian MTransaction'!C48,-'Australian MTransaction'!C48))</f>
        <v/>
      </c>
      <c r="D48" s="28" t="str">
        <f>IF('Australian MTransaction'!D48 = "","",IF($B48 = "BUY", 'Australian MTransaction'!D48,-'Australian MTransaction'!D48))</f>
        <v/>
      </c>
      <c r="E48" s="28" t="str">
        <f>IF('Australian MTransaction'!E48= "","",'Australian MTransaction'!E48)</f>
        <v/>
      </c>
      <c r="F48" s="33"/>
      <c r="G48" s="28" t="str">
        <f t="shared" si="1"/>
        <v/>
      </c>
      <c r="H48" s="28" t="str">
        <f>IF(A48="","",COUNTIF($G$2:G48,G48))</f>
        <v/>
      </c>
      <c r="I48" s="28" t="str">
        <f t="shared" si="2"/>
        <v/>
      </c>
      <c r="J48" s="28" t="str">
        <f>IF(G48="","",IF(COUNTIF($G$2:G48,G48)&gt;1,SUMIF($A$2:A48,G48,$C$2:C48),C48))</f>
        <v/>
      </c>
      <c r="K48" s="45" t="str">
        <f>IF(G48="","",IF(COUNTIF($G$2:G48,G48)&gt;1,SUMIF($A$2:A48,G48,$D$2:D48),D48) +SUMIF($G$2:G48,G48,$M$2:M48))</f>
        <v/>
      </c>
      <c r="L48" s="45" t="str">
        <f t="shared" si="3"/>
        <v/>
      </c>
      <c r="M48" s="46" t="str">
        <f>IF(G48="","",IF(B48 = "BUY", 0,(E48-VLOOKUP(CONCATENATE(G48,(H48-1)),$I$2:L47,4,FALSE))*-C48))</f>
        <v/>
      </c>
      <c r="P48" s="1" t="str">
        <f t="shared" si="10"/>
        <v/>
      </c>
      <c r="Q48" s="1" t="str">
        <f t="shared" si="11"/>
        <v/>
      </c>
      <c r="R48" s="1" t="str">
        <f t="shared" si="12"/>
        <v/>
      </c>
      <c r="S48" s="1" t="str">
        <f t="shared" si="13"/>
        <v/>
      </c>
    </row>
    <row r="49" spans="1:19" x14ac:dyDescent="0.3">
      <c r="A49" s="27" t="str">
        <f>IF('Australian MTransaction'!A49= "","",'Australian MTransaction'!A49)</f>
        <v/>
      </c>
      <c r="B49" s="28" t="str">
        <f>IF('Australian MTransaction'!B49= "","",'Australian MTransaction'!B49)</f>
        <v/>
      </c>
      <c r="C49" s="28" t="str">
        <f>IF('Australian MTransaction'!C49= "","",IF(B49="BUY",'Australian MTransaction'!C49,-'Australian MTransaction'!C49))</f>
        <v/>
      </c>
      <c r="D49" s="28" t="str">
        <f>IF('Australian MTransaction'!D49 = "","",IF($B49 = "BUY", 'Australian MTransaction'!D49,-'Australian MTransaction'!D49))</f>
        <v/>
      </c>
      <c r="E49" s="28" t="str">
        <f>IF('Australian MTransaction'!E49= "","",'Australian MTransaction'!E49)</f>
        <v/>
      </c>
      <c r="F49" s="33"/>
      <c r="G49" s="28" t="str">
        <f t="shared" si="1"/>
        <v/>
      </c>
      <c r="H49" s="28" t="str">
        <f>IF(A49="","",COUNTIF($G$2:G49,G49))</f>
        <v/>
      </c>
      <c r="I49" s="28" t="str">
        <f t="shared" si="2"/>
        <v/>
      </c>
      <c r="J49" s="28" t="str">
        <f>IF(G49="","",IF(COUNTIF($G$2:G49,G49)&gt;1,SUMIF($A$2:A49,G49,$C$2:C49),C49))</f>
        <v/>
      </c>
      <c r="K49" s="45" t="str">
        <f>IF(G49="","",IF(COUNTIF($G$2:G49,G49)&gt;1,SUMIF($A$2:A49,G49,$D$2:D49),D49) +SUMIF($G$2:G49,G49,$M$2:M49))</f>
        <v/>
      </c>
      <c r="L49" s="45" t="str">
        <f t="shared" si="3"/>
        <v/>
      </c>
      <c r="M49" s="46" t="str">
        <f>IF(G49="","",IF(B49 = "BUY", 0,(E49-VLOOKUP(CONCATENATE(G49,(H49-1)),$I$2:L48,4,FALSE))*-C49))</f>
        <v/>
      </c>
      <c r="P49" s="1" t="str">
        <f t="shared" si="10"/>
        <v/>
      </c>
      <c r="Q49" s="1" t="str">
        <f t="shared" si="11"/>
        <v/>
      </c>
      <c r="R49" s="1" t="str">
        <f t="shared" si="12"/>
        <v/>
      </c>
      <c r="S49" s="1" t="str">
        <f t="shared" si="13"/>
        <v/>
      </c>
    </row>
    <row r="50" spans="1:19" x14ac:dyDescent="0.3">
      <c r="A50" s="27" t="str">
        <f>IF('Australian MTransaction'!A50= "","",'Australian MTransaction'!A50)</f>
        <v/>
      </c>
      <c r="B50" s="28" t="str">
        <f>IF('Australian MTransaction'!B50= "","",'Australian MTransaction'!B50)</f>
        <v/>
      </c>
      <c r="C50" s="28" t="str">
        <f>IF('Australian MTransaction'!C50= "","",IF(B50="BUY",'Australian MTransaction'!C50,-'Australian MTransaction'!C50))</f>
        <v/>
      </c>
      <c r="D50" s="28" t="str">
        <f>IF('Australian MTransaction'!D50 = "","",IF($B50 = "BUY", 'Australian MTransaction'!D50,-'Australian MTransaction'!D50))</f>
        <v/>
      </c>
      <c r="E50" s="28" t="str">
        <f>IF('Australian MTransaction'!E50= "","",'Australian MTransaction'!E50)</f>
        <v/>
      </c>
      <c r="F50" s="33"/>
      <c r="G50" s="28" t="str">
        <f t="shared" si="1"/>
        <v/>
      </c>
      <c r="H50" s="28" t="str">
        <f>IF(A50="","",COUNTIF($G$2:G50,G50))</f>
        <v/>
      </c>
      <c r="I50" s="28" t="str">
        <f t="shared" si="2"/>
        <v/>
      </c>
      <c r="J50" s="28" t="str">
        <f>IF(G50="","",IF(COUNTIF($G$2:G50,G50)&gt;1,SUMIF($A$2:A50,G50,$C$2:C50),C50))</f>
        <v/>
      </c>
      <c r="K50" s="45" t="str">
        <f>IF(G50="","",IF(COUNTIF($G$2:G50,G50)&gt;1,SUMIF($A$2:A50,G50,$D$2:D50),D50) +SUMIF($G$2:G50,G50,$M$2:M50))</f>
        <v/>
      </c>
      <c r="L50" s="45" t="str">
        <f t="shared" si="3"/>
        <v/>
      </c>
      <c r="M50" s="46" t="str">
        <f>IF(G50="","",IF(B50 = "BUY", 0,(E50-VLOOKUP(CONCATENATE(G50,(H50-1)),$I$2:L49,4,FALSE))*-C50))</f>
        <v/>
      </c>
      <c r="P50" s="1" t="str">
        <f t="shared" si="10"/>
        <v/>
      </c>
      <c r="Q50" s="1" t="str">
        <f t="shared" si="11"/>
        <v/>
      </c>
      <c r="R50" s="1" t="str">
        <f t="shared" si="12"/>
        <v/>
      </c>
      <c r="S50" s="1" t="str">
        <f t="shared" si="13"/>
        <v/>
      </c>
    </row>
    <row r="51" spans="1:19" ht="15" thickBot="1" x14ac:dyDescent="0.35">
      <c r="A51" s="27" t="str">
        <f>IF('Australian MTransaction'!A51= "","",'Australian MTransaction'!A51)</f>
        <v/>
      </c>
      <c r="B51" s="28" t="str">
        <f>IF('Australian MTransaction'!B51= "","",'Australian MTransaction'!B51)</f>
        <v/>
      </c>
      <c r="C51" s="28" t="str">
        <f>IF('Australian MTransaction'!C51= "","",IF(B51="BUY",'Australian MTransaction'!C51,-'Australian MTransaction'!C51))</f>
        <v/>
      </c>
      <c r="D51" s="28" t="str">
        <f>IF('Australian MTransaction'!D51 = "","",IF($B51 = "BUY", 'Australian MTransaction'!D51,-'Australian MTransaction'!D51))</f>
        <v/>
      </c>
      <c r="E51" s="28" t="str">
        <f>IF('Australian MTransaction'!E51= "","",'Australian MTransaction'!E51)</f>
        <v/>
      </c>
      <c r="F51" s="23"/>
      <c r="G51" s="28" t="str">
        <f t="shared" si="1"/>
        <v/>
      </c>
      <c r="H51" s="28" t="str">
        <f>IF(A51="","",COUNTIF($G$2:G51,G51))</f>
        <v/>
      </c>
      <c r="I51" s="28" t="str">
        <f t="shared" si="2"/>
        <v/>
      </c>
      <c r="J51" s="28" t="str">
        <f>IF(G51="","",IF(COUNTIF($G$2:G51,G51)&gt;1,SUMIF($A$2:A51,G51,$C$2:C51),C51))</f>
        <v/>
      </c>
      <c r="K51" s="45" t="str">
        <f>IF(G51="","",IF(COUNTIF($G$2:G51,G51)&gt;1,SUMIF($A$2:A51,G51,$D$2:D51),D51) +SUMIF($G$2:G51,G51,$M$2:M51))</f>
        <v/>
      </c>
      <c r="L51" s="45" t="str">
        <f t="shared" si="3"/>
        <v/>
      </c>
      <c r="M51" s="46" t="str">
        <f>IF(G51="","",IF(B51 = "BUY", 0,(E51-VLOOKUP(CONCATENATE(G51,(H51-1)),$I$2:L50,4,FALSE))*-C51))</f>
        <v/>
      </c>
      <c r="P51" s="1" t="str">
        <f t="shared" si="10"/>
        <v/>
      </c>
      <c r="Q51" s="1" t="str">
        <f t="shared" si="11"/>
        <v/>
      </c>
      <c r="R51" s="1" t="str">
        <f t="shared" si="12"/>
        <v/>
      </c>
      <c r="S51" s="1" t="str">
        <f t="shared" si="13"/>
        <v/>
      </c>
    </row>
    <row r="52" spans="1:19" ht="15" thickBot="1" x14ac:dyDescent="0.35">
      <c r="A52" s="27" t="str">
        <f>IF('Australian MTransaction'!A52= "","",'Australian MTransaction'!A52)</f>
        <v/>
      </c>
      <c r="B52" s="28" t="str">
        <f>IF('Australian MTransaction'!B52= "","",'Australian MTransaction'!B52)</f>
        <v/>
      </c>
      <c r="C52" s="28" t="str">
        <f>IF('Australian MTransaction'!C52= "","",IF(B52="BUY",'Australian MTransaction'!C52,-'Australian MTransaction'!C52))</f>
        <v/>
      </c>
      <c r="D52" s="28" t="str">
        <f>IF('Australian MTransaction'!D52 = "","",IF($B52 = "BUY", 'Australian MTransaction'!D52,-'Australian MTransaction'!D52))</f>
        <v/>
      </c>
      <c r="E52" s="28" t="str">
        <f>IF('Australian MTransaction'!E52= "","",'Australian MTransaction'!E52)</f>
        <v/>
      </c>
      <c r="F52" s="23"/>
      <c r="G52" s="28" t="str">
        <f t="shared" si="1"/>
        <v/>
      </c>
      <c r="H52" s="28" t="str">
        <f>IF(A52="","",COUNTIF($G$2:G52,G52))</f>
        <v/>
      </c>
      <c r="I52" s="28" t="str">
        <f t="shared" si="2"/>
        <v/>
      </c>
      <c r="J52" s="28" t="str">
        <f>IF(G52="","",IF(COUNTIF($G$2:G52,G52)&gt;1,SUMIF($A$2:A52,G52,$C$2:C52),C52))</f>
        <v/>
      </c>
      <c r="K52" s="45" t="str">
        <f>IF(G52="","",IF(COUNTIF($G$2:G52,G52)&gt;1,SUMIF($A$2:A52,G52,$D$2:D52),D52) +SUMIF($G$2:G52,G52,$M$2:M52))</f>
        <v/>
      </c>
      <c r="L52" s="45" t="str">
        <f t="shared" si="3"/>
        <v/>
      </c>
      <c r="M52" s="46" t="str">
        <f>IF(G52="","",IF(B52 = "BUY", 0,(E52-VLOOKUP(CONCATENATE(G52,(H52-1)),$I$2:L51,4,FALSE))*-C52))</f>
        <v/>
      </c>
    </row>
    <row r="53" spans="1:19" ht="15" thickBot="1" x14ac:dyDescent="0.35">
      <c r="A53" s="27" t="str">
        <f>IF('Australian MTransaction'!A53= "","",'Australian MTransaction'!A53)</f>
        <v/>
      </c>
      <c r="B53" s="28" t="str">
        <f>IF('Australian MTransaction'!B53= "","",'Australian MTransaction'!B53)</f>
        <v/>
      </c>
      <c r="C53" s="28" t="str">
        <f>IF('Australian MTransaction'!C53= "","",IF(B53="BUY",'Australian MTransaction'!C53,-'Australian MTransaction'!C53))</f>
        <v/>
      </c>
      <c r="D53" s="28" t="str">
        <f>IF('Australian MTransaction'!D53 = "","",IF($B53 = "BUY", 'Australian MTransaction'!D53,-'Australian MTransaction'!D53))</f>
        <v/>
      </c>
      <c r="E53" s="28" t="str">
        <f>IF('Australian MTransaction'!E53= "","",'Australian MTransaction'!E53)</f>
        <v/>
      </c>
      <c r="F53" s="23"/>
      <c r="G53" s="28" t="str">
        <f t="shared" si="1"/>
        <v/>
      </c>
      <c r="H53" s="28" t="str">
        <f>IF(A53="","",COUNTIF($G$2:G53,G53))</f>
        <v/>
      </c>
      <c r="I53" s="28" t="str">
        <f t="shared" si="2"/>
        <v/>
      </c>
      <c r="J53" s="28" t="str">
        <f>IF(G53="","",IF(COUNTIF($G$2:G53,G53)&gt;1,SUMIF($A$2:A53,G53,$C$2:C53),C53))</f>
        <v/>
      </c>
      <c r="K53" s="45" t="str">
        <f>IF(G53="","",IF(COUNTIF($G$2:G53,G53)&gt;1,SUMIF($A$2:A53,G53,$D$2:D53),D53) +SUMIF($G$2:G53,G53,$M$2:M53))</f>
        <v/>
      </c>
      <c r="L53" s="45" t="str">
        <f t="shared" si="3"/>
        <v/>
      </c>
      <c r="M53" s="46" t="str">
        <f>IF(G53="","",IF(B53 = "BUY", 0,(E53-VLOOKUP(CONCATENATE(G53,(H53-1)),$I$2:L52,4,FALSE))*-C53))</f>
        <v/>
      </c>
    </row>
    <row r="54" spans="1:19" ht="15" thickBot="1" x14ac:dyDescent="0.35">
      <c r="A54" s="27" t="str">
        <f>IF('Australian MTransaction'!A54= "","",'Australian MTransaction'!A54)</f>
        <v/>
      </c>
      <c r="B54" s="28" t="str">
        <f>IF('Australian MTransaction'!B54= "","",'Australian MTransaction'!B54)</f>
        <v/>
      </c>
      <c r="C54" s="28" t="str">
        <f>IF('Australian MTransaction'!C54= "","",IF(B54="BUY",'Australian MTransaction'!C54,-'Australian MTransaction'!C54))</f>
        <v/>
      </c>
      <c r="D54" s="28" t="str">
        <f>IF('Australian MTransaction'!D54 = "","",IF($B54 = "BUY", 'Australian MTransaction'!D54,-'Australian MTransaction'!D54))</f>
        <v/>
      </c>
      <c r="E54" s="28" t="str">
        <f>IF('Australian MTransaction'!E54= "","",'Australian MTransaction'!E54)</f>
        <v/>
      </c>
      <c r="F54" s="23"/>
      <c r="G54" s="28" t="str">
        <f t="shared" si="1"/>
        <v/>
      </c>
      <c r="H54" s="28" t="str">
        <f>IF(A54="","",COUNTIF($G$2:G54,G54))</f>
        <v/>
      </c>
      <c r="I54" s="28" t="str">
        <f t="shared" si="2"/>
        <v/>
      </c>
      <c r="J54" s="28" t="str">
        <f>IF(G54="","",IF(COUNTIF($G$2:G54,G54)&gt;1,SUMIF($A$2:A54,G54,$C$2:C54),C54))</f>
        <v/>
      </c>
      <c r="K54" s="45" t="str">
        <f>IF(G54="","",IF(COUNTIF($G$2:G54,G54)&gt;1,SUMIF($A$2:A54,G54,$D$2:D54),D54) +SUMIF($G$2:G54,G54,$M$2:M54))</f>
        <v/>
      </c>
      <c r="L54" s="45" t="str">
        <f t="shared" si="3"/>
        <v/>
      </c>
      <c r="M54" s="46" t="str">
        <f>IF(G54="","",IF(B54 = "BUY", 0,(E54-VLOOKUP(CONCATENATE(G54,(H54-1)),$I$2:L53,4,FALSE))*-C54))</f>
        <v/>
      </c>
    </row>
    <row r="55" spans="1:19" ht="15" thickBot="1" x14ac:dyDescent="0.35">
      <c r="A55" s="27" t="str">
        <f>IF('Australian MTransaction'!A55= "","",'Australian MTransaction'!A55)</f>
        <v/>
      </c>
      <c r="B55" s="28" t="str">
        <f>IF('Australian MTransaction'!B55= "","",'Australian MTransaction'!B55)</f>
        <v/>
      </c>
      <c r="C55" s="28" t="str">
        <f>IF('Australian MTransaction'!C55= "","",IF(B55="BUY",'Australian MTransaction'!C55,-'Australian MTransaction'!C55))</f>
        <v/>
      </c>
      <c r="D55" s="28" t="str">
        <f>IF('Australian MTransaction'!D55 = "","",IF($B55 = "BUY", 'Australian MTransaction'!D55,-'Australian MTransaction'!D55))</f>
        <v/>
      </c>
      <c r="E55" s="28" t="str">
        <f>IF('Australian MTransaction'!E55= "","",'Australian MTransaction'!E55)</f>
        <v/>
      </c>
      <c r="F55" s="23"/>
      <c r="G55" s="28" t="str">
        <f t="shared" si="1"/>
        <v/>
      </c>
      <c r="H55" s="28" t="str">
        <f>IF(A55="","",COUNTIF($G$2:G55,G55))</f>
        <v/>
      </c>
      <c r="I55" s="28" t="str">
        <f t="shared" si="2"/>
        <v/>
      </c>
      <c r="J55" s="28" t="str">
        <f>IF(G55="","",IF(COUNTIF($G$2:G55,G55)&gt;1,SUMIF($A$2:A55,G55,$C$2:C55),C55))</f>
        <v/>
      </c>
      <c r="K55" s="45" t="str">
        <f>IF(G55="","",IF(COUNTIF($G$2:G55,G55)&gt;1,SUMIF($A$2:A55,G55,$D$2:D55),D55) +SUMIF($G$2:G55,G55,$M$2:M55))</f>
        <v/>
      </c>
      <c r="L55" s="45" t="str">
        <f t="shared" si="3"/>
        <v/>
      </c>
      <c r="M55" s="46" t="str">
        <f>IF(G55="","",IF(B55 = "BUY", 0,(E55-VLOOKUP(CONCATENATE(G55,(H55-1)),$I$2:L54,4,FALSE))*-C55))</f>
        <v/>
      </c>
    </row>
    <row r="56" spans="1:19" ht="15" thickBot="1" x14ac:dyDescent="0.35">
      <c r="A56" s="27" t="str">
        <f>IF('Australian MTransaction'!A56= "","",'Australian MTransaction'!A56)</f>
        <v/>
      </c>
      <c r="B56" s="28" t="str">
        <f>IF('Australian MTransaction'!B56= "","",'Australian MTransaction'!B56)</f>
        <v/>
      </c>
      <c r="C56" s="28" t="str">
        <f>IF('Australian MTransaction'!C56= "","",IF(B56="BUY",'Australian MTransaction'!C56,-'Australian MTransaction'!C56))</f>
        <v/>
      </c>
      <c r="D56" s="28" t="str">
        <f>IF('Australian MTransaction'!D56 = "","",IF($B56 = "BUY", 'Australian MTransaction'!D56,-'Australian MTransaction'!D56))</f>
        <v/>
      </c>
      <c r="E56" s="28" t="str">
        <f>IF('Australian MTransaction'!E56= "","",'Australian MTransaction'!E56)</f>
        <v/>
      </c>
      <c r="F56" s="23"/>
      <c r="G56" s="28" t="str">
        <f t="shared" si="1"/>
        <v/>
      </c>
      <c r="H56" s="28" t="str">
        <f>IF(A56="","",COUNTIF($G$2:G56,G56))</f>
        <v/>
      </c>
      <c r="I56" s="28" t="str">
        <f t="shared" si="2"/>
        <v/>
      </c>
      <c r="J56" s="28" t="str">
        <f>IF(G56="","",IF(COUNTIF($G$2:G56,G56)&gt;1,SUMIF($A$2:A56,G56,$C$2:C56),C56))</f>
        <v/>
      </c>
      <c r="K56" s="45" t="str">
        <f>IF(G56="","",IF(COUNTIF($G$2:G56,G56)&gt;1,SUMIF($A$2:A56,G56,$D$2:D56),D56) +SUMIF($G$2:G56,G56,$M$2:M56))</f>
        <v/>
      </c>
      <c r="L56" s="45" t="str">
        <f t="shared" si="3"/>
        <v/>
      </c>
      <c r="M56" s="46" t="str">
        <f>IF(G56="","",IF(B56 = "BUY", 0,(E56-VLOOKUP(CONCATENATE(G56,(H56-1)),$I$2:L55,4,FALSE))*-C56))</f>
        <v/>
      </c>
    </row>
    <row r="57" spans="1:19" ht="15" thickBot="1" x14ac:dyDescent="0.35">
      <c r="A57" s="27" t="str">
        <f>IF('Australian MTransaction'!A57= "","",'Australian MTransaction'!A57)</f>
        <v/>
      </c>
      <c r="B57" s="28" t="str">
        <f>IF('Australian MTransaction'!B57= "","",'Australian MTransaction'!B57)</f>
        <v/>
      </c>
      <c r="C57" s="28" t="str">
        <f>IF('Australian MTransaction'!C57= "","",IF(B57="BUY",'Australian MTransaction'!C57,-'Australian MTransaction'!C57))</f>
        <v/>
      </c>
      <c r="D57" s="28" t="str">
        <f>IF('Australian MTransaction'!D57 = "","",IF($B57 = "BUY", 'Australian MTransaction'!D57,-'Australian MTransaction'!D57))</f>
        <v/>
      </c>
      <c r="E57" s="28" t="str">
        <f>IF('Australian MTransaction'!E57= "","",'Australian MTransaction'!E57)</f>
        <v/>
      </c>
      <c r="F57" s="23"/>
      <c r="G57" s="28" t="str">
        <f t="shared" si="1"/>
        <v/>
      </c>
      <c r="H57" s="28" t="str">
        <f>IF(A57="","",COUNTIF($G$2:G57,G57))</f>
        <v/>
      </c>
      <c r="I57" s="28" t="str">
        <f t="shared" si="2"/>
        <v/>
      </c>
      <c r="J57" s="28" t="str">
        <f>IF(G57="","",IF(COUNTIF($G$2:G57,G57)&gt;1,SUMIF($A$2:A57,G57,$C$2:C57),C57))</f>
        <v/>
      </c>
      <c r="K57" s="45" t="str">
        <f>IF(G57="","",IF(COUNTIF($G$2:G57,G57)&gt;1,SUMIF($A$2:A57,G57,$D$2:D57),D57) +SUMIF($G$2:G57,G57,$M$2:M57))</f>
        <v/>
      </c>
      <c r="L57" s="45" t="str">
        <f t="shared" si="3"/>
        <v/>
      </c>
      <c r="M57" s="46" t="str">
        <f>IF(G57="","",IF(B57 = "BUY", 0,(E57-VLOOKUP(CONCATENATE(G57,(H57-1)),$I$2:L56,4,FALSE))*-C57))</f>
        <v/>
      </c>
    </row>
    <row r="58" spans="1:19" ht="15" thickBot="1" x14ac:dyDescent="0.35">
      <c r="A58" s="27" t="str">
        <f>IF('Australian MTransaction'!A58= "","",'Australian MTransaction'!A58)</f>
        <v/>
      </c>
      <c r="B58" s="28" t="str">
        <f>IF('Australian MTransaction'!B58= "","",'Australian MTransaction'!B58)</f>
        <v/>
      </c>
      <c r="C58" s="28" t="str">
        <f>IF('Australian MTransaction'!C58= "","",IF(B58="BUY",'Australian MTransaction'!C58,-'Australian MTransaction'!C58))</f>
        <v/>
      </c>
      <c r="D58" s="28" t="str">
        <f>IF('Australian MTransaction'!D58 = "","",IF($B58 = "BUY", 'Australian MTransaction'!D58,-'Australian MTransaction'!D58))</f>
        <v/>
      </c>
      <c r="E58" s="28" t="str">
        <f>IF('Australian MTransaction'!E58= "","",'Australian MTransaction'!E58)</f>
        <v/>
      </c>
      <c r="F58" s="23"/>
      <c r="G58" s="28" t="str">
        <f t="shared" si="1"/>
        <v/>
      </c>
      <c r="H58" s="28" t="str">
        <f>IF(A58="","",COUNTIF($G$2:G58,G58))</f>
        <v/>
      </c>
      <c r="I58" s="28" t="str">
        <f t="shared" si="2"/>
        <v/>
      </c>
      <c r="J58" s="28" t="str">
        <f>IF(G58="","",IF(COUNTIF($G$2:G58,G58)&gt;1,SUMIF($A$2:A58,G58,$C$2:C58),C58))</f>
        <v/>
      </c>
      <c r="K58" s="45" t="str">
        <f>IF(G58="","",IF(COUNTIF($G$2:G58,G58)&gt;1,SUMIF($A$2:A58,G58,$D$2:D58),D58) +SUMIF($G$2:G58,G58,$M$2:M58))</f>
        <v/>
      </c>
      <c r="L58" s="45" t="str">
        <f t="shared" si="3"/>
        <v/>
      </c>
      <c r="M58" s="46" t="str">
        <f>IF(G58="","",IF(B58 = "BUY", 0,(E58-VLOOKUP(CONCATENATE(G58,(H58-1)),$I$2:L57,4,FALSE))*-C58))</f>
        <v/>
      </c>
    </row>
    <row r="59" spans="1:19" ht="15" thickBot="1" x14ac:dyDescent="0.35">
      <c r="A59" s="27" t="str">
        <f>IF('Australian MTransaction'!A59= "","",'Australian MTransaction'!A59)</f>
        <v/>
      </c>
      <c r="B59" s="28" t="str">
        <f>IF('Australian MTransaction'!B59= "","",'Australian MTransaction'!B59)</f>
        <v/>
      </c>
      <c r="C59" s="28" t="str">
        <f>IF('Australian MTransaction'!C59= "","",IF(B59="BUY",'Australian MTransaction'!C59,-'Australian MTransaction'!C59))</f>
        <v/>
      </c>
      <c r="D59" s="28" t="str">
        <f>IF('Australian MTransaction'!D59 = "","",IF($B59 = "BUY", 'Australian MTransaction'!D59,-'Australian MTransaction'!D59))</f>
        <v/>
      </c>
      <c r="E59" s="28" t="str">
        <f>IF('Australian MTransaction'!E59= "","",'Australian MTransaction'!E59)</f>
        <v/>
      </c>
      <c r="F59" s="23"/>
      <c r="G59" s="28" t="str">
        <f t="shared" si="1"/>
        <v/>
      </c>
      <c r="H59" s="28" t="str">
        <f>IF(A59="","",COUNTIF($G$2:G59,G59))</f>
        <v/>
      </c>
      <c r="I59" s="28" t="str">
        <f t="shared" si="2"/>
        <v/>
      </c>
      <c r="J59" s="28" t="str">
        <f>IF(G59="","",IF(COUNTIF($G$2:G59,G59)&gt;1,SUMIF($A$2:A59,G59,$C$2:C59),C59))</f>
        <v/>
      </c>
      <c r="K59" s="45" t="str">
        <f>IF(G59="","",IF(COUNTIF($G$2:G59,G59)&gt;1,SUMIF($A$2:A59,G59,$D$2:D59),D59) +SUMIF($G$2:G59,G59,$M$2:M59))</f>
        <v/>
      </c>
      <c r="L59" s="45" t="str">
        <f t="shared" si="3"/>
        <v/>
      </c>
      <c r="M59" s="46" t="str">
        <f>IF(G59="","",IF(B59 = "BUY", 0,(E59-VLOOKUP(CONCATENATE(G59,(H59-1)),$I$2:L58,4,FALSE))*-C59))</f>
        <v/>
      </c>
    </row>
    <row r="60" spans="1:19" ht="15" thickBot="1" x14ac:dyDescent="0.35">
      <c r="A60" s="27" t="str">
        <f>IF('Australian MTransaction'!A60= "","",'Australian MTransaction'!A60)</f>
        <v/>
      </c>
      <c r="B60" s="28" t="str">
        <f>IF('Australian MTransaction'!B60= "","",'Australian MTransaction'!B60)</f>
        <v/>
      </c>
      <c r="C60" s="28" t="str">
        <f>IF('Australian MTransaction'!C60= "","",IF(B60="BUY",'Australian MTransaction'!C60,-'Australian MTransaction'!C60))</f>
        <v/>
      </c>
      <c r="D60" s="28" t="str">
        <f>IF('Australian MTransaction'!D60 = "","",IF($B60 = "BUY", 'Australian MTransaction'!D60,-'Australian MTransaction'!D60))</f>
        <v/>
      </c>
      <c r="E60" s="28" t="str">
        <f>IF('Australian MTransaction'!E60= "","",'Australian MTransaction'!E60)</f>
        <v/>
      </c>
      <c r="F60" s="23"/>
      <c r="G60" s="28" t="str">
        <f t="shared" si="1"/>
        <v/>
      </c>
      <c r="H60" s="28" t="str">
        <f>IF(A60="","",COUNTIF($G$2:G60,G60))</f>
        <v/>
      </c>
      <c r="I60" s="28" t="str">
        <f t="shared" si="2"/>
        <v/>
      </c>
      <c r="J60" s="28" t="str">
        <f>IF(G60="","",IF(COUNTIF($G$2:G60,G60)&gt;1,SUMIF($A$2:A60,G60,$C$2:C60),C60))</f>
        <v/>
      </c>
      <c r="K60" s="45" t="str">
        <f>IF(G60="","",IF(COUNTIF($G$2:G60,G60)&gt;1,SUMIF($A$2:A60,G60,$D$2:D60),D60) +SUMIF($G$2:G60,G60,$M$2:M60))</f>
        <v/>
      </c>
      <c r="L60" s="45" t="str">
        <f t="shared" si="3"/>
        <v/>
      </c>
      <c r="M60" s="46" t="str">
        <f>IF(G60="","",IF(B60 = "BUY", 0,(E60-VLOOKUP(CONCATENATE(G60,(H60-1)),$I$2:L59,4,FALSE))*-C60))</f>
        <v/>
      </c>
    </row>
    <row r="61" spans="1:19" ht="15" thickBot="1" x14ac:dyDescent="0.35">
      <c r="A61" s="27" t="str">
        <f>IF('Australian MTransaction'!A61= "","",'Australian MTransaction'!A61)</f>
        <v/>
      </c>
      <c r="B61" s="28" t="str">
        <f>IF('Australian MTransaction'!B61= "","",'Australian MTransaction'!B61)</f>
        <v/>
      </c>
      <c r="C61" s="28" t="str">
        <f>IF('Australian MTransaction'!C61= "","",IF(B61="BUY",'Australian MTransaction'!C61,-'Australian MTransaction'!C61))</f>
        <v/>
      </c>
      <c r="D61" s="28" t="str">
        <f>IF('Australian MTransaction'!D61 = "","",IF($B61 = "BUY", 'Australian MTransaction'!D61,-'Australian MTransaction'!D61))</f>
        <v/>
      </c>
      <c r="E61" s="28" t="str">
        <f>IF('Australian MTransaction'!E61= "","",'Australian MTransaction'!E61)</f>
        <v/>
      </c>
      <c r="F61" s="23"/>
      <c r="G61" s="28" t="str">
        <f t="shared" si="1"/>
        <v/>
      </c>
      <c r="H61" s="28" t="str">
        <f>IF(A61="","",COUNTIF($G$2:G61,G61))</f>
        <v/>
      </c>
      <c r="I61" s="28" t="str">
        <f t="shared" si="2"/>
        <v/>
      </c>
      <c r="J61" s="28" t="str">
        <f>IF(G61="","",IF(COUNTIF($G$2:G61,G61)&gt;1,SUMIF($A$2:A61,G61,$C$2:C61),C61))</f>
        <v/>
      </c>
      <c r="K61" s="45" t="str">
        <f>IF(G61="","",IF(COUNTIF($G$2:G61,G61)&gt;1,SUMIF($A$2:A61,G61,$D$2:D61),D61) +SUMIF($G$2:G61,G61,$M$2:M61))</f>
        <v/>
      </c>
      <c r="L61" s="45" t="str">
        <f t="shared" si="3"/>
        <v/>
      </c>
      <c r="M61" s="46" t="str">
        <f>IF(G61="","",IF(B61 = "BUY", 0,(E61-VLOOKUP(CONCATENATE(G61,(H61-1)),$I$2:L60,4,FALSE))*-C61))</f>
        <v/>
      </c>
    </row>
    <row r="62" spans="1:19" ht="15" thickBot="1" x14ac:dyDescent="0.35">
      <c r="A62" s="27" t="str">
        <f>IF('Australian MTransaction'!A62= "","",'Australian MTransaction'!A62)</f>
        <v/>
      </c>
      <c r="B62" s="28" t="str">
        <f>IF('Australian MTransaction'!B62= "","",'Australian MTransaction'!B62)</f>
        <v/>
      </c>
      <c r="C62" s="28" t="str">
        <f>IF('Australian MTransaction'!C62= "","",IF(B62="BUY",'Australian MTransaction'!C62,-'Australian MTransaction'!C62))</f>
        <v/>
      </c>
      <c r="D62" s="28" t="str">
        <f>IF('Australian MTransaction'!D62 = "","",IF($B62 = "BUY", 'Australian MTransaction'!D62,-'Australian MTransaction'!D62))</f>
        <v/>
      </c>
      <c r="E62" s="28" t="str">
        <f>IF('Australian MTransaction'!E62= "","",'Australian MTransaction'!E62)</f>
        <v/>
      </c>
      <c r="F62" s="23"/>
      <c r="G62" s="28" t="str">
        <f t="shared" si="1"/>
        <v/>
      </c>
      <c r="H62" s="28" t="str">
        <f>IF(A62="","",COUNTIF($G$2:G62,G62))</f>
        <v/>
      </c>
      <c r="I62" s="28" t="str">
        <f t="shared" si="2"/>
        <v/>
      </c>
      <c r="J62" s="28" t="str">
        <f>IF(G62="","",IF(COUNTIF($G$2:G62,G62)&gt;1,SUMIF($A$2:A62,G62,$C$2:C62),C62))</f>
        <v/>
      </c>
      <c r="K62" s="45" t="str">
        <f>IF(G62="","",IF(COUNTIF($G$2:G62,G62)&gt;1,SUMIF($A$2:A62,G62,$D$2:D62),D62) +SUMIF($G$2:G62,G62,$M$2:M62))</f>
        <v/>
      </c>
      <c r="L62" s="45" t="str">
        <f t="shared" si="3"/>
        <v/>
      </c>
      <c r="M62" s="46" t="str">
        <f>IF(G62="","",IF(B62 = "BUY", 0,(E62-VLOOKUP(CONCATENATE(G62,(H62-1)),$I$2:L61,4,FALSE))*-C62))</f>
        <v/>
      </c>
    </row>
    <row r="63" spans="1:19" ht="15" thickBot="1" x14ac:dyDescent="0.35">
      <c r="A63" s="27" t="str">
        <f>IF('Australian MTransaction'!A63= "","",'Australian MTransaction'!A63)</f>
        <v/>
      </c>
      <c r="B63" s="28" t="str">
        <f>IF('Australian MTransaction'!B63= "","",'Australian MTransaction'!B63)</f>
        <v/>
      </c>
      <c r="C63" s="28" t="str">
        <f>IF('Australian MTransaction'!C63= "","",IF(B63="BUY",'Australian MTransaction'!C63,-'Australian MTransaction'!C63))</f>
        <v/>
      </c>
      <c r="D63" s="28" t="str">
        <f>IF('Australian MTransaction'!D63 = "","",IF($B63 = "BUY", 'Australian MTransaction'!D63,-'Australian MTransaction'!D63))</f>
        <v/>
      </c>
      <c r="E63" s="28" t="str">
        <f>IF('Australian MTransaction'!E63= "","",'Australian MTransaction'!E63)</f>
        <v/>
      </c>
      <c r="F63" s="23"/>
      <c r="G63" s="28" t="str">
        <f t="shared" si="1"/>
        <v/>
      </c>
      <c r="H63" s="28" t="str">
        <f>IF(A63="","",COUNTIF($G$2:G63,G63))</f>
        <v/>
      </c>
      <c r="I63" s="28" t="str">
        <f t="shared" si="2"/>
        <v/>
      </c>
      <c r="J63" s="28" t="str">
        <f>IF(G63="","",IF(COUNTIF($G$2:G63,G63)&gt;1,SUMIF($A$2:A63,G63,$C$2:C63),C63))</f>
        <v/>
      </c>
      <c r="K63" s="45" t="str">
        <f>IF(G63="","",IF(COUNTIF($G$2:G63,G63)&gt;1,SUMIF($A$2:A63,G63,$D$2:D63),D63) +SUMIF($G$2:G63,G63,$M$2:M63))</f>
        <v/>
      </c>
      <c r="L63" s="45" t="str">
        <f t="shared" si="3"/>
        <v/>
      </c>
      <c r="M63" s="46" t="str">
        <f>IF(G63="","",IF(B63 = "BUY", 0,(E63-VLOOKUP(CONCATENATE(G63,(H63-1)),$I$2:L62,4,FALSE))*-C63))</f>
        <v/>
      </c>
    </row>
    <row r="64" spans="1:19" ht="15" thickBot="1" x14ac:dyDescent="0.35">
      <c r="A64" s="27" t="str">
        <f>IF('Australian MTransaction'!A64= "","",'Australian MTransaction'!A64)</f>
        <v/>
      </c>
      <c r="B64" s="28" t="str">
        <f>IF('Australian MTransaction'!B64= "","",'Australian MTransaction'!B64)</f>
        <v/>
      </c>
      <c r="C64" s="28" t="str">
        <f>IF('Australian MTransaction'!C64= "","",IF(B64="BUY",'Australian MTransaction'!C64,-'Australian MTransaction'!C64))</f>
        <v/>
      </c>
      <c r="D64" s="28" t="str">
        <f>IF('Australian MTransaction'!D64 = "","",IF($B64 = "BUY", 'Australian MTransaction'!D64,-'Australian MTransaction'!D64))</f>
        <v/>
      </c>
      <c r="E64" s="28" t="str">
        <f>IF('Australian MTransaction'!E64= "","",'Australian MTransaction'!E64)</f>
        <v/>
      </c>
      <c r="F64" s="23"/>
      <c r="G64" s="28" t="str">
        <f t="shared" si="1"/>
        <v/>
      </c>
      <c r="H64" s="28" t="str">
        <f>IF(A64="","",COUNTIF($G$2:G64,G64))</f>
        <v/>
      </c>
      <c r="I64" s="28" t="str">
        <f t="shared" si="2"/>
        <v/>
      </c>
      <c r="J64" s="28" t="str">
        <f>IF(G64="","",IF(COUNTIF($G$2:G64,G64)&gt;1,SUMIF($A$2:A64,G64,$C$2:C64),C64))</f>
        <v/>
      </c>
      <c r="K64" s="45" t="str">
        <f>IF(G64="","",IF(COUNTIF($G$2:G64,G64)&gt;1,SUMIF($A$2:A64,G64,$D$2:D64),D64) +SUMIF($G$2:G64,G64,$M$2:M64))</f>
        <v/>
      </c>
      <c r="L64" s="45" t="str">
        <f t="shared" si="3"/>
        <v/>
      </c>
      <c r="M64" s="46" t="str">
        <f>IF(G64="","",IF(B64 = "BUY", 0,(E64-VLOOKUP(CONCATENATE(G64,(H64-1)),$I$2:L63,4,FALSE))*-C64))</f>
        <v/>
      </c>
    </row>
    <row r="65" spans="1:13" ht="15" thickBot="1" x14ac:dyDescent="0.35">
      <c r="A65" s="27" t="str">
        <f>IF('Australian MTransaction'!A65= "","",'Australian MTransaction'!A65)</f>
        <v/>
      </c>
      <c r="B65" s="28" t="str">
        <f>IF('Australian MTransaction'!B65= "","",'Australian MTransaction'!B65)</f>
        <v/>
      </c>
      <c r="C65" s="28" t="str">
        <f>IF('Australian MTransaction'!C65= "","",IF(B65="BUY",'Australian MTransaction'!C65,-'Australian MTransaction'!C65))</f>
        <v/>
      </c>
      <c r="D65" s="28" t="str">
        <f>IF('Australian MTransaction'!D65 = "","",IF($B65 = "BUY", 'Australian MTransaction'!D65,-'Australian MTransaction'!D65))</f>
        <v/>
      </c>
      <c r="E65" s="28" t="str">
        <f>IF('Australian MTransaction'!E65= "","",'Australian MTransaction'!E65)</f>
        <v/>
      </c>
      <c r="F65" s="23"/>
      <c r="G65" s="28" t="str">
        <f t="shared" si="1"/>
        <v/>
      </c>
      <c r="H65" s="28" t="str">
        <f>IF(A65="","",COUNTIF($G$2:G65,G65))</f>
        <v/>
      </c>
      <c r="I65" s="28" t="str">
        <f t="shared" si="2"/>
        <v/>
      </c>
      <c r="J65" s="28" t="str">
        <f>IF(G65="","",IF(COUNTIF($G$2:G65,G65)&gt;1,SUMIF($A$2:A65,G65,$C$2:C65),C65))</f>
        <v/>
      </c>
      <c r="K65" s="45" t="str">
        <f>IF(G65="","",IF(COUNTIF($G$2:G65,G65)&gt;1,SUMIF($A$2:A65,G65,$D$2:D65),D65) +SUMIF($G$2:G65,G65,$M$2:M65))</f>
        <v/>
      </c>
      <c r="L65" s="45" t="str">
        <f t="shared" si="3"/>
        <v/>
      </c>
      <c r="M65" s="46" t="str">
        <f>IF(G65="","",IF(B65 = "BUY", 0,(E65-VLOOKUP(CONCATENATE(G65,(H65-1)),$I$2:L64,4,FALSE))*-C65))</f>
        <v/>
      </c>
    </row>
    <row r="66" spans="1:13" ht="15" thickBot="1" x14ac:dyDescent="0.35">
      <c r="A66" s="27" t="str">
        <f>IF('Australian MTransaction'!A66= "","",'Australian MTransaction'!A66)</f>
        <v/>
      </c>
      <c r="B66" s="28" t="str">
        <f>IF('Australian MTransaction'!B66= "","",'Australian MTransaction'!B66)</f>
        <v/>
      </c>
      <c r="C66" s="28" t="str">
        <f>IF('Australian MTransaction'!C66= "","",IF(B66="BUY",'Australian MTransaction'!C66,-'Australian MTransaction'!C66))</f>
        <v/>
      </c>
      <c r="D66" s="28" t="str">
        <f>IF('Australian MTransaction'!D66 = "","",IF($B66 = "BUY", 'Australian MTransaction'!D66,-'Australian MTransaction'!D66))</f>
        <v/>
      </c>
      <c r="E66" s="28" t="str">
        <f>IF('Australian MTransaction'!E66= "","",'Australian MTransaction'!E66)</f>
        <v/>
      </c>
      <c r="F66" s="23"/>
      <c r="G66" s="28" t="str">
        <f t="shared" si="1"/>
        <v/>
      </c>
      <c r="H66" s="28" t="str">
        <f>IF(A66="","",COUNTIF($G$2:G66,G66))</f>
        <v/>
      </c>
      <c r="I66" s="28" t="str">
        <f t="shared" si="2"/>
        <v/>
      </c>
      <c r="J66" s="28" t="str">
        <f>IF(G66="","",IF(COUNTIF($G$2:G66,G66)&gt;1,SUMIF($A$2:A66,G66,$C$2:C66),C66))</f>
        <v/>
      </c>
      <c r="K66" s="45" t="str">
        <f>IF(G66="","",IF(COUNTIF($G$2:G66,G66)&gt;1,SUMIF($A$2:A66,G66,$D$2:D66),D66) +SUMIF($G$2:G66,G66,$M$2:M66))</f>
        <v/>
      </c>
      <c r="L66" s="45" t="str">
        <f t="shared" si="3"/>
        <v/>
      </c>
      <c r="M66" s="46" t="str">
        <f>IF(G66="","",IF(B66 = "BUY", 0,(E66-VLOOKUP(CONCATENATE(G66,(H66-1)),$I$2:L65,4,FALSE))*-C66))</f>
        <v/>
      </c>
    </row>
    <row r="67" spans="1:13" ht="15" thickBot="1" x14ac:dyDescent="0.35">
      <c r="A67" s="27" t="str">
        <f>IF('Australian MTransaction'!A67= "","",'Australian MTransaction'!A67)</f>
        <v/>
      </c>
      <c r="B67" s="28" t="str">
        <f>IF('Australian MTransaction'!B67= "","",'Australian MTransaction'!B67)</f>
        <v/>
      </c>
      <c r="C67" s="28" t="str">
        <f>IF('Australian MTransaction'!C67= "","",IF(B67="BUY",'Australian MTransaction'!C67,-'Australian MTransaction'!C67))</f>
        <v/>
      </c>
      <c r="D67" s="28" t="str">
        <f>IF('Australian MTransaction'!D67 = "","",IF($B67 = "BUY", 'Australian MTransaction'!D67,-'Australian MTransaction'!D67))</f>
        <v/>
      </c>
      <c r="E67" s="28" t="str">
        <f>IF('Australian MTransaction'!E67= "","",'Australian MTransaction'!E67)</f>
        <v/>
      </c>
      <c r="F67" s="23"/>
      <c r="G67" s="28" t="str">
        <f t="shared" ref="G67:G130" si="14">A67</f>
        <v/>
      </c>
      <c r="H67" s="28" t="str">
        <f>IF(A67="","",COUNTIF($G$2:G67,G67))</f>
        <v/>
      </c>
      <c r="I67" s="28" t="str">
        <f t="shared" ref="I67:I130" si="15">_xlfn.CONCAT(G67,H67)</f>
        <v/>
      </c>
      <c r="J67" s="28" t="str">
        <f>IF(G67="","",IF(COUNTIF($G$2:G67,G67)&gt;1,SUMIF($A$2:A67,G67,$C$2:C67),C67))</f>
        <v/>
      </c>
      <c r="K67" s="45" t="str">
        <f>IF(G67="","",IF(COUNTIF($G$2:G67,G67)&gt;1,SUMIF($A$2:A67,G67,$D$2:D67),D67) +SUMIF($G$2:G67,G67,$M$2:M67))</f>
        <v/>
      </c>
      <c r="L67" s="45" t="str">
        <f t="shared" ref="L67:L130" si="16">IF(G67="","",IFERROR(K67/J67,0))</f>
        <v/>
      </c>
      <c r="M67" s="46" t="str">
        <f>IF(G67="","",IF(B67 = "BUY", 0,(E67-VLOOKUP(CONCATENATE(G67,(H67-1)),$I$2:L66,4,FALSE))*-C67))</f>
        <v/>
      </c>
    </row>
    <row r="68" spans="1:13" ht="15" thickBot="1" x14ac:dyDescent="0.35">
      <c r="A68" s="27" t="str">
        <f>IF('Australian MTransaction'!A68= "","",'Australian MTransaction'!A68)</f>
        <v/>
      </c>
      <c r="B68" s="28" t="str">
        <f>IF('Australian MTransaction'!B68= "","",'Australian MTransaction'!B68)</f>
        <v/>
      </c>
      <c r="C68" s="28" t="str">
        <f>IF('Australian MTransaction'!C68= "","",IF(B68="BUY",'Australian MTransaction'!C68,-'Australian MTransaction'!C68))</f>
        <v/>
      </c>
      <c r="D68" s="28" t="str">
        <f>IF('Australian MTransaction'!D68 = "","",IF($B68 = "BUY", 'Australian MTransaction'!D68,-'Australian MTransaction'!D68))</f>
        <v/>
      </c>
      <c r="E68" s="28" t="str">
        <f>IF('Australian MTransaction'!E68= "","",'Australian MTransaction'!E68)</f>
        <v/>
      </c>
      <c r="F68" s="23"/>
      <c r="G68" s="28" t="str">
        <f t="shared" si="14"/>
        <v/>
      </c>
      <c r="H68" s="28" t="str">
        <f>IF(A68="","",COUNTIF($G$2:G68,G68))</f>
        <v/>
      </c>
      <c r="I68" s="28" t="str">
        <f t="shared" si="15"/>
        <v/>
      </c>
      <c r="J68" s="28" t="str">
        <f>IF(G68="","",IF(COUNTIF($G$2:G68,G68)&gt;1,SUMIF($A$2:A68,G68,$C$2:C68),C68))</f>
        <v/>
      </c>
      <c r="K68" s="45" t="str">
        <f>IF(G68="","",IF(COUNTIF($G$2:G68,G68)&gt;1,SUMIF($A$2:A68,G68,$D$2:D68),D68) +SUMIF($G$2:G68,G68,$M$2:M68))</f>
        <v/>
      </c>
      <c r="L68" s="45" t="str">
        <f t="shared" si="16"/>
        <v/>
      </c>
      <c r="M68" s="46" t="str">
        <f>IF(G68="","",IF(B68 = "BUY", 0,(E68-VLOOKUP(CONCATENATE(G68,(H68-1)),$I$2:L67,4,FALSE))*-C68))</f>
        <v/>
      </c>
    </row>
    <row r="69" spans="1:13" ht="15" thickBot="1" x14ac:dyDescent="0.35">
      <c r="A69" s="27" t="str">
        <f>IF('Australian MTransaction'!A69= "","",'Australian MTransaction'!A69)</f>
        <v/>
      </c>
      <c r="B69" s="28" t="str">
        <f>IF('Australian MTransaction'!B69= "","",'Australian MTransaction'!B69)</f>
        <v/>
      </c>
      <c r="C69" s="28" t="str">
        <f>IF('Australian MTransaction'!C69= "","",IF(B69="BUY",'Australian MTransaction'!C69,-'Australian MTransaction'!C69))</f>
        <v/>
      </c>
      <c r="D69" s="28" t="str">
        <f>IF('Australian MTransaction'!D69 = "","",IF($B69 = "BUY", 'Australian MTransaction'!D69,-'Australian MTransaction'!D69))</f>
        <v/>
      </c>
      <c r="E69" s="28" t="str">
        <f>IF('Australian MTransaction'!E69= "","",'Australian MTransaction'!E69)</f>
        <v/>
      </c>
      <c r="F69" s="23"/>
      <c r="G69" s="28" t="str">
        <f t="shared" si="14"/>
        <v/>
      </c>
      <c r="H69" s="28" t="str">
        <f>IF(A69="","",COUNTIF($G$2:G69,G69))</f>
        <v/>
      </c>
      <c r="I69" s="28" t="str">
        <f t="shared" si="15"/>
        <v/>
      </c>
      <c r="J69" s="28" t="str">
        <f>IF(G69="","",IF(COUNTIF($G$2:G69,G69)&gt;1,SUMIF($A$2:A69,G69,$C$2:C69),C69))</f>
        <v/>
      </c>
      <c r="K69" s="45" t="str">
        <f>IF(G69="","",IF(COUNTIF($G$2:G69,G69)&gt;1,SUMIF($A$2:A69,G69,$D$2:D69),D69) +SUMIF($G$2:G69,G69,$M$2:M69))</f>
        <v/>
      </c>
      <c r="L69" s="45" t="str">
        <f t="shared" si="16"/>
        <v/>
      </c>
      <c r="M69" s="46" t="str">
        <f>IF(G69="","",IF(B69 = "BUY", 0,(E69-VLOOKUP(CONCATENATE(G69,(H69-1)),$I$2:L68,4,FALSE))*-C69))</f>
        <v/>
      </c>
    </row>
    <row r="70" spans="1:13" ht="15" thickBot="1" x14ac:dyDescent="0.35">
      <c r="A70" s="27" t="str">
        <f>IF('Australian MTransaction'!A70= "","",'Australian MTransaction'!A70)</f>
        <v/>
      </c>
      <c r="B70" s="28" t="str">
        <f>IF('Australian MTransaction'!B70= "","",'Australian MTransaction'!B70)</f>
        <v/>
      </c>
      <c r="C70" s="28" t="str">
        <f>IF('Australian MTransaction'!C70= "","",IF(B70="BUY",'Australian MTransaction'!C70,-'Australian MTransaction'!C70))</f>
        <v/>
      </c>
      <c r="D70" s="28" t="str">
        <f>IF('Australian MTransaction'!D70 = "","",IF($B70 = "BUY", 'Australian MTransaction'!D70,-'Australian MTransaction'!D70))</f>
        <v/>
      </c>
      <c r="E70" s="28" t="str">
        <f>IF('Australian MTransaction'!E70= "","",'Australian MTransaction'!E70)</f>
        <v/>
      </c>
      <c r="F70" s="23"/>
      <c r="G70" s="28" t="str">
        <f t="shared" si="14"/>
        <v/>
      </c>
      <c r="H70" s="28" t="str">
        <f>IF(A70="","",COUNTIF($G$2:G70,G70))</f>
        <v/>
      </c>
      <c r="I70" s="28" t="str">
        <f t="shared" si="15"/>
        <v/>
      </c>
      <c r="J70" s="28" t="str">
        <f>IF(G70="","",IF(COUNTIF($G$2:G70,G70)&gt;1,SUMIF($A$2:A70,G70,$C$2:C70),C70))</f>
        <v/>
      </c>
      <c r="K70" s="45" t="str">
        <f>IF(G70="","",IF(COUNTIF($G$2:G70,G70)&gt;1,SUMIF($A$2:A70,G70,$D$2:D70),D70) +SUMIF($G$2:G70,G70,$M$2:M70))</f>
        <v/>
      </c>
      <c r="L70" s="45" t="str">
        <f t="shared" si="16"/>
        <v/>
      </c>
      <c r="M70" s="46" t="str">
        <f>IF(G70="","",IF(B70 = "BUY", 0,(E70-VLOOKUP(CONCATENATE(G70,(H70-1)),$I$2:L69,4,FALSE))*-C70))</f>
        <v/>
      </c>
    </row>
    <row r="71" spans="1:13" ht="15" thickBot="1" x14ac:dyDescent="0.35">
      <c r="A71" s="27" t="str">
        <f>IF('Australian MTransaction'!A71= "","",'Australian MTransaction'!A71)</f>
        <v/>
      </c>
      <c r="B71" s="28" t="str">
        <f>IF('Australian MTransaction'!B71= "","",'Australian MTransaction'!B71)</f>
        <v/>
      </c>
      <c r="C71" s="28" t="str">
        <f>IF('Australian MTransaction'!C71= "","",IF(B71="BUY",'Australian MTransaction'!C71,-'Australian MTransaction'!C71))</f>
        <v/>
      </c>
      <c r="D71" s="28" t="str">
        <f>IF('Australian MTransaction'!D71 = "","",IF($B71 = "BUY", 'Australian MTransaction'!D71,-'Australian MTransaction'!D71))</f>
        <v/>
      </c>
      <c r="E71" s="28" t="str">
        <f>IF('Australian MTransaction'!E71= "","",'Australian MTransaction'!E71)</f>
        <v/>
      </c>
      <c r="F71" s="23"/>
      <c r="G71" s="28" t="str">
        <f t="shared" si="14"/>
        <v/>
      </c>
      <c r="H71" s="28" t="str">
        <f>IF(A71="","",COUNTIF($G$2:G71,G71))</f>
        <v/>
      </c>
      <c r="I71" s="28" t="str">
        <f t="shared" si="15"/>
        <v/>
      </c>
      <c r="J71" s="28" t="str">
        <f>IF(G71="","",IF(COUNTIF($G$2:G71,G71)&gt;1,SUMIF($A$2:A71,G71,$C$2:C71),C71))</f>
        <v/>
      </c>
      <c r="K71" s="45" t="str">
        <f>IF(G71="","",IF(COUNTIF($G$2:G71,G71)&gt;1,SUMIF($A$2:A71,G71,$D$2:D71),D71) +SUMIF($G$2:G71,G71,$M$2:M71))</f>
        <v/>
      </c>
      <c r="L71" s="45" t="str">
        <f t="shared" si="16"/>
        <v/>
      </c>
      <c r="M71" s="46" t="str">
        <f>IF(G71="","",IF(B71 = "BUY", 0,(E71-VLOOKUP(CONCATENATE(G71,(H71-1)),$I$2:L70,4,FALSE))*-C71))</f>
        <v/>
      </c>
    </row>
    <row r="72" spans="1:13" ht="15" thickBot="1" x14ac:dyDescent="0.35">
      <c r="A72" s="27" t="str">
        <f>IF('Australian MTransaction'!A72= "","",'Australian MTransaction'!A72)</f>
        <v/>
      </c>
      <c r="B72" s="28" t="str">
        <f>IF('Australian MTransaction'!B72= "","",'Australian MTransaction'!B72)</f>
        <v/>
      </c>
      <c r="C72" s="28" t="str">
        <f>IF('Australian MTransaction'!C72= "","",IF(B72="BUY",'Australian MTransaction'!C72,-'Australian MTransaction'!C72))</f>
        <v/>
      </c>
      <c r="D72" s="28" t="str">
        <f>IF('Australian MTransaction'!D72 = "","",IF($B72 = "BUY", 'Australian MTransaction'!D72,-'Australian MTransaction'!D72))</f>
        <v/>
      </c>
      <c r="E72" s="28" t="str">
        <f>IF('Australian MTransaction'!E72= "","",'Australian MTransaction'!E72)</f>
        <v/>
      </c>
      <c r="F72" s="23"/>
      <c r="G72" s="28" t="str">
        <f t="shared" si="14"/>
        <v/>
      </c>
      <c r="H72" s="28" t="str">
        <f>IF(A72="","",COUNTIF($G$2:G72,G72))</f>
        <v/>
      </c>
      <c r="I72" s="28" t="str">
        <f t="shared" si="15"/>
        <v/>
      </c>
      <c r="J72" s="28" t="str">
        <f>IF(G72="","",IF(COUNTIF($G$2:G72,G72)&gt;1,SUMIF($A$2:A72,G72,$C$2:C72),C72))</f>
        <v/>
      </c>
      <c r="K72" s="45" t="str">
        <f>IF(G72="","",IF(COUNTIF($G$2:G72,G72)&gt;1,SUMIF($A$2:A72,G72,$D$2:D72),D72) +SUMIF($G$2:G72,G72,$M$2:M72))</f>
        <v/>
      </c>
      <c r="L72" s="45" t="str">
        <f t="shared" si="16"/>
        <v/>
      </c>
      <c r="M72" s="46" t="str">
        <f>IF(G72="","",IF(B72 = "BUY", 0,(E72-VLOOKUP(CONCATENATE(G72,(H72-1)),$I$2:L71,4,FALSE))*-C72))</f>
        <v/>
      </c>
    </row>
    <row r="73" spans="1:13" ht="15" thickBot="1" x14ac:dyDescent="0.35">
      <c r="A73" s="27" t="str">
        <f>IF('Australian MTransaction'!A73= "","",'Australian MTransaction'!A73)</f>
        <v/>
      </c>
      <c r="B73" s="28" t="str">
        <f>IF('Australian MTransaction'!B73= "","",'Australian MTransaction'!B73)</f>
        <v/>
      </c>
      <c r="C73" s="28" t="str">
        <f>IF('Australian MTransaction'!C73= "","",IF(B73="BUY",'Australian MTransaction'!C73,-'Australian MTransaction'!C73))</f>
        <v/>
      </c>
      <c r="D73" s="28" t="str">
        <f>IF('Australian MTransaction'!D73 = "","",IF($B73 = "BUY", 'Australian MTransaction'!D73,-'Australian MTransaction'!D73))</f>
        <v/>
      </c>
      <c r="E73" s="28" t="str">
        <f>IF('Australian MTransaction'!E73= "","",'Australian MTransaction'!E73)</f>
        <v/>
      </c>
      <c r="F73" s="23"/>
      <c r="G73" s="28" t="str">
        <f t="shared" si="14"/>
        <v/>
      </c>
      <c r="H73" s="28" t="str">
        <f>IF(A73="","",COUNTIF($G$2:G73,G73))</f>
        <v/>
      </c>
      <c r="I73" s="28" t="str">
        <f t="shared" si="15"/>
        <v/>
      </c>
      <c r="J73" s="28" t="str">
        <f>IF(G73="","",IF(COUNTIF($G$2:G73,G73)&gt;1,SUMIF($A$2:A73,G73,$C$2:C73),C73))</f>
        <v/>
      </c>
      <c r="K73" s="45" t="str">
        <f>IF(G73="","",IF(COUNTIF($G$2:G73,G73)&gt;1,SUMIF($A$2:A73,G73,$D$2:D73),D73) +SUMIF($G$2:G73,G73,$M$2:M73))</f>
        <v/>
      </c>
      <c r="L73" s="45" t="str">
        <f t="shared" si="16"/>
        <v/>
      </c>
      <c r="M73" s="46" t="str">
        <f>IF(G73="","",IF(B73 = "BUY", 0,(E73-VLOOKUP(CONCATENATE(G73,(H73-1)),$I$2:L72,4,FALSE))*-C73))</f>
        <v/>
      </c>
    </row>
    <row r="74" spans="1:13" ht="15" thickBot="1" x14ac:dyDescent="0.35">
      <c r="A74" s="27" t="str">
        <f>IF('Australian MTransaction'!A74= "","",'Australian MTransaction'!A74)</f>
        <v/>
      </c>
      <c r="B74" s="28" t="str">
        <f>IF('Australian MTransaction'!B74= "","",'Australian MTransaction'!B74)</f>
        <v/>
      </c>
      <c r="C74" s="28" t="str">
        <f>IF('Australian MTransaction'!C74= "","",IF(B74="BUY",'Australian MTransaction'!C74,-'Australian MTransaction'!C74))</f>
        <v/>
      </c>
      <c r="D74" s="28" t="str">
        <f>IF('Australian MTransaction'!D74 = "","",IF($B74 = "BUY", 'Australian MTransaction'!D74,-'Australian MTransaction'!D74))</f>
        <v/>
      </c>
      <c r="E74" s="28" t="str">
        <f>IF('Australian MTransaction'!E74= "","",'Australian MTransaction'!E74)</f>
        <v/>
      </c>
      <c r="F74" s="23"/>
      <c r="G74" s="28" t="str">
        <f t="shared" si="14"/>
        <v/>
      </c>
      <c r="H74" s="28" t="str">
        <f>IF(A74="","",COUNTIF($G$2:G74,G74))</f>
        <v/>
      </c>
      <c r="I74" s="28" t="str">
        <f t="shared" si="15"/>
        <v/>
      </c>
      <c r="J74" s="28" t="str">
        <f>IF(G74="","",IF(COUNTIF($G$2:G74,G74)&gt;1,SUMIF($A$2:A74,G74,$C$2:C74),C74))</f>
        <v/>
      </c>
      <c r="K74" s="45" t="str">
        <f>IF(G74="","",IF(COUNTIF($G$2:G74,G74)&gt;1,SUMIF($A$2:A74,G74,$D$2:D74),D74) +SUMIF($G$2:G74,G74,$M$2:M74))</f>
        <v/>
      </c>
      <c r="L74" s="45" t="str">
        <f t="shared" si="16"/>
        <v/>
      </c>
      <c r="M74" s="46" t="str">
        <f>IF(G74="","",IF(B74 = "BUY", 0,(E74-VLOOKUP(CONCATENATE(G74,(H74-1)),$I$2:L73,4,FALSE))*-C74))</f>
        <v/>
      </c>
    </row>
    <row r="75" spans="1:13" ht="15" thickBot="1" x14ac:dyDescent="0.35">
      <c r="A75" s="27" t="str">
        <f>IF('Australian MTransaction'!A75= "","",'Australian MTransaction'!A75)</f>
        <v/>
      </c>
      <c r="B75" s="28" t="str">
        <f>IF('Australian MTransaction'!B75= "","",'Australian MTransaction'!B75)</f>
        <v/>
      </c>
      <c r="C75" s="28" t="str">
        <f>IF('Australian MTransaction'!C75= "","",IF(B75="BUY",'Australian MTransaction'!C75,-'Australian MTransaction'!C75))</f>
        <v/>
      </c>
      <c r="D75" s="28" t="str">
        <f>IF('Australian MTransaction'!D75 = "","",IF($B75 = "BUY", 'Australian MTransaction'!D75,-'Australian MTransaction'!D75))</f>
        <v/>
      </c>
      <c r="E75" s="28" t="str">
        <f>IF('Australian MTransaction'!E75= "","",'Australian MTransaction'!E75)</f>
        <v/>
      </c>
      <c r="F75" s="23"/>
      <c r="G75" s="28" t="str">
        <f t="shared" si="14"/>
        <v/>
      </c>
      <c r="H75" s="28" t="str">
        <f>IF(A75="","",COUNTIF($G$2:G75,G75))</f>
        <v/>
      </c>
      <c r="I75" s="28" t="str">
        <f t="shared" si="15"/>
        <v/>
      </c>
      <c r="J75" s="28" t="str">
        <f>IF(G75="","",IF(COUNTIF($G$2:G75,G75)&gt;1,SUMIF($A$2:A75,G75,$C$2:C75),C75))</f>
        <v/>
      </c>
      <c r="K75" s="45" t="str">
        <f>IF(G75="","",IF(COUNTIF($G$2:G75,G75)&gt;1,SUMIF($A$2:A75,G75,$D$2:D75),D75) +SUMIF($G$2:G75,G75,$M$2:M75))</f>
        <v/>
      </c>
      <c r="L75" s="45" t="str">
        <f t="shared" si="16"/>
        <v/>
      </c>
      <c r="M75" s="46" t="str">
        <f>IF(G75="","",IF(B75 = "BUY", 0,(E75-VLOOKUP(CONCATENATE(G75,(H75-1)),$I$2:L74,4,FALSE))*-C75))</f>
        <v/>
      </c>
    </row>
    <row r="76" spans="1:13" ht="15" thickBot="1" x14ac:dyDescent="0.35">
      <c r="A76" s="27" t="str">
        <f>IF('Australian MTransaction'!A76= "","",'Australian MTransaction'!A76)</f>
        <v/>
      </c>
      <c r="B76" s="28" t="str">
        <f>IF('Australian MTransaction'!B76= "","",'Australian MTransaction'!B76)</f>
        <v/>
      </c>
      <c r="C76" s="28" t="str">
        <f>IF('Australian MTransaction'!C76= "","",IF(B76="BUY",'Australian MTransaction'!C76,-'Australian MTransaction'!C76))</f>
        <v/>
      </c>
      <c r="D76" s="28" t="str">
        <f>IF('Australian MTransaction'!D76 = "","",IF($B76 = "BUY", 'Australian MTransaction'!D76,-'Australian MTransaction'!D76))</f>
        <v/>
      </c>
      <c r="E76" s="28" t="str">
        <f>IF('Australian MTransaction'!E76= "","",'Australian MTransaction'!E76)</f>
        <v/>
      </c>
      <c r="F76" s="23"/>
      <c r="G76" s="28" t="str">
        <f t="shared" si="14"/>
        <v/>
      </c>
      <c r="H76" s="28" t="str">
        <f>IF(A76="","",COUNTIF($G$2:G76,G76))</f>
        <v/>
      </c>
      <c r="I76" s="28" t="str">
        <f t="shared" si="15"/>
        <v/>
      </c>
      <c r="J76" s="28" t="str">
        <f>IF(G76="","",IF(COUNTIF($G$2:G76,G76)&gt;1,SUMIF($A$2:A76,G76,$C$2:C76),C76))</f>
        <v/>
      </c>
      <c r="K76" s="45" t="str">
        <f>IF(G76="","",IF(COUNTIF($G$2:G76,G76)&gt;1,SUMIF($A$2:A76,G76,$D$2:D76),D76) +SUMIF($G$2:G76,G76,$M$2:M76))</f>
        <v/>
      </c>
      <c r="L76" s="45" t="str">
        <f t="shared" si="16"/>
        <v/>
      </c>
      <c r="M76" s="46" t="str">
        <f>IF(G76="","",IF(B76 = "BUY", 0,(E76-VLOOKUP(CONCATENATE(G76,(H76-1)),$I$2:L75,4,FALSE))*-C76))</f>
        <v/>
      </c>
    </row>
    <row r="77" spans="1:13" ht="15" thickBot="1" x14ac:dyDescent="0.35">
      <c r="A77" s="27" t="str">
        <f>IF('Australian MTransaction'!A77= "","",'Australian MTransaction'!A77)</f>
        <v/>
      </c>
      <c r="B77" s="28" t="str">
        <f>IF('Australian MTransaction'!B77= "","",'Australian MTransaction'!B77)</f>
        <v/>
      </c>
      <c r="C77" s="28" t="str">
        <f>IF('Australian MTransaction'!C77= "","",IF(B77="BUY",'Australian MTransaction'!C77,-'Australian MTransaction'!C77))</f>
        <v/>
      </c>
      <c r="D77" s="28" t="str">
        <f>IF('Australian MTransaction'!D77 = "","",IF($B77 = "BUY", 'Australian MTransaction'!D77,-'Australian MTransaction'!D77))</f>
        <v/>
      </c>
      <c r="E77" s="28" t="str">
        <f>IF('Australian MTransaction'!E77= "","",'Australian MTransaction'!E77)</f>
        <v/>
      </c>
      <c r="F77" s="23"/>
      <c r="G77" s="28" t="str">
        <f t="shared" si="14"/>
        <v/>
      </c>
      <c r="H77" s="28" t="str">
        <f>IF(A77="","",COUNTIF($G$2:G77,G77))</f>
        <v/>
      </c>
      <c r="I77" s="28" t="str">
        <f t="shared" si="15"/>
        <v/>
      </c>
      <c r="J77" s="28" t="str">
        <f>IF(G77="","",IF(COUNTIF($G$2:G77,G77)&gt;1,SUMIF($A$2:A77,G77,$C$2:C77),C77))</f>
        <v/>
      </c>
      <c r="K77" s="45" t="str">
        <f>IF(G77="","",IF(COUNTIF($G$2:G77,G77)&gt;1,SUMIF($A$2:A77,G77,$D$2:D77),D77) +SUMIF($G$2:G77,G77,$M$2:M77))</f>
        <v/>
      </c>
      <c r="L77" s="45" t="str">
        <f t="shared" si="16"/>
        <v/>
      </c>
      <c r="M77" s="46" t="str">
        <f>IF(G77="","",IF(B77 = "BUY", 0,(E77-VLOOKUP(CONCATENATE(G77,(H77-1)),$I$2:L76,4,FALSE))*-C77))</f>
        <v/>
      </c>
    </row>
    <row r="78" spans="1:13" ht="15" thickBot="1" x14ac:dyDescent="0.35">
      <c r="A78" s="27" t="str">
        <f>IF('Australian MTransaction'!A78= "","",'Australian MTransaction'!A78)</f>
        <v/>
      </c>
      <c r="B78" s="28" t="str">
        <f>IF('Australian MTransaction'!B78= "","",'Australian MTransaction'!B78)</f>
        <v/>
      </c>
      <c r="C78" s="28" t="str">
        <f>IF('Australian MTransaction'!C78= "","",IF(B78="BUY",'Australian MTransaction'!C78,-'Australian MTransaction'!C78))</f>
        <v/>
      </c>
      <c r="D78" s="28" t="str">
        <f>IF('Australian MTransaction'!D78 = "","",IF($B78 = "BUY", 'Australian MTransaction'!D78,-'Australian MTransaction'!D78))</f>
        <v/>
      </c>
      <c r="E78" s="28" t="str">
        <f>IF('Australian MTransaction'!E78= "","",'Australian MTransaction'!E78)</f>
        <v/>
      </c>
      <c r="F78" s="23"/>
      <c r="G78" s="28" t="str">
        <f t="shared" si="14"/>
        <v/>
      </c>
      <c r="H78" s="28" t="str">
        <f>IF(A78="","",COUNTIF($G$2:G78,G78))</f>
        <v/>
      </c>
      <c r="I78" s="28" t="str">
        <f t="shared" si="15"/>
        <v/>
      </c>
      <c r="J78" s="28" t="str">
        <f>IF(G78="","",IF(COUNTIF($G$2:G78,G78)&gt;1,SUMIF($A$2:A78,G78,$C$2:C78),C78))</f>
        <v/>
      </c>
      <c r="K78" s="45" t="str">
        <f>IF(G78="","",IF(COUNTIF($G$2:G78,G78)&gt;1,SUMIF($A$2:A78,G78,$D$2:D78),D78) +SUMIF($G$2:G78,G78,$M$2:M78))</f>
        <v/>
      </c>
      <c r="L78" s="45" t="str">
        <f t="shared" si="16"/>
        <v/>
      </c>
      <c r="M78" s="46" t="str">
        <f>IF(G78="","",IF(B78 = "BUY", 0,(E78-VLOOKUP(CONCATENATE(G78,(H78-1)),$I$2:L77,4,FALSE))*-C78))</f>
        <v/>
      </c>
    </row>
    <row r="79" spans="1:13" ht="15" thickBot="1" x14ac:dyDescent="0.35">
      <c r="A79" s="27" t="str">
        <f>IF('Australian MTransaction'!A79= "","",'Australian MTransaction'!A79)</f>
        <v/>
      </c>
      <c r="B79" s="28" t="str">
        <f>IF('Australian MTransaction'!B79= "","",'Australian MTransaction'!B79)</f>
        <v/>
      </c>
      <c r="C79" s="28" t="str">
        <f>IF('Australian MTransaction'!C79= "","",IF(B79="BUY",'Australian MTransaction'!C79,-'Australian MTransaction'!C79))</f>
        <v/>
      </c>
      <c r="D79" s="28" t="str">
        <f>IF('Australian MTransaction'!D79 = "","",IF($B79 = "BUY", 'Australian MTransaction'!D79,-'Australian MTransaction'!D79))</f>
        <v/>
      </c>
      <c r="E79" s="28" t="str">
        <f>IF('Australian MTransaction'!E79= "","",'Australian MTransaction'!E79)</f>
        <v/>
      </c>
      <c r="F79" s="23"/>
      <c r="G79" s="28" t="str">
        <f t="shared" si="14"/>
        <v/>
      </c>
      <c r="H79" s="28" t="str">
        <f>IF(A79="","",COUNTIF($G$2:G79,G79))</f>
        <v/>
      </c>
      <c r="I79" s="28" t="str">
        <f t="shared" si="15"/>
        <v/>
      </c>
      <c r="J79" s="28" t="str">
        <f>IF(G79="","",IF(COUNTIF($G$2:G79,G79)&gt;1,SUMIF($A$2:A79,G79,$C$2:C79),C79))</f>
        <v/>
      </c>
      <c r="K79" s="45" t="str">
        <f>IF(G79="","",IF(COUNTIF($G$2:G79,G79)&gt;1,SUMIF($A$2:A79,G79,$D$2:D79),D79) +SUMIF($G$2:G79,G79,$M$2:M79))</f>
        <v/>
      </c>
      <c r="L79" s="45" t="str">
        <f t="shared" si="16"/>
        <v/>
      </c>
      <c r="M79" s="46" t="str">
        <f>IF(G79="","",IF(B79 = "BUY", 0,(E79-VLOOKUP(CONCATENATE(G79,(H79-1)),$I$2:L78,4,FALSE))*-C79))</f>
        <v/>
      </c>
    </row>
    <row r="80" spans="1:13" ht="15" thickBot="1" x14ac:dyDescent="0.35">
      <c r="A80" s="27" t="str">
        <f>IF('Australian MTransaction'!A80= "","",'Australian MTransaction'!A80)</f>
        <v/>
      </c>
      <c r="B80" s="28" t="str">
        <f>IF('Australian MTransaction'!B80= "","",'Australian MTransaction'!B80)</f>
        <v/>
      </c>
      <c r="C80" s="28" t="str">
        <f>IF('Australian MTransaction'!C80= "","",IF(B80="BUY",'Australian MTransaction'!C80,-'Australian MTransaction'!C80))</f>
        <v/>
      </c>
      <c r="D80" s="28" t="str">
        <f>IF('Australian MTransaction'!D80 = "","",IF($B80 = "BUY", 'Australian MTransaction'!D80,-'Australian MTransaction'!D80))</f>
        <v/>
      </c>
      <c r="E80" s="28" t="str">
        <f>IF('Australian MTransaction'!E80= "","",'Australian MTransaction'!E80)</f>
        <v/>
      </c>
      <c r="F80" s="23"/>
      <c r="G80" s="28" t="str">
        <f t="shared" si="14"/>
        <v/>
      </c>
      <c r="H80" s="28" t="str">
        <f>IF(A80="","",COUNTIF($G$2:G80,G80))</f>
        <v/>
      </c>
      <c r="I80" s="28" t="str">
        <f t="shared" si="15"/>
        <v/>
      </c>
      <c r="J80" s="28" t="str">
        <f>IF(G80="","",IF(COUNTIF($G$2:G80,G80)&gt;1,SUMIF($A$2:A80,G80,$C$2:C80),C80))</f>
        <v/>
      </c>
      <c r="K80" s="45" t="str">
        <f>IF(G80="","",IF(COUNTIF($G$2:G80,G80)&gt;1,SUMIF($A$2:A80,G80,$D$2:D80),D80) +SUMIF($G$2:G80,G80,$M$2:M80))</f>
        <v/>
      </c>
      <c r="L80" s="45" t="str">
        <f t="shared" si="16"/>
        <v/>
      </c>
      <c r="M80" s="46" t="str">
        <f>IF(G80="","",IF(B80 = "BUY", 0,(E80-VLOOKUP(CONCATENATE(G80,(H80-1)),$I$2:L79,4,FALSE))*-C80))</f>
        <v/>
      </c>
    </row>
    <row r="81" spans="1:13" ht="15" thickBot="1" x14ac:dyDescent="0.35">
      <c r="A81" s="27" t="str">
        <f>IF('Australian MTransaction'!A81= "","",'Australian MTransaction'!A81)</f>
        <v/>
      </c>
      <c r="B81" s="28" t="str">
        <f>IF('Australian MTransaction'!B81= "","",'Australian MTransaction'!B81)</f>
        <v/>
      </c>
      <c r="C81" s="28" t="str">
        <f>IF('Australian MTransaction'!C81= "","",IF(B81="BUY",'Australian MTransaction'!C81,-'Australian MTransaction'!C81))</f>
        <v/>
      </c>
      <c r="D81" s="28" t="str">
        <f>IF('Australian MTransaction'!D81 = "","",IF($B81 = "BUY", 'Australian MTransaction'!D81,-'Australian MTransaction'!D81))</f>
        <v/>
      </c>
      <c r="E81" s="28" t="str">
        <f>IF('Australian MTransaction'!E81= "","",'Australian MTransaction'!E81)</f>
        <v/>
      </c>
      <c r="F81" s="23"/>
      <c r="G81" s="28" t="str">
        <f t="shared" si="14"/>
        <v/>
      </c>
      <c r="H81" s="28" t="str">
        <f>IF(A81="","",COUNTIF($G$2:G81,G81))</f>
        <v/>
      </c>
      <c r="I81" s="28" t="str">
        <f t="shared" si="15"/>
        <v/>
      </c>
      <c r="J81" s="28" t="str">
        <f>IF(G81="","",IF(COUNTIF($G$2:G81,G81)&gt;1,SUMIF($A$2:A81,G81,$C$2:C81),C81))</f>
        <v/>
      </c>
      <c r="K81" s="45" t="str">
        <f>IF(G81="","",IF(COUNTIF($G$2:G81,G81)&gt;1,SUMIF($A$2:A81,G81,$D$2:D81),D81) +SUMIF($G$2:G81,G81,$M$2:M81))</f>
        <v/>
      </c>
      <c r="L81" s="45" t="str">
        <f t="shared" si="16"/>
        <v/>
      </c>
      <c r="M81" s="46" t="str">
        <f>IF(G81="","",IF(B81 = "BUY", 0,(E81-VLOOKUP(CONCATENATE(G81,(H81-1)),$I$2:L80,4,FALSE))*-C81))</f>
        <v/>
      </c>
    </row>
    <row r="82" spans="1:13" ht="15" thickBot="1" x14ac:dyDescent="0.35">
      <c r="A82" s="27" t="str">
        <f>IF('Australian MTransaction'!A82= "","",'Australian MTransaction'!A82)</f>
        <v/>
      </c>
      <c r="B82" s="28" t="str">
        <f>IF('Australian MTransaction'!B82= "","",'Australian MTransaction'!B82)</f>
        <v/>
      </c>
      <c r="C82" s="28" t="str">
        <f>IF('Australian MTransaction'!C82= "","",IF(B82="BUY",'Australian MTransaction'!C82,-'Australian MTransaction'!C82))</f>
        <v/>
      </c>
      <c r="D82" s="28" t="str">
        <f>IF('Australian MTransaction'!D82 = "","",IF($B82 = "BUY", 'Australian MTransaction'!D82,-'Australian MTransaction'!D82))</f>
        <v/>
      </c>
      <c r="E82" s="28" t="str">
        <f>IF('Australian MTransaction'!E82= "","",'Australian MTransaction'!E82)</f>
        <v/>
      </c>
      <c r="F82" s="23"/>
      <c r="G82" s="28" t="str">
        <f t="shared" si="14"/>
        <v/>
      </c>
      <c r="H82" s="28" t="str">
        <f>IF(A82="","",COUNTIF($G$2:G82,G82))</f>
        <v/>
      </c>
      <c r="I82" s="28" t="str">
        <f t="shared" si="15"/>
        <v/>
      </c>
      <c r="J82" s="28" t="str">
        <f>IF(G82="","",IF(COUNTIF($G$2:G82,G82)&gt;1,SUMIF($A$2:A82,G82,$C$2:C82),C82))</f>
        <v/>
      </c>
      <c r="K82" s="45" t="str">
        <f>IF(G82="","",IF(COUNTIF($G$2:G82,G82)&gt;1,SUMIF($A$2:A82,G82,$D$2:D82),D82) +SUMIF($G$2:G82,G82,$M$2:M82))</f>
        <v/>
      </c>
      <c r="L82" s="45" t="str">
        <f t="shared" si="16"/>
        <v/>
      </c>
      <c r="M82" s="46" t="str">
        <f>IF(G82="","",IF(B82 = "BUY", 0,(E82-VLOOKUP(CONCATENATE(G82,(H82-1)),$I$2:L81,4,FALSE))*-C82))</f>
        <v/>
      </c>
    </row>
    <row r="83" spans="1:13" ht="15" thickBot="1" x14ac:dyDescent="0.35">
      <c r="A83" s="27" t="str">
        <f>IF('Australian MTransaction'!A83= "","",'Australian MTransaction'!A83)</f>
        <v/>
      </c>
      <c r="B83" s="28" t="str">
        <f>IF('Australian MTransaction'!B83= "","",'Australian MTransaction'!B83)</f>
        <v/>
      </c>
      <c r="C83" s="28" t="str">
        <f>IF('Australian MTransaction'!C83= "","",IF(B83="BUY",'Australian MTransaction'!C83,-'Australian MTransaction'!C83))</f>
        <v/>
      </c>
      <c r="D83" s="28" t="str">
        <f>IF('Australian MTransaction'!D83 = "","",IF($B83 = "BUY", 'Australian MTransaction'!D83,-'Australian MTransaction'!D83))</f>
        <v/>
      </c>
      <c r="E83" s="28" t="str">
        <f>IF('Australian MTransaction'!E83= "","",'Australian MTransaction'!E83)</f>
        <v/>
      </c>
      <c r="F83" s="23"/>
      <c r="G83" s="28" t="str">
        <f t="shared" si="14"/>
        <v/>
      </c>
      <c r="H83" s="28" t="str">
        <f>IF(A83="","",COUNTIF($G$2:G83,G83))</f>
        <v/>
      </c>
      <c r="I83" s="28" t="str">
        <f t="shared" si="15"/>
        <v/>
      </c>
      <c r="J83" s="28" t="str">
        <f>IF(G83="","",IF(COUNTIF($G$2:G83,G83)&gt;1,SUMIF($A$2:A83,G83,$C$2:C83),C83))</f>
        <v/>
      </c>
      <c r="K83" s="45" t="str">
        <f>IF(G83="","",IF(COUNTIF($G$2:G83,G83)&gt;1,SUMIF($A$2:A83,G83,$D$2:D83),D83) +SUMIF($G$2:G83,G83,$M$2:M83))</f>
        <v/>
      </c>
      <c r="L83" s="45" t="str">
        <f t="shared" si="16"/>
        <v/>
      </c>
      <c r="M83" s="46" t="str">
        <f>IF(G83="","",IF(B83 = "BUY", 0,(E83-VLOOKUP(CONCATENATE(G83,(H83-1)),$I$2:L82,4,FALSE))*-C83))</f>
        <v/>
      </c>
    </row>
    <row r="84" spans="1:13" ht="15" thickBot="1" x14ac:dyDescent="0.35">
      <c r="A84" s="27" t="str">
        <f>IF('Australian MTransaction'!A84= "","",'Australian MTransaction'!A84)</f>
        <v/>
      </c>
      <c r="B84" s="28" t="str">
        <f>IF('Australian MTransaction'!B84= "","",'Australian MTransaction'!B84)</f>
        <v/>
      </c>
      <c r="C84" s="28" t="str">
        <f>IF('Australian MTransaction'!C84= "","",IF(B84="BUY",'Australian MTransaction'!C84,-'Australian MTransaction'!C84))</f>
        <v/>
      </c>
      <c r="D84" s="28" t="str">
        <f>IF('Australian MTransaction'!D84 = "","",IF($B84 = "BUY", 'Australian MTransaction'!D84,-'Australian MTransaction'!D84))</f>
        <v/>
      </c>
      <c r="E84" s="28" t="str">
        <f>IF('Australian MTransaction'!E84= "","",'Australian MTransaction'!E84)</f>
        <v/>
      </c>
      <c r="F84" s="23"/>
      <c r="G84" s="28" t="str">
        <f t="shared" si="14"/>
        <v/>
      </c>
      <c r="H84" s="28" t="str">
        <f>IF(A84="","",COUNTIF($G$2:G84,G84))</f>
        <v/>
      </c>
      <c r="I84" s="28" t="str">
        <f t="shared" si="15"/>
        <v/>
      </c>
      <c r="J84" s="28" t="str">
        <f>IF(G84="","",IF(COUNTIF($G$2:G84,G84)&gt;1,SUMIF($A$2:A84,G84,$C$2:C84),C84))</f>
        <v/>
      </c>
      <c r="K84" s="45" t="str">
        <f>IF(G84="","",IF(COUNTIF($G$2:G84,G84)&gt;1,SUMIF($A$2:A84,G84,$D$2:D84),D84) +SUMIF($G$2:G84,G84,$M$2:M84))</f>
        <v/>
      </c>
      <c r="L84" s="45" t="str">
        <f t="shared" si="16"/>
        <v/>
      </c>
      <c r="M84" s="46" t="str">
        <f>IF(G84="","",IF(B84 = "BUY", 0,(E84-VLOOKUP(CONCATENATE(G84,(H84-1)),$I$2:L83,4,FALSE))*-C84))</f>
        <v/>
      </c>
    </row>
    <row r="85" spans="1:13" ht="15" thickBot="1" x14ac:dyDescent="0.35">
      <c r="A85" s="27" t="str">
        <f>IF('Australian MTransaction'!A85= "","",'Australian MTransaction'!A85)</f>
        <v/>
      </c>
      <c r="B85" s="28" t="str">
        <f>IF('Australian MTransaction'!B85= "","",'Australian MTransaction'!B85)</f>
        <v/>
      </c>
      <c r="C85" s="28" t="str">
        <f>IF('Australian MTransaction'!C85= "","",IF(B85="BUY",'Australian MTransaction'!C85,-'Australian MTransaction'!C85))</f>
        <v/>
      </c>
      <c r="D85" s="28" t="str">
        <f>IF('Australian MTransaction'!D85 = "","",IF($B85 = "BUY", 'Australian MTransaction'!D85,-'Australian MTransaction'!D85))</f>
        <v/>
      </c>
      <c r="E85" s="28" t="str">
        <f>IF('Australian MTransaction'!E85= "","",'Australian MTransaction'!E85)</f>
        <v/>
      </c>
      <c r="F85" s="23"/>
      <c r="G85" s="28" t="str">
        <f t="shared" si="14"/>
        <v/>
      </c>
      <c r="H85" s="28" t="str">
        <f>IF(A85="","",COUNTIF($G$2:G85,G85))</f>
        <v/>
      </c>
      <c r="I85" s="28" t="str">
        <f t="shared" si="15"/>
        <v/>
      </c>
      <c r="J85" s="28" t="str">
        <f>IF(G85="","",IF(COUNTIF($G$2:G85,G85)&gt;1,SUMIF($A$2:A85,G85,$C$2:C85),C85))</f>
        <v/>
      </c>
      <c r="K85" s="45" t="str">
        <f>IF(G85="","",IF(COUNTIF($G$2:G85,G85)&gt;1,SUMIF($A$2:A85,G85,$D$2:D85),D85) +SUMIF($G$2:G85,G85,$M$2:M85))</f>
        <v/>
      </c>
      <c r="L85" s="45" t="str">
        <f t="shared" si="16"/>
        <v/>
      </c>
      <c r="M85" s="46" t="str">
        <f>IF(G85="","",IF(B85 = "BUY", 0,(E85-VLOOKUP(CONCATENATE(G85,(H85-1)),$I$2:L84,4,FALSE))*-C85))</f>
        <v/>
      </c>
    </row>
    <row r="86" spans="1:13" ht="15" thickBot="1" x14ac:dyDescent="0.35">
      <c r="A86" s="27" t="str">
        <f>IF('Australian MTransaction'!A86= "","",'Australian MTransaction'!A86)</f>
        <v/>
      </c>
      <c r="B86" s="28" t="str">
        <f>IF('Australian MTransaction'!B86= "","",'Australian MTransaction'!B86)</f>
        <v/>
      </c>
      <c r="C86" s="28" t="str">
        <f>IF('Australian MTransaction'!C86= "","",IF(B86="BUY",'Australian MTransaction'!C86,-'Australian MTransaction'!C86))</f>
        <v/>
      </c>
      <c r="D86" s="28" t="str">
        <f>IF('Australian MTransaction'!D86 = "","",IF($B86 = "BUY", 'Australian MTransaction'!D86,-'Australian MTransaction'!D86))</f>
        <v/>
      </c>
      <c r="E86" s="28" t="str">
        <f>IF('Australian MTransaction'!E86= "","",'Australian MTransaction'!E86)</f>
        <v/>
      </c>
      <c r="F86" s="23"/>
      <c r="G86" s="28" t="str">
        <f t="shared" si="14"/>
        <v/>
      </c>
      <c r="H86" s="28" t="str">
        <f>IF(A86="","",COUNTIF($G$2:G86,G86))</f>
        <v/>
      </c>
      <c r="I86" s="28" t="str">
        <f t="shared" si="15"/>
        <v/>
      </c>
      <c r="J86" s="28" t="str">
        <f>IF(G86="","",IF(COUNTIF($G$2:G86,G86)&gt;1,SUMIF($A$2:A86,G86,$C$2:C86),C86))</f>
        <v/>
      </c>
      <c r="K86" s="45" t="str">
        <f>IF(G86="","",IF(COUNTIF($G$2:G86,G86)&gt;1,SUMIF($A$2:A86,G86,$D$2:D86),D86) +SUMIF($G$2:G86,G86,$M$2:M86))</f>
        <v/>
      </c>
      <c r="L86" s="45" t="str">
        <f t="shared" si="16"/>
        <v/>
      </c>
      <c r="M86" s="46" t="str">
        <f>IF(G86="","",IF(B86 = "BUY", 0,(E86-VLOOKUP(CONCATENATE(G86,(H86-1)),$I$2:L85,4,FALSE))*-C86))</f>
        <v/>
      </c>
    </row>
    <row r="87" spans="1:13" ht="15" thickBot="1" x14ac:dyDescent="0.35">
      <c r="A87" s="27" t="str">
        <f>IF('Australian MTransaction'!A87= "","",'Australian MTransaction'!A87)</f>
        <v/>
      </c>
      <c r="B87" s="28" t="str">
        <f>IF('Australian MTransaction'!B87= "","",'Australian MTransaction'!B87)</f>
        <v/>
      </c>
      <c r="C87" s="28" t="str">
        <f>IF('Australian MTransaction'!C87= "","",IF(B87="BUY",'Australian MTransaction'!C87,-'Australian MTransaction'!C87))</f>
        <v/>
      </c>
      <c r="D87" s="28" t="str">
        <f>IF('Australian MTransaction'!D87 = "","",IF($B87 = "BUY", 'Australian MTransaction'!D87,-'Australian MTransaction'!D87))</f>
        <v/>
      </c>
      <c r="E87" s="28" t="str">
        <f>IF('Australian MTransaction'!E87= "","",'Australian MTransaction'!E87)</f>
        <v/>
      </c>
      <c r="F87" s="23"/>
      <c r="G87" s="28" t="str">
        <f t="shared" si="14"/>
        <v/>
      </c>
      <c r="H87" s="28" t="str">
        <f>IF(A87="","",COUNTIF($G$2:G87,G87))</f>
        <v/>
      </c>
      <c r="I87" s="28" t="str">
        <f t="shared" si="15"/>
        <v/>
      </c>
      <c r="J87" s="28" t="str">
        <f>IF(G87="","",IF(COUNTIF($G$2:G87,G87)&gt;1,SUMIF($A$2:A87,G87,$C$2:C87),C87))</f>
        <v/>
      </c>
      <c r="K87" s="45" t="str">
        <f>IF(G87="","",IF(COUNTIF($G$2:G87,G87)&gt;1,SUMIF($A$2:A87,G87,$D$2:D87),D87) +SUMIF($G$2:G87,G87,$M$2:M87))</f>
        <v/>
      </c>
      <c r="L87" s="45" t="str">
        <f t="shared" si="16"/>
        <v/>
      </c>
      <c r="M87" s="46" t="str">
        <f>IF(G87="","",IF(B87 = "BUY", 0,(E87-VLOOKUP(CONCATENATE(G87,(H87-1)),$I$2:L86,4,FALSE))*-C87))</f>
        <v/>
      </c>
    </row>
    <row r="88" spans="1:13" ht="15" thickBot="1" x14ac:dyDescent="0.35">
      <c r="A88" s="27" t="str">
        <f>IF('Australian MTransaction'!A88= "","",'Australian MTransaction'!A88)</f>
        <v/>
      </c>
      <c r="B88" s="28" t="str">
        <f>IF('Australian MTransaction'!B88= "","",'Australian MTransaction'!B88)</f>
        <v/>
      </c>
      <c r="C88" s="28" t="str">
        <f>IF('Australian MTransaction'!C88= "","",IF(B88="BUY",'Australian MTransaction'!C88,-'Australian MTransaction'!C88))</f>
        <v/>
      </c>
      <c r="D88" s="28" t="str">
        <f>IF('Australian MTransaction'!D88 = "","",IF($B88 = "BUY", 'Australian MTransaction'!D88,-'Australian MTransaction'!D88))</f>
        <v/>
      </c>
      <c r="E88" s="28" t="str">
        <f>IF('Australian MTransaction'!E88= "","",'Australian MTransaction'!E88)</f>
        <v/>
      </c>
      <c r="F88" s="23"/>
      <c r="G88" s="28" t="str">
        <f t="shared" si="14"/>
        <v/>
      </c>
      <c r="H88" s="28" t="str">
        <f>IF(A88="","",COUNTIF($G$2:G88,G88))</f>
        <v/>
      </c>
      <c r="I88" s="28" t="str">
        <f t="shared" si="15"/>
        <v/>
      </c>
      <c r="J88" s="28" t="str">
        <f>IF(G88="","",IF(COUNTIF($G$2:G88,G88)&gt;1,SUMIF($A$2:A88,G88,$C$2:C88),C88))</f>
        <v/>
      </c>
      <c r="K88" s="45" t="str">
        <f>IF(G88="","",IF(COUNTIF($G$2:G88,G88)&gt;1,SUMIF($A$2:A88,G88,$D$2:D88),D88) +SUMIF($G$2:G88,G88,$M$2:M88))</f>
        <v/>
      </c>
      <c r="L88" s="45" t="str">
        <f t="shared" si="16"/>
        <v/>
      </c>
      <c r="M88" s="46" t="str">
        <f>IF(G88="","",IF(B88 = "BUY", 0,(E88-VLOOKUP(CONCATENATE(G88,(H88-1)),$I$2:L87,4,FALSE))*-C88))</f>
        <v/>
      </c>
    </row>
    <row r="89" spans="1:13" ht="15" thickBot="1" x14ac:dyDescent="0.35">
      <c r="A89" s="27" t="str">
        <f>IF('Australian MTransaction'!A89= "","",'Australian MTransaction'!A89)</f>
        <v/>
      </c>
      <c r="B89" s="28" t="str">
        <f>IF('Australian MTransaction'!B89= "","",'Australian MTransaction'!B89)</f>
        <v/>
      </c>
      <c r="C89" s="28" t="str">
        <f>IF('Australian MTransaction'!C89= "","",IF(B89="BUY",'Australian MTransaction'!C89,-'Australian MTransaction'!C89))</f>
        <v/>
      </c>
      <c r="D89" s="28" t="str">
        <f>IF('Australian MTransaction'!D89 = "","",IF($B89 = "BUY", 'Australian MTransaction'!D89,-'Australian MTransaction'!D89))</f>
        <v/>
      </c>
      <c r="E89" s="28" t="str">
        <f>IF('Australian MTransaction'!E89= "","",'Australian MTransaction'!E89)</f>
        <v/>
      </c>
      <c r="F89" s="23"/>
      <c r="G89" s="28" t="str">
        <f t="shared" si="14"/>
        <v/>
      </c>
      <c r="H89" s="28" t="str">
        <f>IF(A89="","",COUNTIF($G$2:G89,G89))</f>
        <v/>
      </c>
      <c r="I89" s="28" t="str">
        <f t="shared" si="15"/>
        <v/>
      </c>
      <c r="J89" s="28" t="str">
        <f>IF(G89="","",IF(COUNTIF($G$2:G89,G89)&gt;1,SUMIF($A$2:A89,G89,$C$2:C89),C89))</f>
        <v/>
      </c>
      <c r="K89" s="45" t="str">
        <f>IF(G89="","",IF(COUNTIF($G$2:G89,G89)&gt;1,SUMIF($A$2:A89,G89,$D$2:D89),D89) +SUMIF($G$2:G89,G89,$M$2:M89))</f>
        <v/>
      </c>
      <c r="L89" s="45" t="str">
        <f t="shared" si="16"/>
        <v/>
      </c>
      <c r="M89" s="46" t="str">
        <f>IF(G89="","",IF(B89 = "BUY", 0,(E89-VLOOKUP(CONCATENATE(G89,(H89-1)),$I$2:L88,4,FALSE))*-C89))</f>
        <v/>
      </c>
    </row>
    <row r="90" spans="1:13" ht="15" thickBot="1" x14ac:dyDescent="0.35">
      <c r="A90" s="27" t="str">
        <f>IF('Australian MTransaction'!A90= "","",'Australian MTransaction'!A90)</f>
        <v/>
      </c>
      <c r="B90" s="28" t="str">
        <f>IF('Australian MTransaction'!B90= "","",'Australian MTransaction'!B90)</f>
        <v/>
      </c>
      <c r="C90" s="28" t="str">
        <f>IF('Australian MTransaction'!C90= "","",IF(B90="BUY",'Australian MTransaction'!C90,-'Australian MTransaction'!C90))</f>
        <v/>
      </c>
      <c r="D90" s="28" t="str">
        <f>IF('Australian MTransaction'!D90 = "","",IF($B90 = "BUY", 'Australian MTransaction'!D90,-'Australian MTransaction'!D90))</f>
        <v/>
      </c>
      <c r="E90" s="28" t="str">
        <f>IF('Australian MTransaction'!E90= "","",'Australian MTransaction'!E90)</f>
        <v/>
      </c>
      <c r="F90" s="23"/>
      <c r="G90" s="28" t="str">
        <f t="shared" si="14"/>
        <v/>
      </c>
      <c r="H90" s="28" t="str">
        <f>IF(A90="","",COUNTIF($G$2:G90,G90))</f>
        <v/>
      </c>
      <c r="I90" s="28" t="str">
        <f t="shared" si="15"/>
        <v/>
      </c>
      <c r="J90" s="28" t="str">
        <f>IF(G90="","",IF(COUNTIF($G$2:G90,G90)&gt;1,SUMIF($A$2:A90,G90,$C$2:C90),C90))</f>
        <v/>
      </c>
      <c r="K90" s="45" t="str">
        <f>IF(G90="","",IF(COUNTIF($G$2:G90,G90)&gt;1,SUMIF($A$2:A90,G90,$D$2:D90),D90) +SUMIF($G$2:G90,G90,$M$2:M90))</f>
        <v/>
      </c>
      <c r="L90" s="45" t="str">
        <f t="shared" si="16"/>
        <v/>
      </c>
      <c r="M90" s="46" t="str">
        <f>IF(G90="","",IF(B90 = "BUY", 0,(E90-VLOOKUP(CONCATENATE(G90,(H90-1)),$I$2:L89,4,FALSE))*-C90))</f>
        <v/>
      </c>
    </row>
    <row r="91" spans="1:13" ht="15" thickBot="1" x14ac:dyDescent="0.35">
      <c r="A91" s="27" t="str">
        <f>IF('Australian MTransaction'!A91= "","",'Australian MTransaction'!A91)</f>
        <v/>
      </c>
      <c r="B91" s="28" t="str">
        <f>IF('Australian MTransaction'!B91= "","",'Australian MTransaction'!B91)</f>
        <v/>
      </c>
      <c r="C91" s="28" t="str">
        <f>IF('Australian MTransaction'!C91= "","",IF(B91="BUY",'Australian MTransaction'!C91,-'Australian MTransaction'!C91))</f>
        <v/>
      </c>
      <c r="D91" s="28" t="str">
        <f>IF('Australian MTransaction'!D91 = "","",IF($B91 = "BUY", 'Australian MTransaction'!D91,-'Australian MTransaction'!D91))</f>
        <v/>
      </c>
      <c r="E91" s="28" t="str">
        <f>IF('Australian MTransaction'!E91= "","",'Australian MTransaction'!E91)</f>
        <v/>
      </c>
      <c r="F91" s="23"/>
      <c r="G91" s="28" t="str">
        <f t="shared" si="14"/>
        <v/>
      </c>
      <c r="H91" s="28" t="str">
        <f>IF(A91="","",COUNTIF($G$2:G91,G91))</f>
        <v/>
      </c>
      <c r="I91" s="28" t="str">
        <f t="shared" si="15"/>
        <v/>
      </c>
      <c r="J91" s="28" t="str">
        <f>IF(G91="","",IF(COUNTIF($G$2:G91,G91)&gt;1,SUMIF($A$2:A91,G91,$C$2:C91),C91))</f>
        <v/>
      </c>
      <c r="K91" s="45" t="str">
        <f>IF(G91="","",IF(COUNTIF($G$2:G91,G91)&gt;1,SUMIF($A$2:A91,G91,$D$2:D91),D91) +SUMIF($G$2:G91,G91,$M$2:M91))</f>
        <v/>
      </c>
      <c r="L91" s="45" t="str">
        <f t="shared" si="16"/>
        <v/>
      </c>
      <c r="M91" s="46" t="str">
        <f>IF(G91="","",IF(B91 = "BUY", 0,(E91-VLOOKUP(CONCATENATE(G91,(H91-1)),$I$2:L90,4,FALSE))*-C91))</f>
        <v/>
      </c>
    </row>
    <row r="92" spans="1:13" ht="15" thickBot="1" x14ac:dyDescent="0.35">
      <c r="A92" s="27" t="str">
        <f>IF('Australian MTransaction'!A92= "","",'Australian MTransaction'!A92)</f>
        <v/>
      </c>
      <c r="B92" s="28" t="str">
        <f>IF('Australian MTransaction'!B92= "","",'Australian MTransaction'!B92)</f>
        <v/>
      </c>
      <c r="C92" s="28" t="str">
        <f>IF('Australian MTransaction'!C92= "","",IF(B92="BUY",'Australian MTransaction'!C92,-'Australian MTransaction'!C92))</f>
        <v/>
      </c>
      <c r="D92" s="28" t="str">
        <f>IF('Australian MTransaction'!D92 = "","",IF($B92 = "BUY", 'Australian MTransaction'!D92,-'Australian MTransaction'!D92))</f>
        <v/>
      </c>
      <c r="E92" s="28" t="str">
        <f>IF('Australian MTransaction'!E92= "","",'Australian MTransaction'!E92)</f>
        <v/>
      </c>
      <c r="F92" s="23"/>
      <c r="G92" s="28" t="str">
        <f t="shared" si="14"/>
        <v/>
      </c>
      <c r="H92" s="28" t="str">
        <f>IF(A92="","",COUNTIF($G$2:G92,G92))</f>
        <v/>
      </c>
      <c r="I92" s="28" t="str">
        <f t="shared" si="15"/>
        <v/>
      </c>
      <c r="J92" s="28" t="str">
        <f>IF(G92="","",IF(COUNTIF($G$2:G92,G92)&gt;1,SUMIF($A$2:A92,G92,$C$2:C92),C92))</f>
        <v/>
      </c>
      <c r="K92" s="45" t="str">
        <f>IF(G92="","",IF(COUNTIF($G$2:G92,G92)&gt;1,SUMIF($A$2:A92,G92,$D$2:D92),D92) +SUMIF($G$2:G92,G92,$M$2:M92))</f>
        <v/>
      </c>
      <c r="L92" s="45" t="str">
        <f t="shared" si="16"/>
        <v/>
      </c>
      <c r="M92" s="46" t="str">
        <f>IF(G92="","",IF(B92 = "BUY", 0,(E92-VLOOKUP(CONCATENATE(G92,(H92-1)),$I$2:L91,4,FALSE))*-C92))</f>
        <v/>
      </c>
    </row>
    <row r="93" spans="1:13" ht="15" thickBot="1" x14ac:dyDescent="0.35">
      <c r="A93" s="27" t="str">
        <f>IF('Australian MTransaction'!A93= "","",'Australian MTransaction'!A93)</f>
        <v/>
      </c>
      <c r="B93" s="28" t="str">
        <f>IF('Australian MTransaction'!B93= "","",'Australian MTransaction'!B93)</f>
        <v/>
      </c>
      <c r="C93" s="28" t="str">
        <f>IF('Australian MTransaction'!C93= "","",IF(B93="BUY",'Australian MTransaction'!C93,-'Australian MTransaction'!C93))</f>
        <v/>
      </c>
      <c r="D93" s="28" t="str">
        <f>IF('Australian MTransaction'!D93 = "","",IF($B93 = "BUY", 'Australian MTransaction'!D93,-'Australian MTransaction'!D93))</f>
        <v/>
      </c>
      <c r="E93" s="28" t="str">
        <f>IF('Australian MTransaction'!E93= "","",'Australian MTransaction'!E93)</f>
        <v/>
      </c>
      <c r="F93" s="23"/>
      <c r="G93" s="28" t="str">
        <f t="shared" si="14"/>
        <v/>
      </c>
      <c r="H93" s="28" t="str">
        <f>IF(A93="","",COUNTIF($G$2:G93,G93))</f>
        <v/>
      </c>
      <c r="I93" s="28" t="str">
        <f t="shared" si="15"/>
        <v/>
      </c>
      <c r="J93" s="28" t="str">
        <f>IF(G93="","",IF(COUNTIF($G$2:G93,G93)&gt;1,SUMIF($A$2:A93,G93,$C$2:C93),C93))</f>
        <v/>
      </c>
      <c r="K93" s="45" t="str">
        <f>IF(G93="","",IF(COUNTIF($G$2:G93,G93)&gt;1,SUMIF($A$2:A93,G93,$D$2:D93),D93) +SUMIF($G$2:G93,G93,$M$2:M93))</f>
        <v/>
      </c>
      <c r="L93" s="45" t="str">
        <f t="shared" si="16"/>
        <v/>
      </c>
      <c r="M93" s="46" t="str">
        <f>IF(G93="","",IF(B93 = "BUY", 0,(E93-VLOOKUP(CONCATENATE(G93,(H93-1)),$I$2:L92,4,FALSE))*-C93))</f>
        <v/>
      </c>
    </row>
    <row r="94" spans="1:13" ht="15" thickBot="1" x14ac:dyDescent="0.35">
      <c r="A94" s="27" t="str">
        <f>IF('Australian MTransaction'!A94= "","",'Australian MTransaction'!A94)</f>
        <v/>
      </c>
      <c r="B94" s="28" t="str">
        <f>IF('Australian MTransaction'!B94= "","",'Australian MTransaction'!B94)</f>
        <v/>
      </c>
      <c r="C94" s="28" t="str">
        <f>IF('Australian MTransaction'!C94= "","",IF(B94="BUY",'Australian MTransaction'!C94,-'Australian MTransaction'!C94))</f>
        <v/>
      </c>
      <c r="D94" s="28" t="str">
        <f>IF('Australian MTransaction'!D94 = "","",IF($B94 = "BUY", 'Australian MTransaction'!D94,-'Australian MTransaction'!D94))</f>
        <v/>
      </c>
      <c r="E94" s="28" t="str">
        <f>IF('Australian MTransaction'!E94= "","",'Australian MTransaction'!E94)</f>
        <v/>
      </c>
      <c r="F94" s="23"/>
      <c r="G94" s="28" t="str">
        <f t="shared" si="14"/>
        <v/>
      </c>
      <c r="H94" s="28" t="str">
        <f>IF(A94="","",COUNTIF($G$2:G94,G94))</f>
        <v/>
      </c>
      <c r="I94" s="28" t="str">
        <f t="shared" si="15"/>
        <v/>
      </c>
      <c r="J94" s="28" t="str">
        <f>IF(G94="","",IF(COUNTIF($G$2:G94,G94)&gt;1,SUMIF($A$2:A94,G94,$C$2:C94),C94))</f>
        <v/>
      </c>
      <c r="K94" s="45" t="str">
        <f>IF(G94="","",IF(COUNTIF($G$2:G94,G94)&gt;1,SUMIF($A$2:A94,G94,$D$2:D94),D94) +SUMIF($G$2:G94,G94,$M$2:M94))</f>
        <v/>
      </c>
      <c r="L94" s="45" t="str">
        <f t="shared" si="16"/>
        <v/>
      </c>
      <c r="M94" s="46" t="str">
        <f>IF(G94="","",IF(B94 = "BUY", 0,(E94-VLOOKUP(CONCATENATE(G94,(H94-1)),$I$2:L93,4,FALSE))*-C94))</f>
        <v/>
      </c>
    </row>
    <row r="95" spans="1:13" ht="15" thickBot="1" x14ac:dyDescent="0.35">
      <c r="A95" s="27" t="str">
        <f>IF('Australian MTransaction'!A95= "","",'Australian MTransaction'!A95)</f>
        <v/>
      </c>
      <c r="B95" s="28" t="str">
        <f>IF('Australian MTransaction'!B95= "","",'Australian MTransaction'!B95)</f>
        <v/>
      </c>
      <c r="C95" s="28" t="str">
        <f>IF('Australian MTransaction'!C95= "","",IF(B95="BUY",'Australian MTransaction'!C95,-'Australian MTransaction'!C95))</f>
        <v/>
      </c>
      <c r="D95" s="28" t="str">
        <f>IF('Australian MTransaction'!D95 = "","",IF($B95 = "BUY", 'Australian MTransaction'!D95,-'Australian MTransaction'!D95))</f>
        <v/>
      </c>
      <c r="E95" s="28" t="str">
        <f>IF('Australian MTransaction'!E95= "","",'Australian MTransaction'!E95)</f>
        <v/>
      </c>
      <c r="F95" s="23"/>
      <c r="G95" s="28" t="str">
        <f t="shared" si="14"/>
        <v/>
      </c>
      <c r="H95" s="28" t="str">
        <f>IF(A95="","",COUNTIF($G$2:G95,G95))</f>
        <v/>
      </c>
      <c r="I95" s="28" t="str">
        <f t="shared" si="15"/>
        <v/>
      </c>
      <c r="J95" s="28" t="str">
        <f>IF(G95="","",IF(COUNTIF($G$2:G95,G95)&gt;1,SUMIF($A$2:A95,G95,$C$2:C95),C95))</f>
        <v/>
      </c>
      <c r="K95" s="45" t="str">
        <f>IF(G95="","",IF(COUNTIF($G$2:G95,G95)&gt;1,SUMIF($A$2:A95,G95,$D$2:D95),D95) +SUMIF($G$2:G95,G95,$M$2:M95))</f>
        <v/>
      </c>
      <c r="L95" s="45" t="str">
        <f t="shared" si="16"/>
        <v/>
      </c>
      <c r="M95" s="46" t="str">
        <f>IF(G95="","",IF(B95 = "BUY", 0,(E95-VLOOKUP(CONCATENATE(G95,(H95-1)),$I$2:L94,4,FALSE))*-C95))</f>
        <v/>
      </c>
    </row>
    <row r="96" spans="1:13" ht="15" thickBot="1" x14ac:dyDescent="0.35">
      <c r="A96" s="27" t="str">
        <f>IF('Australian MTransaction'!A96= "","",'Australian MTransaction'!A96)</f>
        <v/>
      </c>
      <c r="B96" s="28" t="str">
        <f>IF('Australian MTransaction'!B96= "","",'Australian MTransaction'!B96)</f>
        <v/>
      </c>
      <c r="C96" s="28" t="str">
        <f>IF('Australian MTransaction'!C96= "","",IF(B96="BUY",'Australian MTransaction'!C96,-'Australian MTransaction'!C96))</f>
        <v/>
      </c>
      <c r="D96" s="28" t="str">
        <f>IF('Australian MTransaction'!D96 = "","",IF($B96 = "BUY", 'Australian MTransaction'!D96,-'Australian MTransaction'!D96))</f>
        <v/>
      </c>
      <c r="E96" s="28" t="str">
        <f>IF('Australian MTransaction'!E96= "","",'Australian MTransaction'!E96)</f>
        <v/>
      </c>
      <c r="F96" s="23"/>
      <c r="G96" s="28" t="str">
        <f t="shared" si="14"/>
        <v/>
      </c>
      <c r="H96" s="28" t="str">
        <f>IF(A96="","",COUNTIF($G$2:G96,G96))</f>
        <v/>
      </c>
      <c r="I96" s="28" t="str">
        <f t="shared" si="15"/>
        <v/>
      </c>
      <c r="J96" s="28" t="str">
        <f>IF(G96="","",IF(COUNTIF($G$2:G96,G96)&gt;1,SUMIF($A$2:A96,G96,$C$2:C96),C96))</f>
        <v/>
      </c>
      <c r="K96" s="45" t="str">
        <f>IF(G96="","",IF(COUNTIF($G$2:G96,G96)&gt;1,SUMIF($A$2:A96,G96,$D$2:D96),D96) +SUMIF($G$2:G96,G96,$M$2:M96))</f>
        <v/>
      </c>
      <c r="L96" s="45" t="str">
        <f t="shared" si="16"/>
        <v/>
      </c>
      <c r="M96" s="46" t="str">
        <f>IF(G96="","",IF(B96 = "BUY", 0,(E96-VLOOKUP(CONCATENATE(G96,(H96-1)),$I$2:L95,4,FALSE))*-C96))</f>
        <v/>
      </c>
    </row>
    <row r="97" spans="1:13" ht="15" thickBot="1" x14ac:dyDescent="0.35">
      <c r="A97" s="27" t="str">
        <f>IF('Australian MTransaction'!A97= "","",'Australian MTransaction'!A97)</f>
        <v/>
      </c>
      <c r="B97" s="28" t="str">
        <f>IF('Australian MTransaction'!B97= "","",'Australian MTransaction'!B97)</f>
        <v/>
      </c>
      <c r="C97" s="28" t="str">
        <f>IF('Australian MTransaction'!C97= "","",IF(B97="BUY",'Australian MTransaction'!C97,-'Australian MTransaction'!C97))</f>
        <v/>
      </c>
      <c r="D97" s="28" t="str">
        <f>IF('Australian MTransaction'!D97 = "","",IF($B97 = "BUY", 'Australian MTransaction'!D97,-'Australian MTransaction'!D97))</f>
        <v/>
      </c>
      <c r="E97" s="28" t="str">
        <f>IF('Australian MTransaction'!E97= "","",'Australian MTransaction'!E97)</f>
        <v/>
      </c>
      <c r="F97" s="23"/>
      <c r="G97" s="28" t="str">
        <f t="shared" si="14"/>
        <v/>
      </c>
      <c r="H97" s="28" t="str">
        <f>IF(A97="","",COUNTIF($G$2:G97,G97))</f>
        <v/>
      </c>
      <c r="I97" s="28" t="str">
        <f t="shared" si="15"/>
        <v/>
      </c>
      <c r="J97" s="28" t="str">
        <f>IF(G97="","",IF(COUNTIF($G$2:G97,G97)&gt;1,SUMIF($A$2:A97,G97,$C$2:C97),C97))</f>
        <v/>
      </c>
      <c r="K97" s="45" t="str">
        <f>IF(G97="","",IF(COUNTIF($G$2:G97,G97)&gt;1,SUMIF($A$2:A97,G97,$D$2:D97),D97) +SUMIF($G$2:G97,G97,$M$2:M97))</f>
        <v/>
      </c>
      <c r="L97" s="45" t="str">
        <f t="shared" si="16"/>
        <v/>
      </c>
      <c r="M97" s="46" t="str">
        <f>IF(G97="","",IF(B97 = "BUY", 0,(E97-VLOOKUP(CONCATENATE(G97,(H97-1)),$I$2:L96,4,FALSE))*-C97))</f>
        <v/>
      </c>
    </row>
    <row r="98" spans="1:13" ht="15" thickBot="1" x14ac:dyDescent="0.35">
      <c r="A98" s="27" t="str">
        <f>IF('Australian MTransaction'!A98= "","",'Australian MTransaction'!A98)</f>
        <v/>
      </c>
      <c r="B98" s="28" t="str">
        <f>IF('Australian MTransaction'!B98= "","",'Australian MTransaction'!B98)</f>
        <v/>
      </c>
      <c r="C98" s="28" t="str">
        <f>IF('Australian MTransaction'!C98= "","",IF(B98="BUY",'Australian MTransaction'!C98,-'Australian MTransaction'!C98))</f>
        <v/>
      </c>
      <c r="D98" s="28" t="str">
        <f>IF('Australian MTransaction'!D98 = "","",IF($B98 = "BUY", 'Australian MTransaction'!D98,-'Australian MTransaction'!D98))</f>
        <v/>
      </c>
      <c r="E98" s="28" t="str">
        <f>IF('Australian MTransaction'!E98= "","",'Australian MTransaction'!E98)</f>
        <v/>
      </c>
      <c r="F98" s="23"/>
      <c r="G98" s="28" t="str">
        <f t="shared" si="14"/>
        <v/>
      </c>
      <c r="H98" s="28" t="str">
        <f>IF(A98="","",COUNTIF($G$2:G98,G98))</f>
        <v/>
      </c>
      <c r="I98" s="28" t="str">
        <f t="shared" si="15"/>
        <v/>
      </c>
      <c r="J98" s="28" t="str">
        <f>IF(G98="","",IF(COUNTIF($G$2:G98,G98)&gt;1,SUMIF($A$2:A98,G98,$C$2:C98),C98))</f>
        <v/>
      </c>
      <c r="K98" s="45" t="str">
        <f>IF(G98="","",IF(COUNTIF($G$2:G98,G98)&gt;1,SUMIF($A$2:A98,G98,$D$2:D98),D98) +SUMIF($G$2:G98,G98,$M$2:M98))</f>
        <v/>
      </c>
      <c r="L98" s="45" t="str">
        <f t="shared" si="16"/>
        <v/>
      </c>
      <c r="M98" s="46" t="str">
        <f>IF(G98="","",IF(B98 = "BUY", 0,(E98-VLOOKUP(CONCATENATE(G98,(H98-1)),$I$2:L97,4,FALSE))*-C98))</f>
        <v/>
      </c>
    </row>
    <row r="99" spans="1:13" ht="15" thickBot="1" x14ac:dyDescent="0.35">
      <c r="A99" s="27" t="str">
        <f>IF('Australian MTransaction'!A99= "","",'Australian MTransaction'!A99)</f>
        <v/>
      </c>
      <c r="B99" s="28" t="str">
        <f>IF('Australian MTransaction'!B99= "","",'Australian MTransaction'!B99)</f>
        <v/>
      </c>
      <c r="C99" s="28" t="str">
        <f>IF('Australian MTransaction'!C99= "","",IF(B99="BUY",'Australian MTransaction'!C99,-'Australian MTransaction'!C99))</f>
        <v/>
      </c>
      <c r="D99" s="28" t="str">
        <f>IF('Australian MTransaction'!D99 = "","",IF($B99 = "BUY", 'Australian MTransaction'!D99,-'Australian MTransaction'!D99))</f>
        <v/>
      </c>
      <c r="E99" s="28" t="str">
        <f>IF('Australian MTransaction'!E99= "","",'Australian MTransaction'!E99)</f>
        <v/>
      </c>
      <c r="F99" s="23"/>
      <c r="G99" s="28" t="str">
        <f t="shared" si="14"/>
        <v/>
      </c>
      <c r="H99" s="28" t="str">
        <f>IF(A99="","",COUNTIF($G$2:G99,G99))</f>
        <v/>
      </c>
      <c r="I99" s="28" t="str">
        <f t="shared" si="15"/>
        <v/>
      </c>
      <c r="J99" s="28" t="str">
        <f>IF(G99="","",IF(COUNTIF($G$2:G99,G99)&gt;1,SUMIF($A$2:A99,G99,$C$2:C99),C99))</f>
        <v/>
      </c>
      <c r="K99" s="45" t="str">
        <f>IF(G99="","",IF(COUNTIF($G$2:G99,G99)&gt;1,SUMIF($A$2:A99,G99,$D$2:D99),D99) +SUMIF($G$2:G99,G99,$M$2:M99))</f>
        <v/>
      </c>
      <c r="L99" s="45" t="str">
        <f t="shared" si="16"/>
        <v/>
      </c>
      <c r="M99" s="46" t="str">
        <f>IF(G99="","",IF(B99 = "BUY", 0,(E99-VLOOKUP(CONCATENATE(G99,(H99-1)),$I$2:L98,4,FALSE))*-C99))</f>
        <v/>
      </c>
    </row>
    <row r="100" spans="1:13" ht="15" thickBot="1" x14ac:dyDescent="0.35">
      <c r="A100" s="27" t="str">
        <f>IF('Australian MTransaction'!A100= "","",'Australian MTransaction'!A100)</f>
        <v/>
      </c>
      <c r="B100" s="28" t="str">
        <f>IF('Australian MTransaction'!B100= "","",'Australian MTransaction'!B100)</f>
        <v/>
      </c>
      <c r="C100" s="28" t="str">
        <f>IF('Australian MTransaction'!C100= "","",IF(B100="BUY",'Australian MTransaction'!C100,-'Australian MTransaction'!C100))</f>
        <v/>
      </c>
      <c r="D100" s="28" t="str">
        <f>IF('Australian MTransaction'!D100 = "","",IF($B100 = "BUY", 'Australian MTransaction'!D100,-'Australian MTransaction'!D100))</f>
        <v/>
      </c>
      <c r="E100" s="28" t="str">
        <f>IF('Australian MTransaction'!E100= "","",'Australian MTransaction'!E100)</f>
        <v/>
      </c>
      <c r="F100" s="23"/>
      <c r="G100" s="28" t="str">
        <f t="shared" si="14"/>
        <v/>
      </c>
      <c r="H100" s="28" t="str">
        <f>IF(A100="","",COUNTIF($G$2:G100,G100))</f>
        <v/>
      </c>
      <c r="I100" s="28" t="str">
        <f t="shared" si="15"/>
        <v/>
      </c>
      <c r="J100" s="28" t="str">
        <f>IF(G100="","",IF(COUNTIF($G$2:G100,G100)&gt;1,SUMIF($A$2:A100,G100,$C$2:C100),C100))</f>
        <v/>
      </c>
      <c r="K100" s="45" t="str">
        <f>IF(G100="","",IF(COUNTIF($G$2:G100,G100)&gt;1,SUMIF($A$2:A100,G100,$D$2:D100),D100) +SUMIF($G$2:G100,G100,$M$2:M100))</f>
        <v/>
      </c>
      <c r="L100" s="45" t="str">
        <f t="shared" si="16"/>
        <v/>
      </c>
      <c r="M100" s="46" t="str">
        <f>IF(G100="","",IF(B100 = "BUY", 0,(E100-VLOOKUP(CONCATENATE(G100,(H100-1)),$I$2:L99,4,FALSE))*-C100))</f>
        <v/>
      </c>
    </row>
    <row r="101" spans="1:13" ht="15" thickBot="1" x14ac:dyDescent="0.35">
      <c r="A101" s="27" t="str">
        <f>IF('Australian MTransaction'!A101= "","",'Australian MTransaction'!A101)</f>
        <v/>
      </c>
      <c r="B101" s="28" t="str">
        <f>IF('Australian MTransaction'!B101= "","",'Australian MTransaction'!B101)</f>
        <v/>
      </c>
      <c r="C101" s="28" t="str">
        <f>IF('Australian MTransaction'!C101= "","",IF(B101="BUY",'Australian MTransaction'!C101,-'Australian MTransaction'!C101))</f>
        <v/>
      </c>
      <c r="D101" s="28" t="str">
        <f>IF('Australian MTransaction'!D101 = "","",IF($B101 = "BUY", 'Australian MTransaction'!D101,-'Australian MTransaction'!D101))</f>
        <v/>
      </c>
      <c r="E101" s="28" t="str">
        <f>IF('Australian MTransaction'!E101= "","",'Australian MTransaction'!E101)</f>
        <v/>
      </c>
      <c r="F101" s="23"/>
      <c r="G101" s="28" t="str">
        <f t="shared" si="14"/>
        <v/>
      </c>
      <c r="H101" s="28" t="str">
        <f>IF(A101="","",COUNTIF($G$2:G101,G101))</f>
        <v/>
      </c>
      <c r="I101" s="28" t="str">
        <f t="shared" si="15"/>
        <v/>
      </c>
      <c r="J101" s="28" t="str">
        <f>IF(G101="","",IF(COUNTIF($G$2:G101,G101)&gt;1,SUMIF($A$2:A101,G101,$C$2:C101),C101))</f>
        <v/>
      </c>
      <c r="K101" s="45" t="str">
        <f>IF(G101="","",IF(COUNTIF($G$2:G101,G101)&gt;1,SUMIF($A$2:A101,G101,$D$2:D101),D101) +SUMIF($G$2:G101,G101,$M$2:M101))</f>
        <v/>
      </c>
      <c r="L101" s="45" t="str">
        <f t="shared" si="16"/>
        <v/>
      </c>
      <c r="M101" s="46" t="str">
        <f>IF(G101="","",IF(B101 = "BUY", 0,(E101-VLOOKUP(CONCATENATE(G101,(H101-1)),$I$2:L100,4,FALSE))*-C101))</f>
        <v/>
      </c>
    </row>
    <row r="102" spans="1:13" ht="15" thickBot="1" x14ac:dyDescent="0.35">
      <c r="A102" s="27" t="str">
        <f>IF('Australian MTransaction'!A102= "","",'Australian MTransaction'!A102)</f>
        <v/>
      </c>
      <c r="B102" s="28" t="str">
        <f>IF('Australian MTransaction'!B102= "","",'Australian MTransaction'!B102)</f>
        <v/>
      </c>
      <c r="C102" s="28" t="str">
        <f>IF('Australian MTransaction'!C102= "","",IF(B102="BUY",'Australian MTransaction'!C102,-'Australian MTransaction'!C102))</f>
        <v/>
      </c>
      <c r="D102" s="28" t="str">
        <f>IF('Australian MTransaction'!D102 = "","",IF($B102 = "BUY", 'Australian MTransaction'!D102,-'Australian MTransaction'!D102))</f>
        <v/>
      </c>
      <c r="E102" s="28" t="str">
        <f>IF('Australian MTransaction'!E102= "","",'Australian MTransaction'!E102)</f>
        <v/>
      </c>
      <c r="F102" s="23"/>
      <c r="G102" s="28" t="str">
        <f t="shared" si="14"/>
        <v/>
      </c>
      <c r="H102" s="28" t="str">
        <f>IF(A102="","",COUNTIF($G$2:G102,G102))</f>
        <v/>
      </c>
      <c r="I102" s="28" t="str">
        <f t="shared" si="15"/>
        <v/>
      </c>
      <c r="J102" s="28" t="str">
        <f>IF(G102="","",IF(COUNTIF($G$2:G102,G102)&gt;1,SUMIF($A$2:A102,G102,$C$2:C102),C102))</f>
        <v/>
      </c>
      <c r="K102" s="45" t="str">
        <f>IF(G102="","",IF(COUNTIF($G$2:G102,G102)&gt;1,SUMIF($A$2:A102,G102,$D$2:D102),D102) +SUMIF($G$2:G102,G102,$M$2:M102))</f>
        <v/>
      </c>
      <c r="L102" s="45" t="str">
        <f t="shared" si="16"/>
        <v/>
      </c>
      <c r="M102" s="46" t="str">
        <f>IF(G102="","",IF(B102 = "BUY", 0,(E102-VLOOKUP(CONCATENATE(G102,(H102-1)),$I$2:L101,4,FALSE))*-C102))</f>
        <v/>
      </c>
    </row>
    <row r="103" spans="1:13" ht="15" thickBot="1" x14ac:dyDescent="0.35">
      <c r="A103" s="27" t="str">
        <f>IF('Australian MTransaction'!A103= "","",'Australian MTransaction'!A103)</f>
        <v/>
      </c>
      <c r="B103" s="28" t="str">
        <f>IF('Australian MTransaction'!B103= "","",'Australian MTransaction'!B103)</f>
        <v/>
      </c>
      <c r="C103" s="28" t="str">
        <f>IF('Australian MTransaction'!C103= "","",IF(B103="BUY",'Australian MTransaction'!C103,-'Australian MTransaction'!C103))</f>
        <v/>
      </c>
      <c r="D103" s="28" t="str">
        <f>IF('Australian MTransaction'!D103 = "","",IF($B103 = "BUY", 'Australian MTransaction'!D103,-'Australian MTransaction'!D103))</f>
        <v/>
      </c>
      <c r="E103" s="28" t="str">
        <f>IF('Australian MTransaction'!E103= "","",'Australian MTransaction'!E103)</f>
        <v/>
      </c>
      <c r="F103" s="23"/>
      <c r="G103" s="28" t="str">
        <f t="shared" si="14"/>
        <v/>
      </c>
      <c r="H103" s="28" t="str">
        <f>IF(A103="","",COUNTIF($G$2:G103,G103))</f>
        <v/>
      </c>
      <c r="I103" s="28" t="str">
        <f t="shared" si="15"/>
        <v/>
      </c>
      <c r="J103" s="28" t="str">
        <f>IF(G103="","",IF(COUNTIF($G$2:G103,G103)&gt;1,SUMIF($A$2:A103,G103,$C$2:C103),C103))</f>
        <v/>
      </c>
      <c r="K103" s="45" t="str">
        <f>IF(G103="","",IF(COUNTIF($G$2:G103,G103)&gt;1,SUMIF($A$2:A103,G103,$D$2:D103),D103) +SUMIF($G$2:G103,G103,$M$2:M103))</f>
        <v/>
      </c>
      <c r="L103" s="45" t="str">
        <f t="shared" si="16"/>
        <v/>
      </c>
      <c r="M103" s="46" t="str">
        <f>IF(G103="","",IF(B103 = "BUY", 0,(E103-VLOOKUP(CONCATENATE(G103,(H103-1)),$I$2:L102,4,FALSE))*-C103))</f>
        <v/>
      </c>
    </row>
    <row r="104" spans="1:13" ht="15" thickBot="1" x14ac:dyDescent="0.35">
      <c r="A104" s="27" t="str">
        <f>IF('Australian MTransaction'!A104= "","",'Australian MTransaction'!A104)</f>
        <v/>
      </c>
      <c r="B104" s="28" t="str">
        <f>IF('Australian MTransaction'!B104= "","",'Australian MTransaction'!B104)</f>
        <v/>
      </c>
      <c r="C104" s="28" t="str">
        <f>IF('Australian MTransaction'!C104= "","",IF(B104="BUY",'Australian MTransaction'!C104,-'Australian MTransaction'!C104))</f>
        <v/>
      </c>
      <c r="D104" s="28" t="str">
        <f>IF('Australian MTransaction'!D104 = "","",IF($B104 = "BUY", 'Australian MTransaction'!D104,-'Australian MTransaction'!D104))</f>
        <v/>
      </c>
      <c r="E104" s="28" t="str">
        <f>IF('Australian MTransaction'!E104= "","",'Australian MTransaction'!E104)</f>
        <v/>
      </c>
      <c r="F104" s="23"/>
      <c r="G104" s="28" t="str">
        <f t="shared" si="14"/>
        <v/>
      </c>
      <c r="H104" s="28" t="str">
        <f>IF(A104="","",COUNTIF($G$2:G104,G104))</f>
        <v/>
      </c>
      <c r="I104" s="28" t="str">
        <f t="shared" si="15"/>
        <v/>
      </c>
      <c r="J104" s="28" t="str">
        <f>IF(G104="","",IF(COUNTIF($G$2:G104,G104)&gt;1,SUMIF($A$2:A104,G104,$C$2:C104),C104))</f>
        <v/>
      </c>
      <c r="K104" s="45" t="str">
        <f>IF(G104="","",IF(COUNTIF($G$2:G104,G104)&gt;1,SUMIF($A$2:A104,G104,$D$2:D104),D104) +SUMIF($G$2:G104,G104,$M$2:M104))</f>
        <v/>
      </c>
      <c r="L104" s="45" t="str">
        <f t="shared" si="16"/>
        <v/>
      </c>
      <c r="M104" s="46" t="str">
        <f>IF(G104="","",IF(B104 = "BUY", 0,(E104-VLOOKUP(CONCATENATE(G104,(H104-1)),$I$2:L103,4,FALSE))*-C104))</f>
        <v/>
      </c>
    </row>
    <row r="105" spans="1:13" ht="15" thickBot="1" x14ac:dyDescent="0.35">
      <c r="A105" s="27" t="str">
        <f>IF('Australian MTransaction'!A105= "","",'Australian MTransaction'!A105)</f>
        <v/>
      </c>
      <c r="B105" s="28" t="str">
        <f>IF('Australian MTransaction'!B105= "","",'Australian MTransaction'!B105)</f>
        <v/>
      </c>
      <c r="C105" s="28" t="str">
        <f>IF('Australian MTransaction'!C105= "","",IF(B105="BUY",'Australian MTransaction'!C105,-'Australian MTransaction'!C105))</f>
        <v/>
      </c>
      <c r="D105" s="28" t="str">
        <f>IF('Australian MTransaction'!D105 = "","",IF($B105 = "BUY", 'Australian MTransaction'!D105,-'Australian MTransaction'!D105))</f>
        <v/>
      </c>
      <c r="E105" s="28" t="str">
        <f>IF('Australian MTransaction'!E105= "","",'Australian MTransaction'!E105)</f>
        <v/>
      </c>
      <c r="F105" s="23"/>
      <c r="G105" s="28" t="str">
        <f t="shared" si="14"/>
        <v/>
      </c>
      <c r="H105" s="28" t="str">
        <f>IF(A105="","",COUNTIF($G$2:G105,G105))</f>
        <v/>
      </c>
      <c r="I105" s="28" t="str">
        <f t="shared" si="15"/>
        <v/>
      </c>
      <c r="J105" s="28" t="str">
        <f>IF(G105="","",IF(COUNTIF($G$2:G105,G105)&gt;1,SUMIF($A$2:A105,G105,$C$2:C105),C105))</f>
        <v/>
      </c>
      <c r="K105" s="45" t="str">
        <f>IF(G105="","",IF(COUNTIF($G$2:G105,G105)&gt;1,SUMIF($A$2:A105,G105,$D$2:D105),D105) +SUMIF($G$2:G105,G105,$M$2:M105))</f>
        <v/>
      </c>
      <c r="L105" s="45" t="str">
        <f t="shared" si="16"/>
        <v/>
      </c>
      <c r="M105" s="46" t="str">
        <f>IF(G105="","",IF(B105 = "BUY", 0,(E105-VLOOKUP(CONCATENATE(G105,(H105-1)),$I$2:L104,4,FALSE))*-C105))</f>
        <v/>
      </c>
    </row>
    <row r="106" spans="1:13" ht="15" thickBot="1" x14ac:dyDescent="0.35">
      <c r="A106" s="27" t="str">
        <f>IF('Australian MTransaction'!A106= "","",'Australian MTransaction'!A106)</f>
        <v/>
      </c>
      <c r="B106" s="28" t="str">
        <f>IF('Australian MTransaction'!B106= "","",'Australian MTransaction'!B106)</f>
        <v/>
      </c>
      <c r="C106" s="28" t="str">
        <f>IF('Australian MTransaction'!C106= "","",IF(B106="BUY",'Australian MTransaction'!C106,-'Australian MTransaction'!C106))</f>
        <v/>
      </c>
      <c r="D106" s="28" t="str">
        <f>IF('Australian MTransaction'!D106 = "","",IF($B106 = "BUY", 'Australian MTransaction'!D106,-'Australian MTransaction'!D106))</f>
        <v/>
      </c>
      <c r="E106" s="28" t="str">
        <f>IF('Australian MTransaction'!E106= "","",'Australian MTransaction'!E106)</f>
        <v/>
      </c>
      <c r="F106" s="23"/>
      <c r="G106" s="28" t="str">
        <f t="shared" si="14"/>
        <v/>
      </c>
      <c r="H106" s="28" t="str">
        <f>IF(A106="","",COUNTIF($G$2:G106,G106))</f>
        <v/>
      </c>
      <c r="I106" s="28" t="str">
        <f t="shared" si="15"/>
        <v/>
      </c>
      <c r="J106" s="28" t="str">
        <f>IF(G106="","",IF(COUNTIF($G$2:G106,G106)&gt;1,SUMIF($A$2:A106,G106,$C$2:C106),C106))</f>
        <v/>
      </c>
      <c r="K106" s="45" t="str">
        <f>IF(G106="","",IF(COUNTIF($G$2:G106,G106)&gt;1,SUMIF($A$2:A106,G106,$D$2:D106),D106) +SUMIF($G$2:G106,G106,$M$2:M106))</f>
        <v/>
      </c>
      <c r="L106" s="45" t="str">
        <f t="shared" si="16"/>
        <v/>
      </c>
      <c r="M106" s="46" t="str">
        <f>IF(G106="","",IF(B106 = "BUY", 0,(E106-VLOOKUP(CONCATENATE(G106,(H106-1)),$I$2:L105,4,FALSE))*-C106))</f>
        <v/>
      </c>
    </row>
    <row r="107" spans="1:13" ht="15" thickBot="1" x14ac:dyDescent="0.35">
      <c r="A107" s="27" t="str">
        <f>IF('Australian MTransaction'!A107= "","",'Australian MTransaction'!A107)</f>
        <v/>
      </c>
      <c r="B107" s="28" t="str">
        <f>IF('Australian MTransaction'!B107= "","",'Australian MTransaction'!B107)</f>
        <v/>
      </c>
      <c r="C107" s="28" t="str">
        <f>IF('Australian MTransaction'!C107= "","",IF(B107="BUY",'Australian MTransaction'!C107,-'Australian MTransaction'!C107))</f>
        <v/>
      </c>
      <c r="D107" s="28" t="str">
        <f>IF('Australian MTransaction'!D107 = "","",IF($B107 = "BUY", 'Australian MTransaction'!D107,-'Australian MTransaction'!D107))</f>
        <v/>
      </c>
      <c r="E107" s="28" t="str">
        <f>IF('Australian MTransaction'!E107= "","",'Australian MTransaction'!E107)</f>
        <v/>
      </c>
      <c r="F107" s="23"/>
      <c r="G107" s="28" t="str">
        <f t="shared" si="14"/>
        <v/>
      </c>
      <c r="H107" s="28" t="str">
        <f>IF(A107="","",COUNTIF($G$2:G107,G107))</f>
        <v/>
      </c>
      <c r="I107" s="28" t="str">
        <f t="shared" si="15"/>
        <v/>
      </c>
      <c r="J107" s="28" t="str">
        <f>IF(G107="","",IF(COUNTIF($G$2:G107,G107)&gt;1,SUMIF($A$2:A107,G107,$C$2:C107),C107))</f>
        <v/>
      </c>
      <c r="K107" s="45" t="str">
        <f>IF(G107="","",IF(COUNTIF($G$2:G107,G107)&gt;1,SUMIF($A$2:A107,G107,$D$2:D107),D107) +SUMIF($G$2:G107,G107,$M$2:M107))</f>
        <v/>
      </c>
      <c r="L107" s="45" t="str">
        <f t="shared" si="16"/>
        <v/>
      </c>
      <c r="M107" s="46" t="str">
        <f>IF(G107="","",IF(B107 = "BUY", 0,(E107-VLOOKUP(CONCATENATE(G107,(H107-1)),$I$2:L106,4,FALSE))*-C107))</f>
        <v/>
      </c>
    </row>
    <row r="108" spans="1:13" ht="15" thickBot="1" x14ac:dyDescent="0.35">
      <c r="A108" s="27" t="str">
        <f>IF('Australian MTransaction'!A108= "","",'Australian MTransaction'!A108)</f>
        <v/>
      </c>
      <c r="B108" s="28" t="str">
        <f>IF('Australian MTransaction'!B108= "","",'Australian MTransaction'!B108)</f>
        <v/>
      </c>
      <c r="C108" s="28" t="str">
        <f>IF('Australian MTransaction'!C108= "","",IF(B108="BUY",'Australian MTransaction'!C108,-'Australian MTransaction'!C108))</f>
        <v/>
      </c>
      <c r="D108" s="28" t="str">
        <f>IF('Australian MTransaction'!D108 = "","",IF($B108 = "BUY", 'Australian MTransaction'!D108,-'Australian MTransaction'!D108))</f>
        <v/>
      </c>
      <c r="E108" s="28" t="str">
        <f>IF('Australian MTransaction'!E108= "","",'Australian MTransaction'!E108)</f>
        <v/>
      </c>
      <c r="F108" s="23"/>
      <c r="G108" s="28" t="str">
        <f t="shared" si="14"/>
        <v/>
      </c>
      <c r="H108" s="28" t="str">
        <f>IF(A108="","",COUNTIF($G$2:G108,G108))</f>
        <v/>
      </c>
      <c r="I108" s="28" t="str">
        <f t="shared" si="15"/>
        <v/>
      </c>
      <c r="J108" s="28" t="str">
        <f>IF(G108="","",IF(COUNTIF($G$2:G108,G108)&gt;1,SUMIF($A$2:A108,G108,$C$2:C108),C108))</f>
        <v/>
      </c>
      <c r="K108" s="45" t="str">
        <f>IF(G108="","",IF(COUNTIF($G$2:G108,G108)&gt;1,SUMIF($A$2:A108,G108,$D$2:D108),D108) +SUMIF($G$2:G108,G108,$M$2:M108))</f>
        <v/>
      </c>
      <c r="L108" s="45" t="str">
        <f t="shared" si="16"/>
        <v/>
      </c>
      <c r="M108" s="46" t="str">
        <f>IF(G108="","",IF(B108 = "BUY", 0,(E108-VLOOKUP(CONCATENATE(G108,(H108-1)),$I$2:L107,4,FALSE))*-C108))</f>
        <v/>
      </c>
    </row>
    <row r="109" spans="1:13" ht="15" thickBot="1" x14ac:dyDescent="0.35">
      <c r="A109" s="27" t="str">
        <f>IF('Australian MTransaction'!A109= "","",'Australian MTransaction'!A109)</f>
        <v/>
      </c>
      <c r="B109" s="28" t="str">
        <f>IF('Australian MTransaction'!B109= "","",'Australian MTransaction'!B109)</f>
        <v/>
      </c>
      <c r="C109" s="28" t="str">
        <f>IF('Australian MTransaction'!C109= "","",IF(B109="BUY",'Australian MTransaction'!C109,-'Australian MTransaction'!C109))</f>
        <v/>
      </c>
      <c r="D109" s="28" t="str">
        <f>IF('Australian MTransaction'!D109 = "","",IF($B109 = "BUY", 'Australian MTransaction'!D109,-'Australian MTransaction'!D109))</f>
        <v/>
      </c>
      <c r="E109" s="28" t="str">
        <f>IF('Australian MTransaction'!E109= "","",'Australian MTransaction'!E109)</f>
        <v/>
      </c>
      <c r="F109" s="23"/>
      <c r="G109" s="28" t="str">
        <f t="shared" si="14"/>
        <v/>
      </c>
      <c r="H109" s="28" t="str">
        <f>IF(A109="","",COUNTIF($G$2:G109,G109))</f>
        <v/>
      </c>
      <c r="I109" s="28" t="str">
        <f t="shared" si="15"/>
        <v/>
      </c>
      <c r="J109" s="28" t="str">
        <f>IF(G109="","",IF(COUNTIF($G$2:G109,G109)&gt;1,SUMIF($A$2:A109,G109,$C$2:C109),C109))</f>
        <v/>
      </c>
      <c r="K109" s="45" t="str">
        <f>IF(G109="","",IF(COUNTIF($G$2:G109,G109)&gt;1,SUMIF($A$2:A109,G109,$D$2:D109),D109) +SUMIF($G$2:G109,G109,$M$2:M109))</f>
        <v/>
      </c>
      <c r="L109" s="45" t="str">
        <f t="shared" si="16"/>
        <v/>
      </c>
      <c r="M109" s="46" t="str">
        <f>IF(G109="","",IF(B109 = "BUY", 0,(E109-VLOOKUP(CONCATENATE(G109,(H109-1)),$I$2:L108,4,FALSE))*-C109))</f>
        <v/>
      </c>
    </row>
    <row r="110" spans="1:13" ht="15" thickBot="1" x14ac:dyDescent="0.35">
      <c r="A110" s="27" t="str">
        <f>IF('Australian MTransaction'!A110= "","",'Australian MTransaction'!A110)</f>
        <v/>
      </c>
      <c r="B110" s="28" t="str">
        <f>IF('Australian MTransaction'!B110= "","",'Australian MTransaction'!B110)</f>
        <v/>
      </c>
      <c r="C110" s="28" t="str">
        <f>IF('Australian MTransaction'!C110= "","",IF(B110="BUY",'Australian MTransaction'!C110,-'Australian MTransaction'!C110))</f>
        <v/>
      </c>
      <c r="D110" s="28" t="str">
        <f>IF('Australian MTransaction'!D110 = "","",IF($B110 = "BUY", 'Australian MTransaction'!D110,-'Australian MTransaction'!D110))</f>
        <v/>
      </c>
      <c r="E110" s="28" t="str">
        <f>IF('Australian MTransaction'!E110= "","",'Australian MTransaction'!E110)</f>
        <v/>
      </c>
      <c r="F110" s="23"/>
      <c r="G110" s="28" t="str">
        <f t="shared" si="14"/>
        <v/>
      </c>
      <c r="H110" s="28" t="str">
        <f>IF(A110="","",COUNTIF($G$2:G110,G110))</f>
        <v/>
      </c>
      <c r="I110" s="28" t="str">
        <f t="shared" si="15"/>
        <v/>
      </c>
      <c r="J110" s="28" t="str">
        <f>IF(G110="","",IF(COUNTIF($G$2:G110,G110)&gt;1,SUMIF($A$2:A110,G110,$C$2:C110),C110))</f>
        <v/>
      </c>
      <c r="K110" s="45" t="str">
        <f>IF(G110="","",IF(COUNTIF($G$2:G110,G110)&gt;1,SUMIF($A$2:A110,G110,$D$2:D110),D110) +SUMIF($G$2:G110,G110,$M$2:M110))</f>
        <v/>
      </c>
      <c r="L110" s="45" t="str">
        <f t="shared" si="16"/>
        <v/>
      </c>
      <c r="M110" s="46" t="str">
        <f>IF(G110="","",IF(B110 = "BUY", 0,(E110-VLOOKUP(CONCATENATE(G110,(H110-1)),$I$2:L109,4,FALSE))*-C110))</f>
        <v/>
      </c>
    </row>
    <row r="111" spans="1:13" ht="15" thickBot="1" x14ac:dyDescent="0.35">
      <c r="A111" s="27" t="str">
        <f>IF('Australian MTransaction'!A111= "","",'Australian MTransaction'!A111)</f>
        <v/>
      </c>
      <c r="B111" s="28" t="str">
        <f>IF('Australian MTransaction'!B111= "","",'Australian MTransaction'!B111)</f>
        <v/>
      </c>
      <c r="C111" s="28" t="str">
        <f>IF('Australian MTransaction'!C111= "","",IF(B111="BUY",'Australian MTransaction'!C111,-'Australian MTransaction'!C111))</f>
        <v/>
      </c>
      <c r="D111" s="28" t="str">
        <f>IF('Australian MTransaction'!D111 = "","",IF($B111 = "BUY", 'Australian MTransaction'!D111,-'Australian MTransaction'!D111))</f>
        <v/>
      </c>
      <c r="E111" s="28" t="str">
        <f>IF('Australian MTransaction'!E111= "","",'Australian MTransaction'!E111)</f>
        <v/>
      </c>
      <c r="F111" s="23"/>
      <c r="G111" s="28" t="str">
        <f t="shared" si="14"/>
        <v/>
      </c>
      <c r="H111" s="28" t="str">
        <f>IF(A111="","",COUNTIF($G$2:G111,G111))</f>
        <v/>
      </c>
      <c r="I111" s="28" t="str">
        <f t="shared" si="15"/>
        <v/>
      </c>
      <c r="J111" s="28" t="str">
        <f>IF(G111="","",IF(COUNTIF($G$2:G111,G111)&gt;1,SUMIF($A$2:A111,G111,$C$2:C111),C111))</f>
        <v/>
      </c>
      <c r="K111" s="45" t="str">
        <f>IF(G111="","",IF(COUNTIF($G$2:G111,G111)&gt;1,SUMIF($A$2:A111,G111,$D$2:D111),D111) +SUMIF($G$2:G111,G111,$M$2:M111))</f>
        <v/>
      </c>
      <c r="L111" s="45" t="str">
        <f t="shared" si="16"/>
        <v/>
      </c>
      <c r="M111" s="46" t="str">
        <f>IF(G111="","",IF(B111 = "BUY", 0,(E111-VLOOKUP(CONCATENATE(G111,(H111-1)),$I$2:L110,4,FALSE))*-C111))</f>
        <v/>
      </c>
    </row>
    <row r="112" spans="1:13" ht="15" thickBot="1" x14ac:dyDescent="0.35">
      <c r="A112" s="27" t="str">
        <f>IF('Australian MTransaction'!A112= "","",'Australian MTransaction'!A112)</f>
        <v/>
      </c>
      <c r="B112" s="28" t="str">
        <f>IF('Australian MTransaction'!B112= "","",'Australian MTransaction'!B112)</f>
        <v/>
      </c>
      <c r="C112" s="28" t="str">
        <f>IF('Australian MTransaction'!C112= "","",IF(B112="BUY",'Australian MTransaction'!C112,-'Australian MTransaction'!C112))</f>
        <v/>
      </c>
      <c r="D112" s="28" t="str">
        <f>IF('Australian MTransaction'!D112 = "","",IF($B112 = "BUY", 'Australian MTransaction'!D112,-'Australian MTransaction'!D112))</f>
        <v/>
      </c>
      <c r="E112" s="28" t="str">
        <f>IF('Australian MTransaction'!E112= "","",'Australian MTransaction'!E112)</f>
        <v/>
      </c>
      <c r="F112" s="23"/>
      <c r="G112" s="28" t="str">
        <f t="shared" si="14"/>
        <v/>
      </c>
      <c r="H112" s="28" t="str">
        <f>IF(A112="","",COUNTIF($G$2:G112,G112))</f>
        <v/>
      </c>
      <c r="I112" s="28" t="str">
        <f t="shared" si="15"/>
        <v/>
      </c>
      <c r="J112" s="28" t="str">
        <f>IF(G112="","",IF(COUNTIF($G$2:G112,G112)&gt;1,SUMIF($A$2:A112,G112,$C$2:C112),C112))</f>
        <v/>
      </c>
      <c r="K112" s="45" t="str">
        <f>IF(G112="","",IF(COUNTIF($G$2:G112,G112)&gt;1,SUMIF($A$2:A112,G112,$D$2:D112),D112) +SUMIF($G$2:G112,G112,$M$2:M112))</f>
        <v/>
      </c>
      <c r="L112" s="45" t="str">
        <f t="shared" si="16"/>
        <v/>
      </c>
      <c r="M112" s="46" t="str">
        <f>IF(G112="","",IF(B112 = "BUY", 0,(E112-VLOOKUP(CONCATENATE(G112,(H112-1)),$I$2:L111,4,FALSE))*-C112))</f>
        <v/>
      </c>
    </row>
    <row r="113" spans="1:13" ht="15" thickBot="1" x14ac:dyDescent="0.35">
      <c r="A113" s="27" t="str">
        <f>IF('Australian MTransaction'!A113= "","",'Australian MTransaction'!A113)</f>
        <v/>
      </c>
      <c r="B113" s="28" t="str">
        <f>IF('Australian MTransaction'!B113= "","",'Australian MTransaction'!B113)</f>
        <v/>
      </c>
      <c r="C113" s="28" t="str">
        <f>IF('Australian MTransaction'!C113= "","",IF(B113="BUY",'Australian MTransaction'!C113,-'Australian MTransaction'!C113))</f>
        <v/>
      </c>
      <c r="D113" s="28" t="str">
        <f>IF('Australian MTransaction'!D113 = "","",IF($B113 = "BUY", 'Australian MTransaction'!D113,-'Australian MTransaction'!D113))</f>
        <v/>
      </c>
      <c r="E113" s="28" t="str">
        <f>IF('Australian MTransaction'!E113= "","",'Australian MTransaction'!E113)</f>
        <v/>
      </c>
      <c r="F113" s="23"/>
      <c r="G113" s="28" t="str">
        <f t="shared" si="14"/>
        <v/>
      </c>
      <c r="H113" s="28" t="str">
        <f>IF(A113="","",COUNTIF($G$2:G113,G113))</f>
        <v/>
      </c>
      <c r="I113" s="28" t="str">
        <f t="shared" si="15"/>
        <v/>
      </c>
      <c r="J113" s="28" t="str">
        <f>IF(G113="","",IF(COUNTIF($G$2:G113,G113)&gt;1,SUMIF($A$2:A113,G113,$C$2:C113),C113))</f>
        <v/>
      </c>
      <c r="K113" s="45" t="str">
        <f>IF(G113="","",IF(COUNTIF($G$2:G113,G113)&gt;1,SUMIF($A$2:A113,G113,$D$2:D113),D113) +SUMIF($G$2:G113,G113,$M$2:M113))</f>
        <v/>
      </c>
      <c r="L113" s="45" t="str">
        <f t="shared" si="16"/>
        <v/>
      </c>
      <c r="M113" s="46" t="str">
        <f>IF(G113="","",IF(B113 = "BUY", 0,(E113-VLOOKUP(CONCATENATE(G113,(H113-1)),$I$2:L112,4,FALSE))*-C113))</f>
        <v/>
      </c>
    </row>
    <row r="114" spans="1:13" ht="15" thickBot="1" x14ac:dyDescent="0.35">
      <c r="A114" s="27" t="str">
        <f>IF('Australian MTransaction'!A114= "","",'Australian MTransaction'!A114)</f>
        <v/>
      </c>
      <c r="B114" s="28" t="str">
        <f>IF('Australian MTransaction'!B114= "","",'Australian MTransaction'!B114)</f>
        <v/>
      </c>
      <c r="C114" s="28" t="str">
        <f>IF('Australian MTransaction'!C114= "","",IF(B114="BUY",'Australian MTransaction'!C114,-'Australian MTransaction'!C114))</f>
        <v/>
      </c>
      <c r="D114" s="28" t="str">
        <f>IF('Australian MTransaction'!D114 = "","",IF($B114 = "BUY", 'Australian MTransaction'!D114,-'Australian MTransaction'!D114))</f>
        <v/>
      </c>
      <c r="E114" s="28" t="str">
        <f>IF('Australian MTransaction'!E114= "","",'Australian MTransaction'!E114)</f>
        <v/>
      </c>
      <c r="F114" s="23"/>
      <c r="G114" s="28" t="str">
        <f t="shared" si="14"/>
        <v/>
      </c>
      <c r="H114" s="28" t="str">
        <f>IF(A114="","",COUNTIF($G$2:G114,G114))</f>
        <v/>
      </c>
      <c r="I114" s="28" t="str">
        <f t="shared" si="15"/>
        <v/>
      </c>
      <c r="J114" s="28" t="str">
        <f>IF(G114="","",IF(COUNTIF($G$2:G114,G114)&gt;1,SUMIF($A$2:A114,G114,$C$2:C114),C114))</f>
        <v/>
      </c>
      <c r="K114" s="45" t="str">
        <f>IF(G114="","",IF(COUNTIF($G$2:G114,G114)&gt;1,SUMIF($A$2:A114,G114,$D$2:D114),D114) +SUMIF($G$2:G114,G114,$M$2:M114))</f>
        <v/>
      </c>
      <c r="L114" s="45" t="str">
        <f t="shared" si="16"/>
        <v/>
      </c>
      <c r="M114" s="46" t="str">
        <f>IF(G114="","",IF(B114 = "BUY", 0,(E114-VLOOKUP(CONCATENATE(G114,(H114-1)),$I$2:L113,4,FALSE))*-C114))</f>
        <v/>
      </c>
    </row>
    <row r="115" spans="1:13" ht="15" thickBot="1" x14ac:dyDescent="0.35">
      <c r="A115" s="27" t="str">
        <f>IF('Australian MTransaction'!A115= "","",'Australian MTransaction'!A115)</f>
        <v/>
      </c>
      <c r="B115" s="28" t="str">
        <f>IF('Australian MTransaction'!B115= "","",'Australian MTransaction'!B115)</f>
        <v/>
      </c>
      <c r="C115" s="28" t="str">
        <f>IF('Australian MTransaction'!C115= "","",IF(B115="BUY",'Australian MTransaction'!C115,-'Australian MTransaction'!C115))</f>
        <v/>
      </c>
      <c r="D115" s="28" t="str">
        <f>IF('Australian MTransaction'!D115 = "","",IF($B115 = "BUY", 'Australian MTransaction'!D115,-'Australian MTransaction'!D115))</f>
        <v/>
      </c>
      <c r="E115" s="28" t="str">
        <f>IF('Australian MTransaction'!E115= "","",'Australian MTransaction'!E115)</f>
        <v/>
      </c>
      <c r="F115" s="23"/>
      <c r="G115" s="28" t="str">
        <f t="shared" si="14"/>
        <v/>
      </c>
      <c r="H115" s="28" t="str">
        <f>IF(A115="","",COUNTIF($G$2:G115,G115))</f>
        <v/>
      </c>
      <c r="I115" s="28" t="str">
        <f t="shared" si="15"/>
        <v/>
      </c>
      <c r="J115" s="28" t="str">
        <f>IF(G115="","",IF(COUNTIF($G$2:G115,G115)&gt;1,SUMIF($A$2:A115,G115,$C$2:C115),C115))</f>
        <v/>
      </c>
      <c r="K115" s="45" t="str">
        <f>IF(G115="","",IF(COUNTIF($G$2:G115,G115)&gt;1,SUMIF($A$2:A115,G115,$D$2:D115),D115) +SUMIF($G$2:G115,G115,$M$2:M115))</f>
        <v/>
      </c>
      <c r="L115" s="45" t="str">
        <f t="shared" si="16"/>
        <v/>
      </c>
      <c r="M115" s="46" t="str">
        <f>IF(G115="","",IF(B115 = "BUY", 0,(E115-VLOOKUP(CONCATENATE(G115,(H115-1)),$I$2:L114,4,FALSE))*-C115))</f>
        <v/>
      </c>
    </row>
    <row r="116" spans="1:13" ht="15" thickBot="1" x14ac:dyDescent="0.35">
      <c r="A116" s="27" t="str">
        <f>IF('Australian MTransaction'!A116= "","",'Australian MTransaction'!A116)</f>
        <v/>
      </c>
      <c r="B116" s="28" t="str">
        <f>IF('Australian MTransaction'!B116= "","",'Australian MTransaction'!B116)</f>
        <v/>
      </c>
      <c r="C116" s="28" t="str">
        <f>IF('Australian MTransaction'!C116= "","",IF(B116="BUY",'Australian MTransaction'!C116,-'Australian MTransaction'!C116))</f>
        <v/>
      </c>
      <c r="D116" s="28" t="str">
        <f>IF('Australian MTransaction'!D116 = "","",IF($B116 = "BUY", 'Australian MTransaction'!D116,-'Australian MTransaction'!D116))</f>
        <v/>
      </c>
      <c r="E116" s="28" t="str">
        <f>IF('Australian MTransaction'!E116= "","",'Australian MTransaction'!E116)</f>
        <v/>
      </c>
      <c r="F116" s="23"/>
      <c r="G116" s="28" t="str">
        <f t="shared" si="14"/>
        <v/>
      </c>
      <c r="H116" s="28" t="str">
        <f>IF(A116="","",COUNTIF($G$2:G116,G116))</f>
        <v/>
      </c>
      <c r="I116" s="28" t="str">
        <f t="shared" si="15"/>
        <v/>
      </c>
      <c r="J116" s="28" t="str">
        <f>IF(G116="","",IF(COUNTIF($G$2:G116,G116)&gt;1,SUMIF($A$2:A116,G116,$C$2:C116),C116))</f>
        <v/>
      </c>
      <c r="K116" s="45" t="str">
        <f>IF(G116="","",IF(COUNTIF($G$2:G116,G116)&gt;1,SUMIF($A$2:A116,G116,$D$2:D116),D116) +SUMIF($G$2:G116,G116,$M$2:M116))</f>
        <v/>
      </c>
      <c r="L116" s="45" t="str">
        <f t="shared" si="16"/>
        <v/>
      </c>
      <c r="M116" s="46" t="str">
        <f>IF(G116="","",IF(B116 = "BUY", 0,(E116-VLOOKUP(CONCATENATE(G116,(H116-1)),$I$2:L115,4,FALSE))*-C116))</f>
        <v/>
      </c>
    </row>
    <row r="117" spans="1:13" ht="15" thickBot="1" x14ac:dyDescent="0.35">
      <c r="A117" s="27" t="str">
        <f>IF('Australian MTransaction'!A117= "","",'Australian MTransaction'!A117)</f>
        <v/>
      </c>
      <c r="B117" s="28" t="str">
        <f>IF('Australian MTransaction'!B117= "","",'Australian MTransaction'!B117)</f>
        <v/>
      </c>
      <c r="C117" s="28" t="str">
        <f>IF('Australian MTransaction'!C117= "","",IF(B117="BUY",'Australian MTransaction'!C117,-'Australian MTransaction'!C117))</f>
        <v/>
      </c>
      <c r="D117" s="28" t="str">
        <f>IF('Australian MTransaction'!D117 = "","",IF($B117 = "BUY", 'Australian MTransaction'!D117,-'Australian MTransaction'!D117))</f>
        <v/>
      </c>
      <c r="E117" s="28" t="str">
        <f>IF('Australian MTransaction'!E117= "","",'Australian MTransaction'!E117)</f>
        <v/>
      </c>
      <c r="F117" s="23"/>
      <c r="G117" s="28" t="str">
        <f t="shared" si="14"/>
        <v/>
      </c>
      <c r="H117" s="28" t="str">
        <f>IF(A117="","",COUNTIF($G$2:G117,G117))</f>
        <v/>
      </c>
      <c r="I117" s="28" t="str">
        <f t="shared" si="15"/>
        <v/>
      </c>
      <c r="J117" s="28" t="str">
        <f>IF(G117="","",IF(COUNTIF($G$2:G117,G117)&gt;1,SUMIF($A$2:A117,G117,$C$2:C117),C117))</f>
        <v/>
      </c>
      <c r="K117" s="45" t="str">
        <f>IF(G117="","",IF(COUNTIF($G$2:G117,G117)&gt;1,SUMIF($A$2:A117,G117,$D$2:D117),D117) +SUMIF($G$2:G117,G117,$M$2:M117))</f>
        <v/>
      </c>
      <c r="L117" s="45" t="str">
        <f t="shared" si="16"/>
        <v/>
      </c>
      <c r="M117" s="46" t="str">
        <f>IF(G117="","",IF(B117 = "BUY", 0,(E117-VLOOKUP(CONCATENATE(G117,(H117-1)),$I$2:L116,4,FALSE))*-C117))</f>
        <v/>
      </c>
    </row>
    <row r="118" spans="1:13" ht="15" thickBot="1" x14ac:dyDescent="0.35">
      <c r="A118" s="27" t="str">
        <f>IF('Australian MTransaction'!A118= "","",'Australian MTransaction'!A118)</f>
        <v/>
      </c>
      <c r="B118" s="28" t="str">
        <f>IF('Australian MTransaction'!B118= "","",'Australian MTransaction'!B118)</f>
        <v/>
      </c>
      <c r="C118" s="28" t="str">
        <f>IF('Australian MTransaction'!C118= "","",IF(B118="BUY",'Australian MTransaction'!C118,-'Australian MTransaction'!C118))</f>
        <v/>
      </c>
      <c r="D118" s="28" t="str">
        <f>IF('Australian MTransaction'!D118 = "","",IF($B118 = "BUY", 'Australian MTransaction'!D118,-'Australian MTransaction'!D118))</f>
        <v/>
      </c>
      <c r="E118" s="28" t="str">
        <f>IF('Australian MTransaction'!E118= "","",'Australian MTransaction'!E118)</f>
        <v/>
      </c>
      <c r="F118" s="23"/>
      <c r="G118" s="28" t="str">
        <f t="shared" si="14"/>
        <v/>
      </c>
      <c r="H118" s="28" t="str">
        <f>IF(A118="","",COUNTIF($G$2:G118,G118))</f>
        <v/>
      </c>
      <c r="I118" s="28" t="str">
        <f t="shared" si="15"/>
        <v/>
      </c>
      <c r="J118" s="28" t="str">
        <f>IF(G118="","",IF(COUNTIF($G$2:G118,G118)&gt;1,SUMIF($A$2:A118,G118,$C$2:C118),C118))</f>
        <v/>
      </c>
      <c r="K118" s="45" t="str">
        <f>IF(G118="","",IF(COUNTIF($G$2:G118,G118)&gt;1,SUMIF($A$2:A118,G118,$D$2:D118),D118) +SUMIF($G$2:G118,G118,$M$2:M118))</f>
        <v/>
      </c>
      <c r="L118" s="45" t="str">
        <f t="shared" si="16"/>
        <v/>
      </c>
      <c r="M118" s="46" t="str">
        <f>IF(G118="","",IF(B118 = "BUY", 0,(E118-VLOOKUP(CONCATENATE(G118,(H118-1)),$I$2:L117,4,FALSE))*-C118))</f>
        <v/>
      </c>
    </row>
    <row r="119" spans="1:13" ht="15" thickBot="1" x14ac:dyDescent="0.35">
      <c r="A119" s="27" t="str">
        <f>IF('Australian MTransaction'!A119= "","",'Australian MTransaction'!A119)</f>
        <v/>
      </c>
      <c r="B119" s="28" t="str">
        <f>IF('Australian MTransaction'!B119= "","",'Australian MTransaction'!B119)</f>
        <v/>
      </c>
      <c r="C119" s="28" t="str">
        <f>IF('Australian MTransaction'!C119= "","",IF(B119="BUY",'Australian MTransaction'!C119,-'Australian MTransaction'!C119))</f>
        <v/>
      </c>
      <c r="D119" s="28" t="str">
        <f>IF('Australian MTransaction'!D119 = "","",IF($B119 = "BUY", 'Australian MTransaction'!D119,-'Australian MTransaction'!D119))</f>
        <v/>
      </c>
      <c r="E119" s="28" t="str">
        <f>IF('Australian MTransaction'!E119= "","",'Australian MTransaction'!E119)</f>
        <v/>
      </c>
      <c r="F119" s="23"/>
      <c r="G119" s="28" t="str">
        <f t="shared" si="14"/>
        <v/>
      </c>
      <c r="H119" s="28" t="str">
        <f>IF(A119="","",COUNTIF($G$2:G119,G119))</f>
        <v/>
      </c>
      <c r="I119" s="28" t="str">
        <f t="shared" si="15"/>
        <v/>
      </c>
      <c r="J119" s="28" t="str">
        <f>IF(G119="","",IF(COUNTIF($G$2:G119,G119)&gt;1,SUMIF($A$2:A119,G119,$C$2:C119),C119))</f>
        <v/>
      </c>
      <c r="K119" s="45" t="str">
        <f>IF(G119="","",IF(COUNTIF($G$2:G119,G119)&gt;1,SUMIF($A$2:A119,G119,$D$2:D119),D119) +SUMIF($G$2:G119,G119,$M$2:M119))</f>
        <v/>
      </c>
      <c r="L119" s="45" t="str">
        <f t="shared" si="16"/>
        <v/>
      </c>
      <c r="M119" s="46" t="str">
        <f>IF(G119="","",IF(B119 = "BUY", 0,(E119-VLOOKUP(CONCATENATE(G119,(H119-1)),$I$2:L118,4,FALSE))*-C119))</f>
        <v/>
      </c>
    </row>
    <row r="120" spans="1:13" ht="15" thickBot="1" x14ac:dyDescent="0.35">
      <c r="A120" s="27" t="str">
        <f>IF('Australian MTransaction'!A120= "","",'Australian MTransaction'!A120)</f>
        <v/>
      </c>
      <c r="B120" s="28" t="str">
        <f>IF('Australian MTransaction'!B120= "","",'Australian MTransaction'!B120)</f>
        <v/>
      </c>
      <c r="C120" s="28" t="str">
        <f>IF('Australian MTransaction'!C120= "","",IF(B120="BUY",'Australian MTransaction'!C120,-'Australian MTransaction'!C120))</f>
        <v/>
      </c>
      <c r="D120" s="28" t="str">
        <f>IF('Australian MTransaction'!D120 = "","",IF($B120 = "BUY", 'Australian MTransaction'!D120,-'Australian MTransaction'!D120))</f>
        <v/>
      </c>
      <c r="E120" s="28" t="str">
        <f>IF('Australian MTransaction'!E120= "","",'Australian MTransaction'!E120)</f>
        <v/>
      </c>
      <c r="F120" s="23"/>
      <c r="G120" s="28" t="str">
        <f t="shared" si="14"/>
        <v/>
      </c>
      <c r="H120" s="28" t="str">
        <f>IF(A120="","",COUNTIF($G$2:G120,G120))</f>
        <v/>
      </c>
      <c r="I120" s="28" t="str">
        <f t="shared" si="15"/>
        <v/>
      </c>
      <c r="J120" s="28" t="str">
        <f>IF(G120="","",IF(COUNTIF($G$2:G120,G120)&gt;1,SUMIF($A$2:A120,G120,$C$2:C120),C120))</f>
        <v/>
      </c>
      <c r="K120" s="45" t="str">
        <f>IF(G120="","",IF(COUNTIF($G$2:G120,G120)&gt;1,SUMIF($A$2:A120,G120,$D$2:D120),D120) +SUMIF($G$2:G120,G120,$M$2:M120))</f>
        <v/>
      </c>
      <c r="L120" s="45" t="str">
        <f t="shared" si="16"/>
        <v/>
      </c>
      <c r="M120" s="46" t="str">
        <f>IF(G120="","",IF(B120 = "BUY", 0,(E120-VLOOKUP(CONCATENATE(G120,(H120-1)),$I$2:L119,4,FALSE))*-C120))</f>
        <v/>
      </c>
    </row>
    <row r="121" spans="1:13" ht="15" thickBot="1" x14ac:dyDescent="0.35">
      <c r="A121" s="27" t="str">
        <f>IF('Australian MTransaction'!A121= "","",'Australian MTransaction'!A121)</f>
        <v/>
      </c>
      <c r="B121" s="28" t="str">
        <f>IF('Australian MTransaction'!B121= "","",'Australian MTransaction'!B121)</f>
        <v/>
      </c>
      <c r="C121" s="28" t="str">
        <f>IF('Australian MTransaction'!C121= "","",IF(B121="BUY",'Australian MTransaction'!C121,-'Australian MTransaction'!C121))</f>
        <v/>
      </c>
      <c r="D121" s="28" t="str">
        <f>IF('Australian MTransaction'!D121 = "","",IF($B121 = "BUY", 'Australian MTransaction'!D121,-'Australian MTransaction'!D121))</f>
        <v/>
      </c>
      <c r="E121" s="28" t="str">
        <f>IF('Australian MTransaction'!E121= "","",'Australian MTransaction'!E121)</f>
        <v/>
      </c>
      <c r="F121" s="23"/>
      <c r="G121" s="28" t="str">
        <f t="shared" si="14"/>
        <v/>
      </c>
      <c r="H121" s="28" t="str">
        <f>IF(A121="","",COUNTIF($G$2:G121,G121))</f>
        <v/>
      </c>
      <c r="I121" s="28" t="str">
        <f t="shared" si="15"/>
        <v/>
      </c>
      <c r="J121" s="28" t="str">
        <f>IF(G121="","",IF(COUNTIF($G$2:G121,G121)&gt;1,SUMIF($A$2:A121,G121,$C$2:C121),C121))</f>
        <v/>
      </c>
      <c r="K121" s="45" t="str">
        <f>IF(G121="","",IF(COUNTIF($G$2:G121,G121)&gt;1,SUMIF($A$2:A121,G121,$D$2:D121),D121) +SUMIF($G$2:G121,G121,$M$2:M121))</f>
        <v/>
      </c>
      <c r="L121" s="45" t="str">
        <f t="shared" si="16"/>
        <v/>
      </c>
      <c r="M121" s="46" t="str">
        <f>IF(G121="","",IF(B121 = "BUY", 0,(E121-VLOOKUP(CONCATENATE(G121,(H121-1)),$I$2:L120,4,FALSE))*-C121))</f>
        <v/>
      </c>
    </row>
    <row r="122" spans="1:13" ht="15" thickBot="1" x14ac:dyDescent="0.35">
      <c r="A122" s="27" t="str">
        <f>IF('Australian MTransaction'!A122= "","",'Australian MTransaction'!A122)</f>
        <v/>
      </c>
      <c r="B122" s="28" t="str">
        <f>IF('Australian MTransaction'!B122= "","",'Australian MTransaction'!B122)</f>
        <v/>
      </c>
      <c r="C122" s="28" t="str">
        <f>IF('Australian MTransaction'!C122= "","",IF(B122="BUY",'Australian MTransaction'!C122,-'Australian MTransaction'!C122))</f>
        <v/>
      </c>
      <c r="D122" s="28" t="str">
        <f>IF('Australian MTransaction'!D122 = "","",IF($B122 = "BUY", 'Australian MTransaction'!D122,-'Australian MTransaction'!D122))</f>
        <v/>
      </c>
      <c r="E122" s="28" t="str">
        <f>IF('Australian MTransaction'!E122= "","",'Australian MTransaction'!E122)</f>
        <v/>
      </c>
      <c r="F122" s="23"/>
      <c r="G122" s="28" t="str">
        <f t="shared" si="14"/>
        <v/>
      </c>
      <c r="H122" s="28" t="str">
        <f>IF(A122="","",COUNTIF($G$2:G122,G122))</f>
        <v/>
      </c>
      <c r="I122" s="28" t="str">
        <f t="shared" si="15"/>
        <v/>
      </c>
      <c r="J122" s="28" t="str">
        <f>IF(G122="","",IF(COUNTIF($G$2:G122,G122)&gt;1,SUMIF($A$2:A122,G122,$C$2:C122),C122))</f>
        <v/>
      </c>
      <c r="K122" s="45" t="str">
        <f>IF(G122="","",IF(COUNTIF($G$2:G122,G122)&gt;1,SUMIF($A$2:A122,G122,$D$2:D122),D122) +SUMIF($G$2:G122,G122,$M$2:M122))</f>
        <v/>
      </c>
      <c r="L122" s="45" t="str">
        <f t="shared" si="16"/>
        <v/>
      </c>
      <c r="M122" s="46" t="str">
        <f>IF(G122="","",IF(B122 = "BUY", 0,(E122-VLOOKUP(CONCATENATE(G122,(H122-1)),$I$2:L121,4,FALSE))*-C122))</f>
        <v/>
      </c>
    </row>
    <row r="123" spans="1:13" ht="15" thickBot="1" x14ac:dyDescent="0.35">
      <c r="A123" s="27" t="str">
        <f>IF('Australian MTransaction'!A123= "","",'Australian MTransaction'!A123)</f>
        <v/>
      </c>
      <c r="B123" s="28" t="str">
        <f>IF('Australian MTransaction'!B123= "","",'Australian MTransaction'!B123)</f>
        <v/>
      </c>
      <c r="C123" s="28" t="str">
        <f>IF('Australian MTransaction'!C123= "","",IF(B123="BUY",'Australian MTransaction'!C123,-'Australian MTransaction'!C123))</f>
        <v/>
      </c>
      <c r="D123" s="28" t="str">
        <f>IF('Australian MTransaction'!D123 = "","",IF($B123 = "BUY", 'Australian MTransaction'!D123,-'Australian MTransaction'!D123))</f>
        <v/>
      </c>
      <c r="E123" s="28" t="str">
        <f>IF('Australian MTransaction'!E123= "","",'Australian MTransaction'!E123)</f>
        <v/>
      </c>
      <c r="F123" s="23"/>
      <c r="G123" s="28" t="str">
        <f t="shared" si="14"/>
        <v/>
      </c>
      <c r="H123" s="28" t="str">
        <f>IF(A123="","",COUNTIF($G$2:G123,G123))</f>
        <v/>
      </c>
      <c r="I123" s="28" t="str">
        <f t="shared" si="15"/>
        <v/>
      </c>
      <c r="J123" s="28" t="str">
        <f>IF(G123="","",IF(COUNTIF($G$2:G123,G123)&gt;1,SUMIF($A$2:A123,G123,$C$2:C123),C123))</f>
        <v/>
      </c>
      <c r="K123" s="45" t="str">
        <f>IF(G123="","",IF(COUNTIF($G$2:G123,G123)&gt;1,SUMIF($A$2:A123,G123,$D$2:D123),D123) +SUMIF($G$2:G123,G123,$M$2:M123))</f>
        <v/>
      </c>
      <c r="L123" s="45" t="str">
        <f t="shared" si="16"/>
        <v/>
      </c>
      <c r="M123" s="46" t="str">
        <f>IF(G123="","",IF(B123 = "BUY", 0,(E123-VLOOKUP(CONCATENATE(G123,(H123-1)),$I$2:L122,4,FALSE))*-C123))</f>
        <v/>
      </c>
    </row>
    <row r="124" spans="1:13" ht="15" thickBot="1" x14ac:dyDescent="0.35">
      <c r="A124" s="27" t="str">
        <f>IF('Australian MTransaction'!A124= "","",'Australian MTransaction'!A124)</f>
        <v/>
      </c>
      <c r="B124" s="28" t="str">
        <f>IF('Australian MTransaction'!B124= "","",'Australian MTransaction'!B124)</f>
        <v/>
      </c>
      <c r="C124" s="28" t="str">
        <f>IF('Australian MTransaction'!C124= "","",IF(B124="BUY",'Australian MTransaction'!C124,-'Australian MTransaction'!C124))</f>
        <v/>
      </c>
      <c r="D124" s="28" t="str">
        <f>IF('Australian MTransaction'!D124 = "","",IF($B124 = "BUY", 'Australian MTransaction'!D124,-'Australian MTransaction'!D124))</f>
        <v/>
      </c>
      <c r="E124" s="28" t="str">
        <f>IF('Australian MTransaction'!E124= "","",'Australian MTransaction'!E124)</f>
        <v/>
      </c>
      <c r="F124" s="23"/>
      <c r="G124" s="28" t="str">
        <f t="shared" si="14"/>
        <v/>
      </c>
      <c r="H124" s="28" t="str">
        <f>IF(A124="","",COUNTIF($G$2:G124,G124))</f>
        <v/>
      </c>
      <c r="I124" s="28" t="str">
        <f t="shared" si="15"/>
        <v/>
      </c>
      <c r="J124" s="28" t="str">
        <f>IF(G124="","",IF(COUNTIF($G$2:G124,G124)&gt;1,SUMIF($A$2:A124,G124,$C$2:C124),C124))</f>
        <v/>
      </c>
      <c r="K124" s="45" t="str">
        <f>IF(G124="","",IF(COUNTIF($G$2:G124,G124)&gt;1,SUMIF($A$2:A124,G124,$D$2:D124),D124) +SUMIF($G$2:G124,G124,$M$2:M124))</f>
        <v/>
      </c>
      <c r="L124" s="45" t="str">
        <f t="shared" si="16"/>
        <v/>
      </c>
      <c r="M124" s="46" t="str">
        <f>IF(G124="","",IF(B124 = "BUY", 0,(E124-VLOOKUP(CONCATENATE(G124,(H124-1)),$I$2:L123,4,FALSE))*-C124))</f>
        <v/>
      </c>
    </row>
    <row r="125" spans="1:13" ht="15" thickBot="1" x14ac:dyDescent="0.35">
      <c r="A125" s="27" t="str">
        <f>IF('Australian MTransaction'!A125= "","",'Australian MTransaction'!A125)</f>
        <v/>
      </c>
      <c r="B125" s="28" t="str">
        <f>IF('Australian MTransaction'!B125= "","",'Australian MTransaction'!B125)</f>
        <v/>
      </c>
      <c r="C125" s="28" t="str">
        <f>IF('Australian MTransaction'!C125= "","",IF(B125="BUY",'Australian MTransaction'!C125,-'Australian MTransaction'!C125))</f>
        <v/>
      </c>
      <c r="D125" s="28" t="str">
        <f>IF('Australian MTransaction'!D125 = "","",IF($B125 = "BUY", 'Australian MTransaction'!D125,-'Australian MTransaction'!D125))</f>
        <v/>
      </c>
      <c r="E125" s="28" t="str">
        <f>IF('Australian MTransaction'!E125= "","",'Australian MTransaction'!E125)</f>
        <v/>
      </c>
      <c r="F125" s="23"/>
      <c r="G125" s="28" t="str">
        <f t="shared" si="14"/>
        <v/>
      </c>
      <c r="H125" s="28" t="str">
        <f>IF(A125="","",COUNTIF($G$2:G125,G125))</f>
        <v/>
      </c>
      <c r="I125" s="28" t="str">
        <f t="shared" si="15"/>
        <v/>
      </c>
      <c r="J125" s="28" t="str">
        <f>IF(G125="","",IF(COUNTIF($G$2:G125,G125)&gt;1,SUMIF($A$2:A125,G125,$C$2:C125),C125))</f>
        <v/>
      </c>
      <c r="K125" s="45" t="str">
        <f>IF(G125="","",IF(COUNTIF($G$2:G125,G125)&gt;1,SUMIF($A$2:A125,G125,$D$2:D125),D125) +SUMIF($G$2:G125,G125,$M$2:M125))</f>
        <v/>
      </c>
      <c r="L125" s="45" t="str">
        <f t="shared" si="16"/>
        <v/>
      </c>
      <c r="M125" s="46" t="str">
        <f>IF(G125="","",IF(B125 = "BUY", 0,(E125-VLOOKUP(CONCATENATE(G125,(H125-1)),$I$2:L124,4,FALSE))*-C125))</f>
        <v/>
      </c>
    </row>
    <row r="126" spans="1:13" ht="15" thickBot="1" x14ac:dyDescent="0.35">
      <c r="A126" s="27" t="str">
        <f>IF('Australian MTransaction'!A126= "","",'Australian MTransaction'!A126)</f>
        <v/>
      </c>
      <c r="B126" s="28" t="str">
        <f>IF('Australian MTransaction'!B126= "","",'Australian MTransaction'!B126)</f>
        <v/>
      </c>
      <c r="C126" s="28" t="str">
        <f>IF('Australian MTransaction'!C126= "","",IF(B126="BUY",'Australian MTransaction'!C126,-'Australian MTransaction'!C126))</f>
        <v/>
      </c>
      <c r="D126" s="28" t="str">
        <f>IF('Australian MTransaction'!D126 = "","",IF($B126 = "BUY", 'Australian MTransaction'!D126,-'Australian MTransaction'!D126))</f>
        <v/>
      </c>
      <c r="E126" s="28" t="str">
        <f>IF('Australian MTransaction'!E126= "","",'Australian MTransaction'!E126)</f>
        <v/>
      </c>
      <c r="F126" s="23"/>
      <c r="G126" s="28" t="str">
        <f t="shared" si="14"/>
        <v/>
      </c>
      <c r="H126" s="28" t="str">
        <f>IF(A126="","",COUNTIF($G$2:G126,G126))</f>
        <v/>
      </c>
      <c r="I126" s="28" t="str">
        <f t="shared" si="15"/>
        <v/>
      </c>
      <c r="J126" s="28" t="str">
        <f>IF(G126="","",IF(COUNTIF($G$2:G126,G126)&gt;1,SUMIF($A$2:A126,G126,$C$2:C126),C126))</f>
        <v/>
      </c>
      <c r="K126" s="45" t="str">
        <f>IF(G126="","",IF(COUNTIF($G$2:G126,G126)&gt;1,SUMIF($A$2:A126,G126,$D$2:D126),D126) +SUMIF($G$2:G126,G126,$M$2:M126))</f>
        <v/>
      </c>
      <c r="L126" s="45" t="str">
        <f t="shared" si="16"/>
        <v/>
      </c>
      <c r="M126" s="46" t="str">
        <f>IF(G126="","",IF(B126 = "BUY", 0,(E126-VLOOKUP(CONCATENATE(G126,(H126-1)),$I$2:L125,4,FALSE))*-C126))</f>
        <v/>
      </c>
    </row>
    <row r="127" spans="1:13" ht="15" thickBot="1" x14ac:dyDescent="0.35">
      <c r="A127" s="27" t="str">
        <f>IF('Australian MTransaction'!A127= "","",'Australian MTransaction'!A127)</f>
        <v/>
      </c>
      <c r="B127" s="28" t="str">
        <f>IF('Australian MTransaction'!B127= "","",'Australian MTransaction'!B127)</f>
        <v/>
      </c>
      <c r="C127" s="28" t="str">
        <f>IF('Australian MTransaction'!C127= "","",IF(B127="BUY",'Australian MTransaction'!C127,-'Australian MTransaction'!C127))</f>
        <v/>
      </c>
      <c r="D127" s="28" t="str">
        <f>IF('Australian MTransaction'!D127 = "","",IF($B127 = "BUY", 'Australian MTransaction'!D127,-'Australian MTransaction'!D127))</f>
        <v/>
      </c>
      <c r="E127" s="28" t="str">
        <f>IF('Australian MTransaction'!E127= "","",'Australian MTransaction'!E127)</f>
        <v/>
      </c>
      <c r="F127" s="23"/>
      <c r="G127" s="28" t="str">
        <f t="shared" si="14"/>
        <v/>
      </c>
      <c r="H127" s="28" t="str">
        <f>IF(A127="","",COUNTIF($G$2:G127,G127))</f>
        <v/>
      </c>
      <c r="I127" s="28" t="str">
        <f t="shared" si="15"/>
        <v/>
      </c>
      <c r="J127" s="28" t="str">
        <f>IF(G127="","",IF(COUNTIF($G$2:G127,G127)&gt;1,SUMIF($A$2:A127,G127,$C$2:C127),C127))</f>
        <v/>
      </c>
      <c r="K127" s="45" t="str">
        <f>IF(G127="","",IF(COUNTIF($G$2:G127,G127)&gt;1,SUMIF($A$2:A127,G127,$D$2:D127),D127) +SUMIF($G$2:G127,G127,$M$2:M127))</f>
        <v/>
      </c>
      <c r="L127" s="45" t="str">
        <f t="shared" si="16"/>
        <v/>
      </c>
      <c r="M127" s="46" t="str">
        <f>IF(G127="","",IF(B127 = "BUY", 0,(E127-VLOOKUP(CONCATENATE(G127,(H127-1)),$I$2:L126,4,FALSE))*-C127))</f>
        <v/>
      </c>
    </row>
    <row r="128" spans="1:13" ht="15" thickBot="1" x14ac:dyDescent="0.35">
      <c r="A128" s="27" t="str">
        <f>IF('Australian MTransaction'!A128= "","",'Australian MTransaction'!A128)</f>
        <v/>
      </c>
      <c r="B128" s="28" t="str">
        <f>IF('Australian MTransaction'!B128= "","",'Australian MTransaction'!B128)</f>
        <v/>
      </c>
      <c r="C128" s="28" t="str">
        <f>IF('Australian MTransaction'!C128= "","",IF(B128="BUY",'Australian MTransaction'!C128,-'Australian MTransaction'!C128))</f>
        <v/>
      </c>
      <c r="D128" s="28" t="str">
        <f>IF('Australian MTransaction'!D128 = "","",IF($B128 = "BUY", 'Australian MTransaction'!D128,-'Australian MTransaction'!D128))</f>
        <v/>
      </c>
      <c r="E128" s="28" t="str">
        <f>IF('Australian MTransaction'!E128= "","",'Australian MTransaction'!E128)</f>
        <v/>
      </c>
      <c r="F128" s="23"/>
      <c r="G128" s="28" t="str">
        <f t="shared" si="14"/>
        <v/>
      </c>
      <c r="H128" s="28" t="str">
        <f>IF(A128="","",COUNTIF($G$2:G128,G128))</f>
        <v/>
      </c>
      <c r="I128" s="28" t="str">
        <f t="shared" si="15"/>
        <v/>
      </c>
      <c r="J128" s="28" t="str">
        <f>IF(G128="","",IF(COUNTIF($G$2:G128,G128)&gt;1,SUMIF($A$2:A128,G128,$C$2:C128),C128))</f>
        <v/>
      </c>
      <c r="K128" s="45" t="str">
        <f>IF(G128="","",IF(COUNTIF($G$2:G128,G128)&gt;1,SUMIF($A$2:A128,G128,$D$2:D128),D128) +SUMIF($G$2:G128,G128,$M$2:M128))</f>
        <v/>
      </c>
      <c r="L128" s="45" t="str">
        <f t="shared" si="16"/>
        <v/>
      </c>
      <c r="M128" s="46" t="str">
        <f>IF(G128="","",IF(B128 = "BUY", 0,(E128-VLOOKUP(CONCATENATE(G128,(H128-1)),$I$2:L127,4,FALSE))*-C128))</f>
        <v/>
      </c>
    </row>
    <row r="129" spans="1:13" ht="15" thickBot="1" x14ac:dyDescent="0.35">
      <c r="A129" s="27" t="str">
        <f>IF('Australian MTransaction'!A129= "","",'Australian MTransaction'!A129)</f>
        <v/>
      </c>
      <c r="B129" s="28" t="str">
        <f>IF('Australian MTransaction'!B129= "","",'Australian MTransaction'!B129)</f>
        <v/>
      </c>
      <c r="C129" s="28" t="str">
        <f>IF('Australian MTransaction'!C129= "","",IF(B129="BUY",'Australian MTransaction'!C129,-'Australian MTransaction'!C129))</f>
        <v/>
      </c>
      <c r="D129" s="28" t="str">
        <f>IF('Australian MTransaction'!D129 = "","",IF($B129 = "BUY", 'Australian MTransaction'!D129,-'Australian MTransaction'!D129))</f>
        <v/>
      </c>
      <c r="E129" s="28" t="str">
        <f>IF('Australian MTransaction'!E129= "","",'Australian MTransaction'!E129)</f>
        <v/>
      </c>
      <c r="F129" s="23"/>
      <c r="G129" s="28" t="str">
        <f t="shared" si="14"/>
        <v/>
      </c>
      <c r="H129" s="28" t="str">
        <f>IF(A129="","",COUNTIF($G$2:G129,G129))</f>
        <v/>
      </c>
      <c r="I129" s="28" t="str">
        <f t="shared" si="15"/>
        <v/>
      </c>
      <c r="J129" s="28" t="str">
        <f>IF(G129="","",IF(COUNTIF($G$2:G129,G129)&gt;1,SUMIF($A$2:A129,G129,$C$2:C129),C129))</f>
        <v/>
      </c>
      <c r="K129" s="45" t="str">
        <f>IF(G129="","",IF(COUNTIF($G$2:G129,G129)&gt;1,SUMIF($A$2:A129,G129,$D$2:D129),D129) +SUMIF($G$2:G129,G129,$M$2:M129))</f>
        <v/>
      </c>
      <c r="L129" s="45" t="str">
        <f t="shared" si="16"/>
        <v/>
      </c>
      <c r="M129" s="46" t="str">
        <f>IF(G129="","",IF(B129 = "BUY", 0,(E129-VLOOKUP(CONCATENATE(G129,(H129-1)),$I$2:L128,4,FALSE))*-C129))</f>
        <v/>
      </c>
    </row>
    <row r="130" spans="1:13" ht="15" thickBot="1" x14ac:dyDescent="0.35">
      <c r="A130" s="27" t="str">
        <f>IF('Australian MTransaction'!A130= "","",'Australian MTransaction'!A130)</f>
        <v/>
      </c>
      <c r="B130" s="28" t="str">
        <f>IF('Australian MTransaction'!B130= "","",'Australian MTransaction'!B130)</f>
        <v/>
      </c>
      <c r="C130" s="28" t="str">
        <f>IF('Australian MTransaction'!C130= "","",IF(B130="BUY",'Australian MTransaction'!C130,-'Australian MTransaction'!C130))</f>
        <v/>
      </c>
      <c r="D130" s="28" t="str">
        <f>IF('Australian MTransaction'!D130 = "","",IF($B130 = "BUY", 'Australian MTransaction'!D130,-'Australian MTransaction'!D130))</f>
        <v/>
      </c>
      <c r="E130" s="28" t="str">
        <f>IF('Australian MTransaction'!E130= "","",'Australian MTransaction'!E130)</f>
        <v/>
      </c>
      <c r="F130" s="23"/>
      <c r="G130" s="28" t="str">
        <f t="shared" si="14"/>
        <v/>
      </c>
      <c r="H130" s="28" t="str">
        <f>IF(A130="","",COUNTIF($G$2:G130,G130))</f>
        <v/>
      </c>
      <c r="I130" s="28" t="str">
        <f t="shared" si="15"/>
        <v/>
      </c>
      <c r="J130" s="28" t="str">
        <f>IF(G130="","",IF(COUNTIF($G$2:G130,G130)&gt;1,SUMIF($A$2:A130,G130,$C$2:C130),C130))</f>
        <v/>
      </c>
      <c r="K130" s="45" t="str">
        <f>IF(G130="","",IF(COUNTIF($G$2:G130,G130)&gt;1,SUMIF($A$2:A130,G130,$D$2:D130),D130) +SUMIF($G$2:G130,G130,$M$2:M130))</f>
        <v/>
      </c>
      <c r="L130" s="45" t="str">
        <f t="shared" si="16"/>
        <v/>
      </c>
      <c r="M130" s="46" t="str">
        <f>IF(G130="","",IF(B130 = "BUY", 0,(E130-VLOOKUP(CONCATENATE(G130,(H130-1)),$I$2:L129,4,FALSE))*-C130))</f>
        <v/>
      </c>
    </row>
    <row r="131" spans="1:13" ht="15" thickBot="1" x14ac:dyDescent="0.35">
      <c r="A131" s="27" t="str">
        <f>IF('Australian MTransaction'!A131= "","",'Australian MTransaction'!A131)</f>
        <v/>
      </c>
      <c r="B131" s="28" t="str">
        <f>IF('Australian MTransaction'!B131= "","",'Australian MTransaction'!B131)</f>
        <v/>
      </c>
      <c r="C131" s="28" t="str">
        <f>IF('Australian MTransaction'!C131= "","",IF(B131="BUY",'Australian MTransaction'!C131,-'Australian MTransaction'!C131))</f>
        <v/>
      </c>
      <c r="D131" s="28" t="str">
        <f>IF('Australian MTransaction'!D131 = "","",IF($B131 = "BUY", 'Australian MTransaction'!D131,-'Australian MTransaction'!D131))</f>
        <v/>
      </c>
      <c r="E131" s="28" t="str">
        <f>IF('Australian MTransaction'!E131= "","",'Australian MTransaction'!E131)</f>
        <v/>
      </c>
      <c r="F131" s="23"/>
      <c r="G131" s="28" t="str">
        <f t="shared" ref="G131:G194" si="17">A131</f>
        <v/>
      </c>
      <c r="H131" s="28" t="str">
        <f>IF(A131="","",COUNTIF($G$2:G131,G131))</f>
        <v/>
      </c>
      <c r="I131" s="28" t="str">
        <f t="shared" ref="I131:I194" si="18">_xlfn.CONCAT(G131,H131)</f>
        <v/>
      </c>
      <c r="J131" s="28" t="str">
        <f>IF(G131="","",IF(COUNTIF($G$2:G131,G131)&gt;1,SUMIF($A$2:A131,G131,$C$2:C131),C131))</f>
        <v/>
      </c>
      <c r="K131" s="45" t="str">
        <f>IF(G131="","",IF(COUNTIF($G$2:G131,G131)&gt;1,SUMIF($A$2:A131,G131,$D$2:D131),D131) +SUMIF($G$2:G131,G131,$M$2:M131))</f>
        <v/>
      </c>
      <c r="L131" s="45" t="str">
        <f t="shared" ref="L131:L194" si="19">IF(G131="","",IFERROR(K131/J131,0))</f>
        <v/>
      </c>
      <c r="M131" s="46" t="str">
        <f>IF(G131="","",IF(B131 = "BUY", 0,(E131-VLOOKUP(CONCATENATE(G131,(H131-1)),$I$2:L130,4,FALSE))*-C131))</f>
        <v/>
      </c>
    </row>
    <row r="132" spans="1:13" ht="15" thickBot="1" x14ac:dyDescent="0.35">
      <c r="A132" s="27" t="str">
        <f>IF('Australian MTransaction'!A132= "","",'Australian MTransaction'!A132)</f>
        <v/>
      </c>
      <c r="B132" s="28" t="str">
        <f>IF('Australian MTransaction'!B132= "","",'Australian MTransaction'!B132)</f>
        <v/>
      </c>
      <c r="C132" s="28" t="str">
        <f>IF('Australian MTransaction'!C132= "","",IF(B132="BUY",'Australian MTransaction'!C132,-'Australian MTransaction'!C132))</f>
        <v/>
      </c>
      <c r="D132" s="28" t="str">
        <f>IF('Australian MTransaction'!D132 = "","",IF($B132 = "BUY", 'Australian MTransaction'!D132,-'Australian MTransaction'!D132))</f>
        <v/>
      </c>
      <c r="E132" s="28" t="str">
        <f>IF('Australian MTransaction'!E132= "","",'Australian MTransaction'!E132)</f>
        <v/>
      </c>
      <c r="F132" s="23"/>
      <c r="G132" s="28" t="str">
        <f t="shared" si="17"/>
        <v/>
      </c>
      <c r="H132" s="28" t="str">
        <f>IF(A132="","",COUNTIF($G$2:G132,G132))</f>
        <v/>
      </c>
      <c r="I132" s="28" t="str">
        <f t="shared" si="18"/>
        <v/>
      </c>
      <c r="J132" s="28" t="str">
        <f>IF(G132="","",IF(COUNTIF($G$2:G132,G132)&gt;1,SUMIF($A$2:A132,G132,$C$2:C132),C132))</f>
        <v/>
      </c>
      <c r="K132" s="45" t="str">
        <f>IF(G132="","",IF(COUNTIF($G$2:G132,G132)&gt;1,SUMIF($A$2:A132,G132,$D$2:D132),D132) +SUMIF($G$2:G132,G132,$M$2:M132))</f>
        <v/>
      </c>
      <c r="L132" s="45" t="str">
        <f t="shared" si="19"/>
        <v/>
      </c>
      <c r="M132" s="46" t="str">
        <f>IF(G132="","",IF(B132 = "BUY", 0,(E132-VLOOKUP(CONCATENATE(G132,(H132-1)),$I$2:L131,4,FALSE))*-C132))</f>
        <v/>
      </c>
    </row>
    <row r="133" spans="1:13" ht="15" thickBot="1" x14ac:dyDescent="0.35">
      <c r="A133" s="27" t="str">
        <f>IF('Australian MTransaction'!A133= "","",'Australian MTransaction'!A133)</f>
        <v/>
      </c>
      <c r="B133" s="28" t="str">
        <f>IF('Australian MTransaction'!B133= "","",'Australian MTransaction'!B133)</f>
        <v/>
      </c>
      <c r="C133" s="28" t="str">
        <f>IF('Australian MTransaction'!C133= "","",IF(B133="BUY",'Australian MTransaction'!C133,-'Australian MTransaction'!C133))</f>
        <v/>
      </c>
      <c r="D133" s="28" t="str">
        <f>IF('Australian MTransaction'!D133 = "","",IF($B133 = "BUY", 'Australian MTransaction'!D133,-'Australian MTransaction'!D133))</f>
        <v/>
      </c>
      <c r="E133" s="28" t="str">
        <f>IF('Australian MTransaction'!E133= "","",'Australian MTransaction'!E133)</f>
        <v/>
      </c>
      <c r="F133" s="23"/>
      <c r="G133" s="28" t="str">
        <f t="shared" si="17"/>
        <v/>
      </c>
      <c r="H133" s="28" t="str">
        <f>IF(A133="","",COUNTIF($G$2:G133,G133))</f>
        <v/>
      </c>
      <c r="I133" s="28" t="str">
        <f t="shared" si="18"/>
        <v/>
      </c>
      <c r="J133" s="28" t="str">
        <f>IF(G133="","",IF(COUNTIF($G$2:G133,G133)&gt;1,SUMIF($A$2:A133,G133,$C$2:C133),C133))</f>
        <v/>
      </c>
      <c r="K133" s="45" t="str">
        <f>IF(G133="","",IF(COUNTIF($G$2:G133,G133)&gt;1,SUMIF($A$2:A133,G133,$D$2:D133),D133) +SUMIF($G$2:G133,G133,$M$2:M133))</f>
        <v/>
      </c>
      <c r="L133" s="45" t="str">
        <f t="shared" si="19"/>
        <v/>
      </c>
      <c r="M133" s="46" t="str">
        <f>IF(G133="","",IF(B133 = "BUY", 0,(E133-VLOOKUP(CONCATENATE(G133,(H133-1)),$I$2:L132,4,FALSE))*-C133))</f>
        <v/>
      </c>
    </row>
    <row r="134" spans="1:13" ht="15" thickBot="1" x14ac:dyDescent="0.35">
      <c r="A134" s="27" t="str">
        <f>IF('Australian MTransaction'!A134= "","",'Australian MTransaction'!A134)</f>
        <v/>
      </c>
      <c r="B134" s="28" t="str">
        <f>IF('Australian MTransaction'!B134= "","",'Australian MTransaction'!B134)</f>
        <v/>
      </c>
      <c r="C134" s="28" t="str">
        <f>IF('Australian MTransaction'!C134= "","",IF(B134="BUY",'Australian MTransaction'!C134,-'Australian MTransaction'!C134))</f>
        <v/>
      </c>
      <c r="D134" s="28" t="str">
        <f>IF('Australian MTransaction'!D134 = "","",IF($B134 = "BUY", 'Australian MTransaction'!D134,-'Australian MTransaction'!D134))</f>
        <v/>
      </c>
      <c r="E134" s="28" t="str">
        <f>IF('Australian MTransaction'!E134= "","",'Australian MTransaction'!E134)</f>
        <v/>
      </c>
      <c r="F134" s="23"/>
      <c r="G134" s="28" t="str">
        <f t="shared" si="17"/>
        <v/>
      </c>
      <c r="H134" s="28" t="str">
        <f>IF(A134="","",COUNTIF($G$2:G134,G134))</f>
        <v/>
      </c>
      <c r="I134" s="28" t="str">
        <f t="shared" si="18"/>
        <v/>
      </c>
      <c r="J134" s="28" t="str">
        <f>IF(G134="","",IF(COUNTIF($G$2:G134,G134)&gt;1,SUMIF($A$2:A134,G134,$C$2:C134),C134))</f>
        <v/>
      </c>
      <c r="K134" s="45" t="str">
        <f>IF(G134="","",IF(COUNTIF($G$2:G134,G134)&gt;1,SUMIF($A$2:A134,G134,$D$2:D134),D134) +SUMIF($G$2:G134,G134,$M$2:M134))</f>
        <v/>
      </c>
      <c r="L134" s="45" t="str">
        <f t="shared" si="19"/>
        <v/>
      </c>
      <c r="M134" s="46" t="str">
        <f>IF(G134="","",IF(B134 = "BUY", 0,(E134-VLOOKUP(CONCATENATE(G134,(H134-1)),$I$2:L133,4,FALSE))*-C134))</f>
        <v/>
      </c>
    </row>
    <row r="135" spans="1:13" ht="15" thickBot="1" x14ac:dyDescent="0.35">
      <c r="A135" s="27" t="str">
        <f>IF('Australian MTransaction'!A135= "","",'Australian MTransaction'!A135)</f>
        <v/>
      </c>
      <c r="B135" s="28" t="str">
        <f>IF('Australian MTransaction'!B135= "","",'Australian MTransaction'!B135)</f>
        <v/>
      </c>
      <c r="C135" s="28" t="str">
        <f>IF('Australian MTransaction'!C135= "","",IF(B135="BUY",'Australian MTransaction'!C135,-'Australian MTransaction'!C135))</f>
        <v/>
      </c>
      <c r="D135" s="28" t="str">
        <f>IF('Australian MTransaction'!D135 = "","",IF($B135 = "BUY", 'Australian MTransaction'!D135,-'Australian MTransaction'!D135))</f>
        <v/>
      </c>
      <c r="E135" s="28" t="str">
        <f>IF('Australian MTransaction'!E135= "","",'Australian MTransaction'!E135)</f>
        <v/>
      </c>
      <c r="F135" s="23"/>
      <c r="G135" s="28" t="str">
        <f t="shared" si="17"/>
        <v/>
      </c>
      <c r="H135" s="28" t="str">
        <f>IF(A135="","",COUNTIF($G$2:G135,G135))</f>
        <v/>
      </c>
      <c r="I135" s="28" t="str">
        <f t="shared" si="18"/>
        <v/>
      </c>
      <c r="J135" s="28" t="str">
        <f>IF(G135="","",IF(COUNTIF($G$2:G135,G135)&gt;1,SUMIF($A$2:A135,G135,$C$2:C135),C135))</f>
        <v/>
      </c>
      <c r="K135" s="45" t="str">
        <f>IF(G135="","",IF(COUNTIF($G$2:G135,G135)&gt;1,SUMIF($A$2:A135,G135,$D$2:D135),D135) +SUMIF($G$2:G135,G135,$M$2:M135))</f>
        <v/>
      </c>
      <c r="L135" s="45" t="str">
        <f t="shared" si="19"/>
        <v/>
      </c>
      <c r="M135" s="46" t="str">
        <f>IF(G135="","",IF(B135 = "BUY", 0,(E135-VLOOKUP(CONCATENATE(G135,(H135-1)),$I$2:L134,4,FALSE))*-C135))</f>
        <v/>
      </c>
    </row>
    <row r="136" spans="1:13" ht="15" thickBot="1" x14ac:dyDescent="0.35">
      <c r="A136" s="27" t="str">
        <f>IF('Australian MTransaction'!A136= "","",'Australian MTransaction'!A136)</f>
        <v/>
      </c>
      <c r="B136" s="28" t="str">
        <f>IF('Australian MTransaction'!B136= "","",'Australian MTransaction'!B136)</f>
        <v/>
      </c>
      <c r="C136" s="28" t="str">
        <f>IF('Australian MTransaction'!C136= "","",IF(B136="BUY",'Australian MTransaction'!C136,-'Australian MTransaction'!C136))</f>
        <v/>
      </c>
      <c r="D136" s="28" t="str">
        <f>IF('Australian MTransaction'!D136 = "","",IF($B136 = "BUY", 'Australian MTransaction'!D136,-'Australian MTransaction'!D136))</f>
        <v/>
      </c>
      <c r="E136" s="28" t="str">
        <f>IF('Australian MTransaction'!E136= "","",'Australian MTransaction'!E136)</f>
        <v/>
      </c>
      <c r="F136" s="23"/>
      <c r="G136" s="28" t="str">
        <f t="shared" si="17"/>
        <v/>
      </c>
      <c r="H136" s="28" t="str">
        <f>IF(A136="","",COUNTIF($G$2:G136,G136))</f>
        <v/>
      </c>
      <c r="I136" s="28" t="str">
        <f t="shared" si="18"/>
        <v/>
      </c>
      <c r="J136" s="28" t="str">
        <f>IF(G136="","",IF(COUNTIF($G$2:G136,G136)&gt;1,SUMIF($A$2:A136,G136,$C$2:C136),C136))</f>
        <v/>
      </c>
      <c r="K136" s="45" t="str">
        <f>IF(G136="","",IF(COUNTIF($G$2:G136,G136)&gt;1,SUMIF($A$2:A136,G136,$D$2:D136),D136) +SUMIF($G$2:G136,G136,$M$2:M136))</f>
        <v/>
      </c>
      <c r="L136" s="45" t="str">
        <f t="shared" si="19"/>
        <v/>
      </c>
      <c r="M136" s="46" t="str">
        <f>IF(G136="","",IF(B136 = "BUY", 0,(E136-VLOOKUP(CONCATENATE(G136,(H136-1)),$I$2:L135,4,FALSE))*-C136))</f>
        <v/>
      </c>
    </row>
    <row r="137" spans="1:13" ht="15" thickBot="1" x14ac:dyDescent="0.35">
      <c r="A137" s="27" t="str">
        <f>IF('Australian MTransaction'!A137= "","",'Australian MTransaction'!A137)</f>
        <v/>
      </c>
      <c r="B137" s="28" t="str">
        <f>IF('Australian MTransaction'!B137= "","",'Australian MTransaction'!B137)</f>
        <v/>
      </c>
      <c r="C137" s="28" t="str">
        <f>IF('Australian MTransaction'!C137= "","",IF(B137="BUY",'Australian MTransaction'!C137,-'Australian MTransaction'!C137))</f>
        <v/>
      </c>
      <c r="D137" s="28" t="str">
        <f>IF('Australian MTransaction'!D137 = "","",IF($B137 = "BUY", 'Australian MTransaction'!D137,-'Australian MTransaction'!D137))</f>
        <v/>
      </c>
      <c r="E137" s="28" t="str">
        <f>IF('Australian MTransaction'!E137= "","",'Australian MTransaction'!E137)</f>
        <v/>
      </c>
      <c r="F137" s="23"/>
      <c r="G137" s="28" t="str">
        <f t="shared" si="17"/>
        <v/>
      </c>
      <c r="H137" s="28" t="str">
        <f>IF(A137="","",COUNTIF($G$2:G137,G137))</f>
        <v/>
      </c>
      <c r="I137" s="28" t="str">
        <f t="shared" si="18"/>
        <v/>
      </c>
      <c r="J137" s="28" t="str">
        <f>IF(G137="","",IF(COUNTIF($G$2:G137,G137)&gt;1,SUMIF($A$2:A137,G137,$C$2:C137),C137))</f>
        <v/>
      </c>
      <c r="K137" s="45" t="str">
        <f>IF(G137="","",IF(COUNTIF($G$2:G137,G137)&gt;1,SUMIF($A$2:A137,G137,$D$2:D137),D137) +SUMIF($G$2:G137,G137,$M$2:M137))</f>
        <v/>
      </c>
      <c r="L137" s="45" t="str">
        <f t="shared" si="19"/>
        <v/>
      </c>
      <c r="M137" s="46" t="str">
        <f>IF(G137="","",IF(B137 = "BUY", 0,(E137-VLOOKUP(CONCATENATE(G137,(H137-1)),$I$2:L136,4,FALSE))*-C137))</f>
        <v/>
      </c>
    </row>
    <row r="138" spans="1:13" ht="15" thickBot="1" x14ac:dyDescent="0.35">
      <c r="A138" s="27" t="str">
        <f>IF('Australian MTransaction'!A138= "","",'Australian MTransaction'!A138)</f>
        <v/>
      </c>
      <c r="B138" s="28" t="str">
        <f>IF('Australian MTransaction'!B138= "","",'Australian MTransaction'!B138)</f>
        <v/>
      </c>
      <c r="C138" s="28" t="str">
        <f>IF('Australian MTransaction'!C138= "","",IF(B138="BUY",'Australian MTransaction'!C138,-'Australian MTransaction'!C138))</f>
        <v/>
      </c>
      <c r="D138" s="28" t="str">
        <f>IF('Australian MTransaction'!D138 = "","",IF($B138 = "BUY", 'Australian MTransaction'!D138,-'Australian MTransaction'!D138))</f>
        <v/>
      </c>
      <c r="E138" s="28" t="str">
        <f>IF('Australian MTransaction'!E138= "","",'Australian MTransaction'!E138)</f>
        <v/>
      </c>
      <c r="F138" s="23"/>
      <c r="G138" s="28" t="str">
        <f t="shared" si="17"/>
        <v/>
      </c>
      <c r="H138" s="28" t="str">
        <f>IF(A138="","",COUNTIF($G$2:G138,G138))</f>
        <v/>
      </c>
      <c r="I138" s="28" t="str">
        <f t="shared" si="18"/>
        <v/>
      </c>
      <c r="J138" s="28" t="str">
        <f>IF(G138="","",IF(COUNTIF($G$2:G138,G138)&gt;1,SUMIF($A$2:A138,G138,$C$2:C138),C138))</f>
        <v/>
      </c>
      <c r="K138" s="45" t="str">
        <f>IF(G138="","",IF(COUNTIF($G$2:G138,G138)&gt;1,SUMIF($A$2:A138,G138,$D$2:D138),D138) +SUMIF($G$2:G138,G138,$M$2:M138))</f>
        <v/>
      </c>
      <c r="L138" s="45" t="str">
        <f t="shared" si="19"/>
        <v/>
      </c>
      <c r="M138" s="46" t="str">
        <f>IF(G138="","",IF(B138 = "BUY", 0,(E138-VLOOKUP(CONCATENATE(G138,(H138-1)),$I$2:L137,4,FALSE))*-C138))</f>
        <v/>
      </c>
    </row>
    <row r="139" spans="1:13" ht="15" thickBot="1" x14ac:dyDescent="0.35">
      <c r="A139" s="27" t="str">
        <f>IF('Australian MTransaction'!A139= "","",'Australian MTransaction'!A139)</f>
        <v/>
      </c>
      <c r="B139" s="28" t="str">
        <f>IF('Australian MTransaction'!B139= "","",'Australian MTransaction'!B139)</f>
        <v/>
      </c>
      <c r="C139" s="28" t="str">
        <f>IF('Australian MTransaction'!C139= "","",IF(B139="BUY",'Australian MTransaction'!C139,-'Australian MTransaction'!C139))</f>
        <v/>
      </c>
      <c r="D139" s="28" t="str">
        <f>IF('Australian MTransaction'!D139 = "","",IF($B139 = "BUY", 'Australian MTransaction'!D139,-'Australian MTransaction'!D139))</f>
        <v/>
      </c>
      <c r="E139" s="28" t="str">
        <f>IF('Australian MTransaction'!E139= "","",'Australian MTransaction'!E139)</f>
        <v/>
      </c>
      <c r="F139" s="23"/>
      <c r="G139" s="28" t="str">
        <f t="shared" si="17"/>
        <v/>
      </c>
      <c r="H139" s="28" t="str">
        <f>IF(A139="","",COUNTIF($G$2:G139,G139))</f>
        <v/>
      </c>
      <c r="I139" s="28" t="str">
        <f t="shared" si="18"/>
        <v/>
      </c>
      <c r="J139" s="28" t="str">
        <f>IF(G139="","",IF(COUNTIF($G$2:G139,G139)&gt;1,SUMIF($A$2:A139,G139,$C$2:C139),C139))</f>
        <v/>
      </c>
      <c r="K139" s="45" t="str">
        <f>IF(G139="","",IF(COUNTIF($G$2:G139,G139)&gt;1,SUMIF($A$2:A139,G139,$D$2:D139),D139) +SUMIF($G$2:G139,G139,$M$2:M139))</f>
        <v/>
      </c>
      <c r="L139" s="45" t="str">
        <f t="shared" si="19"/>
        <v/>
      </c>
      <c r="M139" s="46" t="str">
        <f>IF(G139="","",IF(B139 = "BUY", 0,(E139-VLOOKUP(CONCATENATE(G139,(H139-1)),$I$2:L138,4,FALSE))*-C139))</f>
        <v/>
      </c>
    </row>
    <row r="140" spans="1:13" ht="15" thickBot="1" x14ac:dyDescent="0.35">
      <c r="A140" s="27" t="str">
        <f>IF('Australian MTransaction'!A140= "","",'Australian MTransaction'!A140)</f>
        <v/>
      </c>
      <c r="B140" s="28" t="str">
        <f>IF('Australian MTransaction'!B140= "","",'Australian MTransaction'!B140)</f>
        <v/>
      </c>
      <c r="C140" s="28" t="str">
        <f>IF('Australian MTransaction'!C140= "","",IF(B140="BUY",'Australian MTransaction'!C140,-'Australian MTransaction'!C140))</f>
        <v/>
      </c>
      <c r="D140" s="28" t="str">
        <f>IF('Australian MTransaction'!D140 = "","",IF($B140 = "BUY", 'Australian MTransaction'!D140,-'Australian MTransaction'!D140))</f>
        <v/>
      </c>
      <c r="E140" s="28" t="str">
        <f>IF('Australian MTransaction'!E140= "","",'Australian MTransaction'!E140)</f>
        <v/>
      </c>
      <c r="F140" s="23"/>
      <c r="G140" s="28" t="str">
        <f t="shared" si="17"/>
        <v/>
      </c>
      <c r="H140" s="28" t="str">
        <f>IF(A140="","",COUNTIF($G$2:G140,G140))</f>
        <v/>
      </c>
      <c r="I140" s="28" t="str">
        <f t="shared" si="18"/>
        <v/>
      </c>
      <c r="J140" s="28" t="str">
        <f>IF(G140="","",IF(COUNTIF($G$2:G140,G140)&gt;1,SUMIF($A$2:A140,G140,$C$2:C140),C140))</f>
        <v/>
      </c>
      <c r="K140" s="45" t="str">
        <f>IF(G140="","",IF(COUNTIF($G$2:G140,G140)&gt;1,SUMIF($A$2:A140,G140,$D$2:D140),D140) +SUMIF($G$2:G140,G140,$M$2:M140))</f>
        <v/>
      </c>
      <c r="L140" s="45" t="str">
        <f t="shared" si="19"/>
        <v/>
      </c>
      <c r="M140" s="46" t="str">
        <f>IF(G140="","",IF(B140 = "BUY", 0,(E140-VLOOKUP(CONCATENATE(G140,(H140-1)),$I$2:L139,4,FALSE))*-C140))</f>
        <v/>
      </c>
    </row>
    <row r="141" spans="1:13" ht="15" thickBot="1" x14ac:dyDescent="0.35">
      <c r="A141" s="27" t="str">
        <f>IF('Australian MTransaction'!A141= "","",'Australian MTransaction'!A141)</f>
        <v/>
      </c>
      <c r="B141" s="28" t="str">
        <f>IF('Australian MTransaction'!B141= "","",'Australian MTransaction'!B141)</f>
        <v/>
      </c>
      <c r="C141" s="28" t="str">
        <f>IF('Australian MTransaction'!C141= "","",IF(B141="BUY",'Australian MTransaction'!C141,-'Australian MTransaction'!C141))</f>
        <v/>
      </c>
      <c r="D141" s="28" t="str">
        <f>IF('Australian MTransaction'!D141 = "","",IF($B141 = "BUY", 'Australian MTransaction'!D141,-'Australian MTransaction'!D141))</f>
        <v/>
      </c>
      <c r="E141" s="28" t="str">
        <f>IF('Australian MTransaction'!E141= "","",'Australian MTransaction'!E141)</f>
        <v/>
      </c>
      <c r="F141" s="23"/>
      <c r="G141" s="28" t="str">
        <f t="shared" si="17"/>
        <v/>
      </c>
      <c r="H141" s="28" t="str">
        <f>IF(A141="","",COUNTIF($G$2:G141,G141))</f>
        <v/>
      </c>
      <c r="I141" s="28" t="str">
        <f t="shared" si="18"/>
        <v/>
      </c>
      <c r="J141" s="28" t="str">
        <f>IF(G141="","",IF(COUNTIF($G$2:G141,G141)&gt;1,SUMIF($A$2:A141,G141,$C$2:C141),C141))</f>
        <v/>
      </c>
      <c r="K141" s="45" t="str">
        <f>IF(G141="","",IF(COUNTIF($G$2:G141,G141)&gt;1,SUMIF($A$2:A141,G141,$D$2:D141),D141) +SUMIF($G$2:G141,G141,$M$2:M141))</f>
        <v/>
      </c>
      <c r="L141" s="45" t="str">
        <f t="shared" si="19"/>
        <v/>
      </c>
      <c r="M141" s="46" t="str">
        <f>IF(G141="","",IF(B141 = "BUY", 0,(E141-VLOOKUP(CONCATENATE(G141,(H141-1)),$I$2:L140,4,FALSE))*-C141))</f>
        <v/>
      </c>
    </row>
    <row r="142" spans="1:13" ht="15" thickBot="1" x14ac:dyDescent="0.35">
      <c r="A142" s="27" t="str">
        <f>IF('Australian MTransaction'!A142= "","",'Australian MTransaction'!A142)</f>
        <v/>
      </c>
      <c r="B142" s="28" t="str">
        <f>IF('Australian MTransaction'!B142= "","",'Australian MTransaction'!B142)</f>
        <v/>
      </c>
      <c r="C142" s="28" t="str">
        <f>IF('Australian MTransaction'!C142= "","",IF(B142="BUY",'Australian MTransaction'!C142,-'Australian MTransaction'!C142))</f>
        <v/>
      </c>
      <c r="D142" s="28" t="str">
        <f>IF('Australian MTransaction'!D142 = "","",IF($B142 = "BUY", 'Australian MTransaction'!D142,-'Australian MTransaction'!D142))</f>
        <v/>
      </c>
      <c r="E142" s="28" t="str">
        <f>IF('Australian MTransaction'!E142= "","",'Australian MTransaction'!E142)</f>
        <v/>
      </c>
      <c r="F142" s="23"/>
      <c r="G142" s="28" t="str">
        <f t="shared" si="17"/>
        <v/>
      </c>
      <c r="H142" s="28" t="str">
        <f>IF(A142="","",COUNTIF($G$2:G142,G142))</f>
        <v/>
      </c>
      <c r="I142" s="28" t="str">
        <f t="shared" si="18"/>
        <v/>
      </c>
      <c r="J142" s="28" t="str">
        <f>IF(G142="","",IF(COUNTIF($G$2:G142,G142)&gt;1,SUMIF($A$2:A142,G142,$C$2:C142),C142))</f>
        <v/>
      </c>
      <c r="K142" s="45" t="str">
        <f>IF(G142="","",IF(COUNTIF($G$2:G142,G142)&gt;1,SUMIF($A$2:A142,G142,$D$2:D142),D142) +SUMIF($G$2:G142,G142,$M$2:M142))</f>
        <v/>
      </c>
      <c r="L142" s="45" t="str">
        <f t="shared" si="19"/>
        <v/>
      </c>
      <c r="M142" s="46" t="str">
        <f>IF(G142="","",IF(B142 = "BUY", 0,(E142-VLOOKUP(CONCATENATE(G142,(H142-1)),$I$2:L141,4,FALSE))*-C142))</f>
        <v/>
      </c>
    </row>
    <row r="143" spans="1:13" ht="15" thickBot="1" x14ac:dyDescent="0.35">
      <c r="A143" s="27" t="str">
        <f>IF('Australian MTransaction'!A143= "","",'Australian MTransaction'!A143)</f>
        <v/>
      </c>
      <c r="B143" s="28" t="str">
        <f>IF('Australian MTransaction'!B143= "","",'Australian MTransaction'!B143)</f>
        <v/>
      </c>
      <c r="C143" s="28" t="str">
        <f>IF('Australian MTransaction'!C143= "","",IF(B143="BUY",'Australian MTransaction'!C143,-'Australian MTransaction'!C143))</f>
        <v/>
      </c>
      <c r="D143" s="28" t="str">
        <f>IF('Australian MTransaction'!D143 = "","",IF($B143 = "BUY", 'Australian MTransaction'!D143,-'Australian MTransaction'!D143))</f>
        <v/>
      </c>
      <c r="E143" s="28" t="str">
        <f>IF('Australian MTransaction'!E143= "","",'Australian MTransaction'!E143)</f>
        <v/>
      </c>
      <c r="F143" s="23"/>
      <c r="G143" s="28" t="str">
        <f t="shared" si="17"/>
        <v/>
      </c>
      <c r="H143" s="28" t="str">
        <f>IF(A143="","",COUNTIF($G$2:G143,G143))</f>
        <v/>
      </c>
      <c r="I143" s="28" t="str">
        <f t="shared" si="18"/>
        <v/>
      </c>
      <c r="J143" s="28" t="str">
        <f>IF(G143="","",IF(COUNTIF($G$2:G143,G143)&gt;1,SUMIF($A$2:A143,G143,$C$2:C143),C143))</f>
        <v/>
      </c>
      <c r="K143" s="45" t="str">
        <f>IF(G143="","",IF(COUNTIF($G$2:G143,G143)&gt;1,SUMIF($A$2:A143,G143,$D$2:D143),D143) +SUMIF($G$2:G143,G143,$M$2:M143))</f>
        <v/>
      </c>
      <c r="L143" s="45" t="str">
        <f t="shared" si="19"/>
        <v/>
      </c>
      <c r="M143" s="46" t="str">
        <f>IF(G143="","",IF(B143 = "BUY", 0,(E143-VLOOKUP(CONCATENATE(G143,(H143-1)),$I$2:L142,4,FALSE))*-C143))</f>
        <v/>
      </c>
    </row>
    <row r="144" spans="1:13" ht="15" thickBot="1" x14ac:dyDescent="0.35">
      <c r="A144" s="27" t="str">
        <f>IF('Australian MTransaction'!A144= "","",'Australian MTransaction'!A144)</f>
        <v/>
      </c>
      <c r="B144" s="28" t="str">
        <f>IF('Australian MTransaction'!B144= "","",'Australian MTransaction'!B144)</f>
        <v/>
      </c>
      <c r="C144" s="28" t="str">
        <f>IF('Australian MTransaction'!C144= "","",IF(B144="BUY",'Australian MTransaction'!C144,-'Australian MTransaction'!C144))</f>
        <v/>
      </c>
      <c r="D144" s="28" t="str">
        <f>IF('Australian MTransaction'!D144 = "","",IF($B144 = "BUY", 'Australian MTransaction'!D144,-'Australian MTransaction'!D144))</f>
        <v/>
      </c>
      <c r="E144" s="28" t="str">
        <f>IF('Australian MTransaction'!E144= "","",'Australian MTransaction'!E144)</f>
        <v/>
      </c>
      <c r="F144" s="23"/>
      <c r="G144" s="28" t="str">
        <f t="shared" si="17"/>
        <v/>
      </c>
      <c r="H144" s="28" t="str">
        <f>IF(A144="","",COUNTIF($G$2:G144,G144))</f>
        <v/>
      </c>
      <c r="I144" s="28" t="str">
        <f t="shared" si="18"/>
        <v/>
      </c>
      <c r="J144" s="28" t="str">
        <f>IF(G144="","",IF(COUNTIF($G$2:G144,G144)&gt;1,SUMIF($A$2:A144,G144,$C$2:C144),C144))</f>
        <v/>
      </c>
      <c r="K144" s="45" t="str">
        <f>IF(G144="","",IF(COUNTIF($G$2:G144,G144)&gt;1,SUMIF($A$2:A144,G144,$D$2:D144),D144) +SUMIF($G$2:G144,G144,$M$2:M144))</f>
        <v/>
      </c>
      <c r="L144" s="45" t="str">
        <f t="shared" si="19"/>
        <v/>
      </c>
      <c r="M144" s="46" t="str">
        <f>IF(G144="","",IF(B144 = "BUY", 0,(E144-VLOOKUP(CONCATENATE(G144,(H144-1)),$I$2:L143,4,FALSE))*-C144))</f>
        <v/>
      </c>
    </row>
    <row r="145" spans="1:13" ht="15" thickBot="1" x14ac:dyDescent="0.35">
      <c r="A145" s="27" t="str">
        <f>IF('Australian MTransaction'!A145= "","",'Australian MTransaction'!A145)</f>
        <v/>
      </c>
      <c r="B145" s="28" t="str">
        <f>IF('Australian MTransaction'!B145= "","",'Australian MTransaction'!B145)</f>
        <v/>
      </c>
      <c r="C145" s="28" t="str">
        <f>IF('Australian MTransaction'!C145= "","",IF(B145="BUY",'Australian MTransaction'!C145,-'Australian MTransaction'!C145))</f>
        <v/>
      </c>
      <c r="D145" s="28" t="str">
        <f>IF('Australian MTransaction'!D145 = "","",IF($B145 = "BUY", 'Australian MTransaction'!D145,-'Australian MTransaction'!D145))</f>
        <v/>
      </c>
      <c r="E145" s="28" t="str">
        <f>IF('Australian MTransaction'!E145= "","",'Australian MTransaction'!E145)</f>
        <v/>
      </c>
      <c r="F145" s="23"/>
      <c r="G145" s="28" t="str">
        <f t="shared" si="17"/>
        <v/>
      </c>
      <c r="H145" s="28" t="str">
        <f>IF(A145="","",COUNTIF($G$2:G145,G145))</f>
        <v/>
      </c>
      <c r="I145" s="28" t="str">
        <f t="shared" si="18"/>
        <v/>
      </c>
      <c r="J145" s="28" t="str">
        <f>IF(G145="","",IF(COUNTIF($G$2:G145,G145)&gt;1,SUMIF($A$2:A145,G145,$C$2:C145),C145))</f>
        <v/>
      </c>
      <c r="K145" s="45" t="str">
        <f>IF(G145="","",IF(COUNTIF($G$2:G145,G145)&gt;1,SUMIF($A$2:A145,G145,$D$2:D145),D145) +SUMIF($G$2:G145,G145,$M$2:M145))</f>
        <v/>
      </c>
      <c r="L145" s="45" t="str">
        <f t="shared" si="19"/>
        <v/>
      </c>
      <c r="M145" s="46" t="str">
        <f>IF(G145="","",IF(B145 = "BUY", 0,(E145-VLOOKUP(CONCATENATE(G145,(H145-1)),$I$2:L144,4,FALSE))*-C145))</f>
        <v/>
      </c>
    </row>
    <row r="146" spans="1:13" ht="15" thickBot="1" x14ac:dyDescent="0.35">
      <c r="A146" s="27" t="str">
        <f>IF('Australian MTransaction'!A146= "","",'Australian MTransaction'!A146)</f>
        <v/>
      </c>
      <c r="B146" s="28" t="str">
        <f>IF('Australian MTransaction'!B146= "","",'Australian MTransaction'!B146)</f>
        <v/>
      </c>
      <c r="C146" s="28" t="str">
        <f>IF('Australian MTransaction'!C146= "","",IF(B146="BUY",'Australian MTransaction'!C146,-'Australian MTransaction'!C146))</f>
        <v/>
      </c>
      <c r="D146" s="28" t="str">
        <f>IF('Australian MTransaction'!D146 = "","",IF($B146 = "BUY", 'Australian MTransaction'!D146,-'Australian MTransaction'!D146))</f>
        <v/>
      </c>
      <c r="E146" s="28" t="str">
        <f>IF('Australian MTransaction'!E146= "","",'Australian MTransaction'!E146)</f>
        <v/>
      </c>
      <c r="F146" s="23"/>
      <c r="G146" s="28" t="str">
        <f t="shared" si="17"/>
        <v/>
      </c>
      <c r="H146" s="28" t="str">
        <f>IF(A146="","",COUNTIF($G$2:G146,G146))</f>
        <v/>
      </c>
      <c r="I146" s="28" t="str">
        <f t="shared" si="18"/>
        <v/>
      </c>
      <c r="J146" s="28" t="str">
        <f>IF(G146="","",IF(COUNTIF($G$2:G146,G146)&gt;1,SUMIF($A$2:A146,G146,$C$2:C146),C146))</f>
        <v/>
      </c>
      <c r="K146" s="45" t="str">
        <f>IF(G146="","",IF(COUNTIF($G$2:G146,G146)&gt;1,SUMIF($A$2:A146,G146,$D$2:D146),D146) +SUMIF($G$2:G146,G146,$M$2:M146))</f>
        <v/>
      </c>
      <c r="L146" s="45" t="str">
        <f t="shared" si="19"/>
        <v/>
      </c>
      <c r="M146" s="46" t="str">
        <f>IF(G146="","",IF(B146 = "BUY", 0,(E146-VLOOKUP(CONCATENATE(G146,(H146-1)),$I$2:L145,4,FALSE))*-C146))</f>
        <v/>
      </c>
    </row>
    <row r="147" spans="1:13" ht="15" thickBot="1" x14ac:dyDescent="0.35">
      <c r="A147" s="27" t="str">
        <f>IF('Australian MTransaction'!A147= "","",'Australian MTransaction'!A147)</f>
        <v/>
      </c>
      <c r="B147" s="28" t="str">
        <f>IF('Australian MTransaction'!B147= "","",'Australian MTransaction'!B147)</f>
        <v/>
      </c>
      <c r="C147" s="28" t="str">
        <f>IF('Australian MTransaction'!C147= "","",IF(B147="BUY",'Australian MTransaction'!C147,-'Australian MTransaction'!C147))</f>
        <v/>
      </c>
      <c r="D147" s="28" t="str">
        <f>IF('Australian MTransaction'!D147 = "","",IF($B147 = "BUY", 'Australian MTransaction'!D147,-'Australian MTransaction'!D147))</f>
        <v/>
      </c>
      <c r="E147" s="28" t="str">
        <f>IF('Australian MTransaction'!E147= "","",'Australian MTransaction'!E147)</f>
        <v/>
      </c>
      <c r="F147" s="23"/>
      <c r="G147" s="28" t="str">
        <f t="shared" si="17"/>
        <v/>
      </c>
      <c r="H147" s="28" t="str">
        <f>IF(A147="","",COUNTIF($G$2:G147,G147))</f>
        <v/>
      </c>
      <c r="I147" s="28" t="str">
        <f t="shared" si="18"/>
        <v/>
      </c>
      <c r="J147" s="28" t="str">
        <f>IF(G147="","",IF(COUNTIF($G$2:G147,G147)&gt;1,SUMIF($A$2:A147,G147,$C$2:C147),C147))</f>
        <v/>
      </c>
      <c r="K147" s="45" t="str">
        <f>IF(G147="","",IF(COUNTIF($G$2:G147,G147)&gt;1,SUMIF($A$2:A147,G147,$D$2:D147),D147) +SUMIF($G$2:G147,G147,$M$2:M147))</f>
        <v/>
      </c>
      <c r="L147" s="45" t="str">
        <f t="shared" si="19"/>
        <v/>
      </c>
      <c r="M147" s="46" t="str">
        <f>IF(G147="","",IF(B147 = "BUY", 0,(E147-VLOOKUP(CONCATENATE(G147,(H147-1)),$I$2:L146,4,FALSE))*-C147))</f>
        <v/>
      </c>
    </row>
    <row r="148" spans="1:13" ht="15" thickBot="1" x14ac:dyDescent="0.35">
      <c r="A148" s="27" t="str">
        <f>IF('Australian MTransaction'!A148= "","",'Australian MTransaction'!A148)</f>
        <v/>
      </c>
      <c r="B148" s="28" t="str">
        <f>IF('Australian MTransaction'!B148= "","",'Australian MTransaction'!B148)</f>
        <v/>
      </c>
      <c r="C148" s="28" t="str">
        <f>IF('Australian MTransaction'!C148= "","",IF(B148="BUY",'Australian MTransaction'!C148,-'Australian MTransaction'!C148))</f>
        <v/>
      </c>
      <c r="D148" s="28" t="str">
        <f>IF('Australian MTransaction'!D148 = "","",IF($B148 = "BUY", 'Australian MTransaction'!D148,-'Australian MTransaction'!D148))</f>
        <v/>
      </c>
      <c r="E148" s="28" t="str">
        <f>IF('Australian MTransaction'!E148= "","",'Australian MTransaction'!E148)</f>
        <v/>
      </c>
      <c r="F148" s="23"/>
      <c r="G148" s="28" t="str">
        <f t="shared" si="17"/>
        <v/>
      </c>
      <c r="H148" s="28" t="str">
        <f>IF(A148="","",COUNTIF($G$2:G148,G148))</f>
        <v/>
      </c>
      <c r="I148" s="28" t="str">
        <f t="shared" si="18"/>
        <v/>
      </c>
      <c r="J148" s="28" t="str">
        <f>IF(G148="","",IF(COUNTIF($G$2:G148,G148)&gt;1,SUMIF($A$2:A148,G148,$C$2:C148),C148))</f>
        <v/>
      </c>
      <c r="K148" s="45" t="str">
        <f>IF(G148="","",IF(COUNTIF($G$2:G148,G148)&gt;1,SUMIF($A$2:A148,G148,$D$2:D148),D148) +SUMIF($G$2:G148,G148,$M$2:M148))</f>
        <v/>
      </c>
      <c r="L148" s="45" t="str">
        <f t="shared" si="19"/>
        <v/>
      </c>
      <c r="M148" s="46" t="str">
        <f>IF(G148="","",IF(B148 = "BUY", 0,(E148-VLOOKUP(CONCATENATE(G148,(H148-1)),$I$2:L147,4,FALSE))*-C148))</f>
        <v/>
      </c>
    </row>
    <row r="149" spans="1:13" ht="15" thickBot="1" x14ac:dyDescent="0.35">
      <c r="A149" s="27" t="str">
        <f>IF('Australian MTransaction'!A149= "","",'Australian MTransaction'!A149)</f>
        <v/>
      </c>
      <c r="B149" s="28" t="str">
        <f>IF('Australian MTransaction'!B149= "","",'Australian MTransaction'!B149)</f>
        <v/>
      </c>
      <c r="C149" s="28" t="str">
        <f>IF('Australian MTransaction'!C149= "","",IF(B149="BUY",'Australian MTransaction'!C149,-'Australian MTransaction'!C149))</f>
        <v/>
      </c>
      <c r="D149" s="28" t="str">
        <f>IF('Australian MTransaction'!D149 = "","",IF($B149 = "BUY", 'Australian MTransaction'!D149,-'Australian MTransaction'!D149))</f>
        <v/>
      </c>
      <c r="E149" s="28" t="str">
        <f>IF('Australian MTransaction'!E149= "","",'Australian MTransaction'!E149)</f>
        <v/>
      </c>
      <c r="F149" s="23"/>
      <c r="G149" s="28" t="str">
        <f t="shared" si="17"/>
        <v/>
      </c>
      <c r="H149" s="28" t="str">
        <f>IF(A149="","",COUNTIF($G$2:G149,G149))</f>
        <v/>
      </c>
      <c r="I149" s="28" t="str">
        <f t="shared" si="18"/>
        <v/>
      </c>
      <c r="J149" s="28" t="str">
        <f>IF(G149="","",IF(COUNTIF($G$2:G149,G149)&gt;1,SUMIF($A$2:A149,G149,$C$2:C149),C149))</f>
        <v/>
      </c>
      <c r="K149" s="45" t="str">
        <f>IF(G149="","",IF(COUNTIF($G$2:G149,G149)&gt;1,SUMIF($A$2:A149,G149,$D$2:D149),D149) +SUMIF($G$2:G149,G149,$M$2:M149))</f>
        <v/>
      </c>
      <c r="L149" s="45" t="str">
        <f t="shared" si="19"/>
        <v/>
      </c>
      <c r="M149" s="46" t="str">
        <f>IF(G149="","",IF(B149 = "BUY", 0,(E149-VLOOKUP(CONCATENATE(G149,(H149-1)),$I$2:L148,4,FALSE))*-C149))</f>
        <v/>
      </c>
    </row>
    <row r="150" spans="1:13" ht="15" thickBot="1" x14ac:dyDescent="0.35">
      <c r="A150" s="27" t="str">
        <f>IF('Australian MTransaction'!A150= "","",'Australian MTransaction'!A150)</f>
        <v/>
      </c>
      <c r="B150" s="28" t="str">
        <f>IF('Australian MTransaction'!B150= "","",'Australian MTransaction'!B150)</f>
        <v/>
      </c>
      <c r="C150" s="28" t="str">
        <f>IF('Australian MTransaction'!C150= "","",IF(B150="BUY",'Australian MTransaction'!C150,-'Australian MTransaction'!C150))</f>
        <v/>
      </c>
      <c r="D150" s="28" t="str">
        <f>IF('Australian MTransaction'!D150 = "","",IF($B150 = "BUY", 'Australian MTransaction'!D150,-'Australian MTransaction'!D150))</f>
        <v/>
      </c>
      <c r="E150" s="28" t="str">
        <f>IF('Australian MTransaction'!E150= "","",'Australian MTransaction'!E150)</f>
        <v/>
      </c>
      <c r="F150" s="23"/>
      <c r="G150" s="28" t="str">
        <f t="shared" si="17"/>
        <v/>
      </c>
      <c r="H150" s="28" t="str">
        <f>IF(A150="","",COUNTIF($G$2:G150,G150))</f>
        <v/>
      </c>
      <c r="I150" s="28" t="str">
        <f t="shared" si="18"/>
        <v/>
      </c>
      <c r="J150" s="28" t="str">
        <f>IF(G150="","",IF(COUNTIF($G$2:G150,G150)&gt;1,SUMIF($A$2:A150,G150,$C$2:C150),C150))</f>
        <v/>
      </c>
      <c r="K150" s="45" t="str">
        <f>IF(G150="","",IF(COUNTIF($G$2:G150,G150)&gt;1,SUMIF($A$2:A150,G150,$D$2:D150),D150) +SUMIF($G$2:G150,G150,$M$2:M150))</f>
        <v/>
      </c>
      <c r="L150" s="45" t="str">
        <f t="shared" si="19"/>
        <v/>
      </c>
      <c r="M150" s="46" t="str">
        <f>IF(G150="","",IF(B150 = "BUY", 0,(E150-VLOOKUP(CONCATENATE(G150,(H150-1)),$I$2:L149,4,FALSE))*-C150))</f>
        <v/>
      </c>
    </row>
    <row r="151" spans="1:13" ht="15" thickBot="1" x14ac:dyDescent="0.35">
      <c r="A151" s="27" t="str">
        <f>IF('Australian MTransaction'!A151= "","",'Australian MTransaction'!A151)</f>
        <v/>
      </c>
      <c r="B151" s="28" t="str">
        <f>IF('Australian MTransaction'!B151= "","",'Australian MTransaction'!B151)</f>
        <v/>
      </c>
      <c r="C151" s="28" t="str">
        <f>IF('Australian MTransaction'!C151= "","",IF(B151="BUY",'Australian MTransaction'!C151,-'Australian MTransaction'!C151))</f>
        <v/>
      </c>
      <c r="D151" s="28" t="str">
        <f>IF('Australian MTransaction'!D151 = "","",IF($B151 = "BUY", 'Australian MTransaction'!D151,-'Australian MTransaction'!D151))</f>
        <v/>
      </c>
      <c r="E151" s="28" t="str">
        <f>IF('Australian MTransaction'!E151= "","",'Australian MTransaction'!E151)</f>
        <v/>
      </c>
      <c r="F151" s="23"/>
      <c r="G151" s="28" t="str">
        <f t="shared" si="17"/>
        <v/>
      </c>
      <c r="H151" s="28" t="str">
        <f>IF(A151="","",COUNTIF($G$2:G151,G151))</f>
        <v/>
      </c>
      <c r="I151" s="28" t="str">
        <f t="shared" si="18"/>
        <v/>
      </c>
      <c r="J151" s="28" t="str">
        <f>IF(G151="","",IF(COUNTIF($G$2:G151,G151)&gt;1,SUMIF($A$2:A151,G151,$C$2:C151),C151))</f>
        <v/>
      </c>
      <c r="K151" s="45" t="str">
        <f>IF(G151="","",IF(COUNTIF($G$2:G151,G151)&gt;1,SUMIF($A$2:A151,G151,$D$2:D151),D151) +SUMIF($G$2:G151,G151,$M$2:M151))</f>
        <v/>
      </c>
      <c r="L151" s="45" t="str">
        <f t="shared" si="19"/>
        <v/>
      </c>
      <c r="M151" s="46" t="str">
        <f>IF(G151="","",IF(B151 = "BUY", 0,(E151-VLOOKUP(CONCATENATE(G151,(H151-1)),$I$2:L150,4,FALSE))*-C151))</f>
        <v/>
      </c>
    </row>
    <row r="152" spans="1:13" ht="15" thickBot="1" x14ac:dyDescent="0.35">
      <c r="A152" s="27" t="str">
        <f>IF('Australian MTransaction'!A152= "","",'Australian MTransaction'!A152)</f>
        <v/>
      </c>
      <c r="B152" s="28" t="str">
        <f>IF('Australian MTransaction'!B152= "","",'Australian MTransaction'!B152)</f>
        <v/>
      </c>
      <c r="C152" s="28" t="str">
        <f>IF('Australian MTransaction'!C152= "","",IF(B152="BUY",'Australian MTransaction'!C152,-'Australian MTransaction'!C152))</f>
        <v/>
      </c>
      <c r="D152" s="28" t="str">
        <f>IF('Australian MTransaction'!D152 = "","",IF($B152 = "BUY", 'Australian MTransaction'!D152,-'Australian MTransaction'!D152))</f>
        <v/>
      </c>
      <c r="E152" s="28" t="str">
        <f>IF('Australian MTransaction'!E152= "","",'Australian MTransaction'!E152)</f>
        <v/>
      </c>
      <c r="F152" s="23"/>
      <c r="G152" s="28" t="str">
        <f t="shared" si="17"/>
        <v/>
      </c>
      <c r="H152" s="28" t="str">
        <f>IF(A152="","",COUNTIF($G$2:G152,G152))</f>
        <v/>
      </c>
      <c r="I152" s="28" t="str">
        <f t="shared" si="18"/>
        <v/>
      </c>
      <c r="J152" s="28" t="str">
        <f>IF(G152="","",IF(COUNTIF($G$2:G152,G152)&gt;1,SUMIF($A$2:A152,G152,$C$2:C152),C152))</f>
        <v/>
      </c>
      <c r="K152" s="45" t="str">
        <f>IF(G152="","",IF(COUNTIF($G$2:G152,G152)&gt;1,SUMIF($A$2:A152,G152,$D$2:D152),D152) +SUMIF($G$2:G152,G152,$M$2:M152))</f>
        <v/>
      </c>
      <c r="L152" s="45" t="str">
        <f t="shared" si="19"/>
        <v/>
      </c>
      <c r="M152" s="46" t="str">
        <f>IF(G152="","",IF(B152 = "BUY", 0,(E152-VLOOKUP(CONCATENATE(G152,(H152-1)),$I$2:L151,4,FALSE))*-C152))</f>
        <v/>
      </c>
    </row>
    <row r="153" spans="1:13" ht="15" thickBot="1" x14ac:dyDescent="0.35">
      <c r="A153" s="27" t="str">
        <f>IF('Australian MTransaction'!A153= "","",'Australian MTransaction'!A153)</f>
        <v/>
      </c>
      <c r="B153" s="28" t="str">
        <f>IF('Australian MTransaction'!B153= "","",'Australian MTransaction'!B153)</f>
        <v/>
      </c>
      <c r="C153" s="28" t="str">
        <f>IF('Australian MTransaction'!C153= "","",IF(B153="BUY",'Australian MTransaction'!C153,-'Australian MTransaction'!C153))</f>
        <v/>
      </c>
      <c r="D153" s="28" t="str">
        <f>IF('Australian MTransaction'!D153 = "","",IF($B153 = "BUY", 'Australian MTransaction'!D153,-'Australian MTransaction'!D153))</f>
        <v/>
      </c>
      <c r="E153" s="28" t="str">
        <f>IF('Australian MTransaction'!E153= "","",'Australian MTransaction'!E153)</f>
        <v/>
      </c>
      <c r="F153" s="23"/>
      <c r="G153" s="28" t="str">
        <f t="shared" si="17"/>
        <v/>
      </c>
      <c r="H153" s="28" t="str">
        <f>IF(A153="","",COUNTIF($G$2:G153,G153))</f>
        <v/>
      </c>
      <c r="I153" s="28" t="str">
        <f t="shared" si="18"/>
        <v/>
      </c>
      <c r="J153" s="28" t="str">
        <f>IF(G153="","",IF(COUNTIF($G$2:G153,G153)&gt;1,SUMIF($A$2:A153,G153,$C$2:C153),C153))</f>
        <v/>
      </c>
      <c r="K153" s="45" t="str">
        <f>IF(G153="","",IF(COUNTIF($G$2:G153,G153)&gt;1,SUMIF($A$2:A153,G153,$D$2:D153),D153) +SUMIF($G$2:G153,G153,$M$2:M153))</f>
        <v/>
      </c>
      <c r="L153" s="45" t="str">
        <f t="shared" si="19"/>
        <v/>
      </c>
      <c r="M153" s="46" t="str">
        <f>IF(G153="","",IF(B153 = "BUY", 0,(E153-VLOOKUP(CONCATENATE(G153,(H153-1)),$I$2:L152,4,FALSE))*-C153))</f>
        <v/>
      </c>
    </row>
    <row r="154" spans="1:13" ht="15" thickBot="1" x14ac:dyDescent="0.35">
      <c r="A154" s="27" t="str">
        <f>IF('Australian MTransaction'!A154= "","",'Australian MTransaction'!A154)</f>
        <v/>
      </c>
      <c r="B154" s="28" t="str">
        <f>IF('Australian MTransaction'!B154= "","",'Australian MTransaction'!B154)</f>
        <v/>
      </c>
      <c r="C154" s="28" t="str">
        <f>IF('Australian MTransaction'!C154= "","",IF(B154="BUY",'Australian MTransaction'!C154,-'Australian MTransaction'!C154))</f>
        <v/>
      </c>
      <c r="D154" s="28" t="str">
        <f>IF('Australian MTransaction'!D154 = "","",IF($B154 = "BUY", 'Australian MTransaction'!D154,-'Australian MTransaction'!D154))</f>
        <v/>
      </c>
      <c r="E154" s="28" t="str">
        <f>IF('Australian MTransaction'!E154= "","",'Australian MTransaction'!E154)</f>
        <v/>
      </c>
      <c r="F154" s="23"/>
      <c r="G154" s="28" t="str">
        <f t="shared" si="17"/>
        <v/>
      </c>
      <c r="H154" s="28" t="str">
        <f>IF(A154="","",COUNTIF($G$2:G154,G154))</f>
        <v/>
      </c>
      <c r="I154" s="28" t="str">
        <f t="shared" si="18"/>
        <v/>
      </c>
      <c r="J154" s="28" t="str">
        <f>IF(G154="","",IF(COUNTIF($G$2:G154,G154)&gt;1,SUMIF($A$2:A154,G154,$C$2:C154),C154))</f>
        <v/>
      </c>
      <c r="K154" s="45" t="str">
        <f>IF(G154="","",IF(COUNTIF($G$2:G154,G154)&gt;1,SUMIF($A$2:A154,G154,$D$2:D154),D154) +SUMIF($G$2:G154,G154,$M$2:M154))</f>
        <v/>
      </c>
      <c r="L154" s="45" t="str">
        <f t="shared" si="19"/>
        <v/>
      </c>
      <c r="M154" s="46" t="str">
        <f>IF(G154="","",IF(B154 = "BUY", 0,(E154-VLOOKUP(CONCATENATE(G154,(H154-1)),$I$2:L153,4,FALSE))*-C154))</f>
        <v/>
      </c>
    </row>
    <row r="155" spans="1:13" ht="15" thickBot="1" x14ac:dyDescent="0.35">
      <c r="A155" s="27" t="str">
        <f>IF('Australian MTransaction'!A155= "","",'Australian MTransaction'!A155)</f>
        <v/>
      </c>
      <c r="B155" s="28" t="str">
        <f>IF('Australian MTransaction'!B155= "","",'Australian MTransaction'!B155)</f>
        <v/>
      </c>
      <c r="C155" s="28" t="str">
        <f>IF('Australian MTransaction'!C155= "","",IF(B155="BUY",'Australian MTransaction'!C155,-'Australian MTransaction'!C155))</f>
        <v/>
      </c>
      <c r="D155" s="28" t="str">
        <f>IF('Australian MTransaction'!D155 = "","",IF($B155 = "BUY", 'Australian MTransaction'!D155,-'Australian MTransaction'!D155))</f>
        <v/>
      </c>
      <c r="E155" s="28" t="str">
        <f>IF('Australian MTransaction'!E155= "","",'Australian MTransaction'!E155)</f>
        <v/>
      </c>
      <c r="F155" s="23"/>
      <c r="G155" s="28" t="str">
        <f t="shared" si="17"/>
        <v/>
      </c>
      <c r="H155" s="28" t="str">
        <f>IF(A155="","",COUNTIF($G$2:G155,G155))</f>
        <v/>
      </c>
      <c r="I155" s="28" t="str">
        <f t="shared" si="18"/>
        <v/>
      </c>
      <c r="J155" s="28" t="str">
        <f>IF(G155="","",IF(COUNTIF($G$2:G155,G155)&gt;1,SUMIF($A$2:A155,G155,$C$2:C155),C155))</f>
        <v/>
      </c>
      <c r="K155" s="45" t="str">
        <f>IF(G155="","",IF(COUNTIF($G$2:G155,G155)&gt;1,SUMIF($A$2:A155,G155,$D$2:D155),D155) +SUMIF($G$2:G155,G155,$M$2:M155))</f>
        <v/>
      </c>
      <c r="L155" s="45" t="str">
        <f t="shared" si="19"/>
        <v/>
      </c>
      <c r="M155" s="46" t="str">
        <f>IF(G155="","",IF(B155 = "BUY", 0,(E155-VLOOKUP(CONCATENATE(G155,(H155-1)),$I$2:L154,4,FALSE))*-C155))</f>
        <v/>
      </c>
    </row>
    <row r="156" spans="1:13" ht="15" thickBot="1" x14ac:dyDescent="0.35">
      <c r="A156" s="27" t="str">
        <f>IF('Australian MTransaction'!A156= "","",'Australian MTransaction'!A156)</f>
        <v/>
      </c>
      <c r="B156" s="28" t="str">
        <f>IF('Australian MTransaction'!B156= "","",'Australian MTransaction'!B156)</f>
        <v/>
      </c>
      <c r="C156" s="28" t="str">
        <f>IF('Australian MTransaction'!C156= "","",IF(B156="BUY",'Australian MTransaction'!C156,-'Australian MTransaction'!C156))</f>
        <v/>
      </c>
      <c r="D156" s="28" t="str">
        <f>IF('Australian MTransaction'!D156 = "","",IF($B156 = "BUY", 'Australian MTransaction'!D156,-'Australian MTransaction'!D156))</f>
        <v/>
      </c>
      <c r="E156" s="28" t="str">
        <f>IF('Australian MTransaction'!E156= "","",'Australian MTransaction'!E156)</f>
        <v/>
      </c>
      <c r="F156" s="23"/>
      <c r="G156" s="28" t="str">
        <f t="shared" si="17"/>
        <v/>
      </c>
      <c r="H156" s="28" t="str">
        <f>IF(A156="","",COUNTIF($G$2:G156,G156))</f>
        <v/>
      </c>
      <c r="I156" s="28" t="str">
        <f t="shared" si="18"/>
        <v/>
      </c>
      <c r="J156" s="28" t="str">
        <f>IF(G156="","",IF(COUNTIF($G$2:G156,G156)&gt;1,SUMIF($A$2:A156,G156,$C$2:C156),C156))</f>
        <v/>
      </c>
      <c r="K156" s="45" t="str">
        <f>IF(G156="","",IF(COUNTIF($G$2:G156,G156)&gt;1,SUMIF($A$2:A156,G156,$D$2:D156),D156) +SUMIF($G$2:G156,G156,$M$2:M156))</f>
        <v/>
      </c>
      <c r="L156" s="45" t="str">
        <f t="shared" si="19"/>
        <v/>
      </c>
      <c r="M156" s="46" t="str">
        <f>IF(G156="","",IF(B156 = "BUY", 0,(E156-VLOOKUP(CONCATENATE(G156,(H156-1)),$I$2:L155,4,FALSE))*-C156))</f>
        <v/>
      </c>
    </row>
    <row r="157" spans="1:13" ht="15" thickBot="1" x14ac:dyDescent="0.35">
      <c r="A157" s="27" t="str">
        <f>IF('Australian MTransaction'!A157= "","",'Australian MTransaction'!A157)</f>
        <v/>
      </c>
      <c r="B157" s="28" t="str">
        <f>IF('Australian MTransaction'!B157= "","",'Australian MTransaction'!B157)</f>
        <v/>
      </c>
      <c r="C157" s="28" t="str">
        <f>IF('Australian MTransaction'!C157= "","",IF(B157="BUY",'Australian MTransaction'!C157,-'Australian MTransaction'!C157))</f>
        <v/>
      </c>
      <c r="D157" s="28" t="str">
        <f>IF('Australian MTransaction'!D157 = "","",IF($B157 = "BUY", 'Australian MTransaction'!D157,-'Australian MTransaction'!D157))</f>
        <v/>
      </c>
      <c r="E157" s="28" t="str">
        <f>IF('Australian MTransaction'!E157= "","",'Australian MTransaction'!E157)</f>
        <v/>
      </c>
      <c r="F157" s="23"/>
      <c r="G157" s="28" t="str">
        <f t="shared" si="17"/>
        <v/>
      </c>
      <c r="H157" s="28" t="str">
        <f>IF(A157="","",COUNTIF($G$2:G157,G157))</f>
        <v/>
      </c>
      <c r="I157" s="28" t="str">
        <f t="shared" si="18"/>
        <v/>
      </c>
      <c r="J157" s="28" t="str">
        <f>IF(G157="","",IF(COUNTIF($G$2:G157,G157)&gt;1,SUMIF($A$2:A157,G157,$C$2:C157),C157))</f>
        <v/>
      </c>
      <c r="K157" s="45" t="str">
        <f>IF(G157="","",IF(COUNTIF($G$2:G157,G157)&gt;1,SUMIF($A$2:A157,G157,$D$2:D157),D157) +SUMIF($G$2:G157,G157,$M$2:M157))</f>
        <v/>
      </c>
      <c r="L157" s="45" t="str">
        <f t="shared" si="19"/>
        <v/>
      </c>
      <c r="M157" s="46" t="str">
        <f>IF(G157="","",IF(B157 = "BUY", 0,(E157-VLOOKUP(CONCATENATE(G157,(H157-1)),$I$2:L156,4,FALSE))*-C157))</f>
        <v/>
      </c>
    </row>
    <row r="158" spans="1:13" ht="15" thickBot="1" x14ac:dyDescent="0.35">
      <c r="A158" s="27" t="str">
        <f>IF('Australian MTransaction'!A158= "","",'Australian MTransaction'!A158)</f>
        <v/>
      </c>
      <c r="B158" s="28" t="str">
        <f>IF('Australian MTransaction'!B158= "","",'Australian MTransaction'!B158)</f>
        <v/>
      </c>
      <c r="C158" s="28" t="str">
        <f>IF('Australian MTransaction'!C158= "","",IF(B158="BUY",'Australian MTransaction'!C158,-'Australian MTransaction'!C158))</f>
        <v/>
      </c>
      <c r="D158" s="28" t="str">
        <f>IF('Australian MTransaction'!D158 = "","",IF($B158 = "BUY", 'Australian MTransaction'!D158,-'Australian MTransaction'!D158))</f>
        <v/>
      </c>
      <c r="E158" s="28" t="str">
        <f>IF('Australian MTransaction'!E158= "","",'Australian MTransaction'!E158)</f>
        <v/>
      </c>
      <c r="F158" s="23"/>
      <c r="G158" s="28" t="str">
        <f t="shared" si="17"/>
        <v/>
      </c>
      <c r="H158" s="28" t="str">
        <f>IF(A158="","",COUNTIF($G$2:G158,G158))</f>
        <v/>
      </c>
      <c r="I158" s="28" t="str">
        <f t="shared" si="18"/>
        <v/>
      </c>
      <c r="J158" s="28" t="str">
        <f>IF(G158="","",IF(COUNTIF($G$2:G158,G158)&gt;1,SUMIF($A$2:A158,G158,$C$2:C158),C158))</f>
        <v/>
      </c>
      <c r="K158" s="45" t="str">
        <f>IF(G158="","",IF(COUNTIF($G$2:G158,G158)&gt;1,SUMIF($A$2:A158,G158,$D$2:D158),D158) +SUMIF($G$2:G158,G158,$M$2:M158))</f>
        <v/>
      </c>
      <c r="L158" s="45" t="str">
        <f t="shared" si="19"/>
        <v/>
      </c>
      <c r="M158" s="46" t="str">
        <f>IF(G158="","",IF(B158 = "BUY", 0,(E158-VLOOKUP(CONCATENATE(G158,(H158-1)),$I$2:L157,4,FALSE))*-C158))</f>
        <v/>
      </c>
    </row>
    <row r="159" spans="1:13" ht="15" thickBot="1" x14ac:dyDescent="0.35">
      <c r="A159" s="27" t="str">
        <f>IF('Australian MTransaction'!A159= "","",'Australian MTransaction'!A159)</f>
        <v/>
      </c>
      <c r="B159" s="28" t="str">
        <f>IF('Australian MTransaction'!B159= "","",'Australian MTransaction'!B159)</f>
        <v/>
      </c>
      <c r="C159" s="28" t="str">
        <f>IF('Australian MTransaction'!C159= "","",IF(B159="BUY",'Australian MTransaction'!C159,-'Australian MTransaction'!C159))</f>
        <v/>
      </c>
      <c r="D159" s="28" t="str">
        <f>IF('Australian MTransaction'!D159 = "","",IF($B159 = "BUY", 'Australian MTransaction'!D159,-'Australian MTransaction'!D159))</f>
        <v/>
      </c>
      <c r="E159" s="28" t="str">
        <f>IF('Australian MTransaction'!E159= "","",'Australian MTransaction'!E159)</f>
        <v/>
      </c>
      <c r="F159" s="23"/>
      <c r="G159" s="28" t="str">
        <f t="shared" si="17"/>
        <v/>
      </c>
      <c r="H159" s="28" t="str">
        <f>IF(A159="","",COUNTIF($G$2:G159,G159))</f>
        <v/>
      </c>
      <c r="I159" s="28" t="str">
        <f t="shared" si="18"/>
        <v/>
      </c>
      <c r="J159" s="28" t="str">
        <f>IF(G159="","",IF(COUNTIF($G$2:G159,G159)&gt;1,SUMIF($A$2:A159,G159,$C$2:C159),C159))</f>
        <v/>
      </c>
      <c r="K159" s="45" t="str">
        <f>IF(G159="","",IF(COUNTIF($G$2:G159,G159)&gt;1,SUMIF($A$2:A159,G159,$D$2:D159),D159) +SUMIF($G$2:G159,G159,$M$2:M159))</f>
        <v/>
      </c>
      <c r="L159" s="45" t="str">
        <f t="shared" si="19"/>
        <v/>
      </c>
      <c r="M159" s="46" t="str">
        <f>IF(G159="","",IF(B159 = "BUY", 0,(E159-VLOOKUP(CONCATENATE(G159,(H159-1)),$I$2:L158,4,FALSE))*-C159))</f>
        <v/>
      </c>
    </row>
    <row r="160" spans="1:13" ht="15" thickBot="1" x14ac:dyDescent="0.35">
      <c r="A160" s="27" t="str">
        <f>IF('Australian MTransaction'!A160= "","",'Australian MTransaction'!A160)</f>
        <v/>
      </c>
      <c r="B160" s="28" t="str">
        <f>IF('Australian MTransaction'!B160= "","",'Australian MTransaction'!B160)</f>
        <v/>
      </c>
      <c r="C160" s="28" t="str">
        <f>IF('Australian MTransaction'!C160= "","",IF(B160="BUY",'Australian MTransaction'!C160,-'Australian MTransaction'!C160))</f>
        <v/>
      </c>
      <c r="D160" s="28" t="str">
        <f>IF('Australian MTransaction'!D160 = "","",IF($B160 = "BUY", 'Australian MTransaction'!D160,-'Australian MTransaction'!D160))</f>
        <v/>
      </c>
      <c r="E160" s="28" t="str">
        <f>IF('Australian MTransaction'!E160= "","",'Australian MTransaction'!E160)</f>
        <v/>
      </c>
      <c r="F160" s="23"/>
      <c r="G160" s="28" t="str">
        <f t="shared" si="17"/>
        <v/>
      </c>
      <c r="H160" s="28" t="str">
        <f>IF(A160="","",COUNTIF($G$2:G160,G160))</f>
        <v/>
      </c>
      <c r="I160" s="28" t="str">
        <f t="shared" si="18"/>
        <v/>
      </c>
      <c r="J160" s="28" t="str">
        <f>IF(G160="","",IF(COUNTIF($G$2:G160,G160)&gt;1,SUMIF($A$2:A160,G160,$C$2:C160),C160))</f>
        <v/>
      </c>
      <c r="K160" s="45" t="str">
        <f>IF(G160="","",IF(COUNTIF($G$2:G160,G160)&gt;1,SUMIF($A$2:A160,G160,$D$2:D160),D160) +SUMIF($G$2:G160,G160,$M$2:M160))</f>
        <v/>
      </c>
      <c r="L160" s="45" t="str">
        <f t="shared" si="19"/>
        <v/>
      </c>
      <c r="M160" s="46" t="str">
        <f>IF(G160="","",IF(B160 = "BUY", 0,(E160-VLOOKUP(CONCATENATE(G160,(H160-1)),$I$2:L159,4,FALSE))*-C160))</f>
        <v/>
      </c>
    </row>
    <row r="161" spans="1:13" ht="15" thickBot="1" x14ac:dyDescent="0.35">
      <c r="A161" s="27" t="str">
        <f>IF('Australian MTransaction'!A161= "","",'Australian MTransaction'!A161)</f>
        <v/>
      </c>
      <c r="B161" s="28" t="str">
        <f>IF('Australian MTransaction'!B161= "","",'Australian MTransaction'!B161)</f>
        <v/>
      </c>
      <c r="C161" s="28" t="str">
        <f>IF('Australian MTransaction'!C161= "","",IF(B161="BUY",'Australian MTransaction'!C161,-'Australian MTransaction'!C161))</f>
        <v/>
      </c>
      <c r="D161" s="28" t="str">
        <f>IF('Australian MTransaction'!D161 = "","",IF($B161 = "BUY", 'Australian MTransaction'!D161,-'Australian MTransaction'!D161))</f>
        <v/>
      </c>
      <c r="E161" s="28" t="str">
        <f>IF('Australian MTransaction'!E161= "","",'Australian MTransaction'!E161)</f>
        <v/>
      </c>
      <c r="F161" s="23"/>
      <c r="G161" s="28" t="str">
        <f t="shared" si="17"/>
        <v/>
      </c>
      <c r="H161" s="28" t="str">
        <f>IF(A161="","",COUNTIF($G$2:G161,G161))</f>
        <v/>
      </c>
      <c r="I161" s="28" t="str">
        <f t="shared" si="18"/>
        <v/>
      </c>
      <c r="J161" s="28" t="str">
        <f>IF(G161="","",IF(COUNTIF($G$2:G161,G161)&gt;1,SUMIF($A$2:A161,G161,$C$2:C161),C161))</f>
        <v/>
      </c>
      <c r="K161" s="45" t="str">
        <f>IF(G161="","",IF(COUNTIF($G$2:G161,G161)&gt;1,SUMIF($A$2:A161,G161,$D$2:D161),D161) +SUMIF($G$2:G161,G161,$M$2:M161))</f>
        <v/>
      </c>
      <c r="L161" s="45" t="str">
        <f t="shared" si="19"/>
        <v/>
      </c>
      <c r="M161" s="46" t="str">
        <f>IF(G161="","",IF(B161 = "BUY", 0,(E161-VLOOKUP(CONCATENATE(G161,(H161-1)),$I$2:L160,4,FALSE))*-C161))</f>
        <v/>
      </c>
    </row>
    <row r="162" spans="1:13" ht="15" thickBot="1" x14ac:dyDescent="0.35">
      <c r="A162" s="27" t="str">
        <f>IF('Australian MTransaction'!A162= "","",'Australian MTransaction'!A162)</f>
        <v/>
      </c>
      <c r="B162" s="28" t="str">
        <f>IF('Australian MTransaction'!B162= "","",'Australian MTransaction'!B162)</f>
        <v/>
      </c>
      <c r="C162" s="28" t="str">
        <f>IF('Australian MTransaction'!C162= "","",IF(B162="BUY",'Australian MTransaction'!C162,-'Australian MTransaction'!C162))</f>
        <v/>
      </c>
      <c r="D162" s="28" t="str">
        <f>IF('Australian MTransaction'!D162 = "","",IF($B162 = "BUY", 'Australian MTransaction'!D162,-'Australian MTransaction'!D162))</f>
        <v/>
      </c>
      <c r="E162" s="28" t="str">
        <f>IF('Australian MTransaction'!E162= "","",'Australian MTransaction'!E162)</f>
        <v/>
      </c>
      <c r="F162" s="23"/>
      <c r="G162" s="28" t="str">
        <f t="shared" si="17"/>
        <v/>
      </c>
      <c r="H162" s="28" t="str">
        <f>IF(A162="","",COUNTIF($G$2:G162,G162))</f>
        <v/>
      </c>
      <c r="I162" s="28" t="str">
        <f t="shared" si="18"/>
        <v/>
      </c>
      <c r="J162" s="28" t="str">
        <f>IF(G162="","",IF(COUNTIF($G$2:G162,G162)&gt;1,SUMIF($A$2:A162,G162,$C$2:C162),C162))</f>
        <v/>
      </c>
      <c r="K162" s="45" t="str">
        <f>IF(G162="","",IF(COUNTIF($G$2:G162,G162)&gt;1,SUMIF($A$2:A162,G162,$D$2:D162),D162) +SUMIF($G$2:G162,G162,$M$2:M162))</f>
        <v/>
      </c>
      <c r="L162" s="45" t="str">
        <f t="shared" si="19"/>
        <v/>
      </c>
      <c r="M162" s="46" t="str">
        <f>IF(G162="","",IF(B162 = "BUY", 0,(E162-VLOOKUP(CONCATENATE(G162,(H162-1)),$I$2:L161,4,FALSE))*-C162))</f>
        <v/>
      </c>
    </row>
    <row r="163" spans="1:13" ht="15" thickBot="1" x14ac:dyDescent="0.35">
      <c r="A163" s="27" t="str">
        <f>IF('Australian MTransaction'!A163= "","",'Australian MTransaction'!A163)</f>
        <v/>
      </c>
      <c r="B163" s="28" t="str">
        <f>IF('Australian MTransaction'!B163= "","",'Australian MTransaction'!B163)</f>
        <v/>
      </c>
      <c r="C163" s="28" t="str">
        <f>IF('Australian MTransaction'!C163= "","",IF(B163="BUY",'Australian MTransaction'!C163,-'Australian MTransaction'!C163))</f>
        <v/>
      </c>
      <c r="D163" s="28" t="str">
        <f>IF('Australian MTransaction'!D163 = "","",IF($B163 = "BUY", 'Australian MTransaction'!D163,-'Australian MTransaction'!D163))</f>
        <v/>
      </c>
      <c r="E163" s="28" t="str">
        <f>IF('Australian MTransaction'!E163= "","",'Australian MTransaction'!E163)</f>
        <v/>
      </c>
      <c r="F163" s="23"/>
      <c r="G163" s="28" t="str">
        <f t="shared" si="17"/>
        <v/>
      </c>
      <c r="H163" s="28" t="str">
        <f>IF(A163="","",COUNTIF($G$2:G163,G163))</f>
        <v/>
      </c>
      <c r="I163" s="28" t="str">
        <f t="shared" si="18"/>
        <v/>
      </c>
      <c r="J163" s="28" t="str">
        <f>IF(G163="","",IF(COUNTIF($G$2:G163,G163)&gt;1,SUMIF($A$2:A163,G163,$C$2:C163),C163))</f>
        <v/>
      </c>
      <c r="K163" s="45" t="str">
        <f>IF(G163="","",IF(COUNTIF($G$2:G163,G163)&gt;1,SUMIF($A$2:A163,G163,$D$2:D163),D163) +SUMIF($G$2:G163,G163,$M$2:M163))</f>
        <v/>
      </c>
      <c r="L163" s="45" t="str">
        <f t="shared" si="19"/>
        <v/>
      </c>
      <c r="M163" s="46" t="str">
        <f>IF(G163="","",IF(B163 = "BUY", 0,(E163-VLOOKUP(CONCATENATE(G163,(H163-1)),$I$2:L162,4,FALSE))*-C163))</f>
        <v/>
      </c>
    </row>
    <row r="164" spans="1:13" ht="15" thickBot="1" x14ac:dyDescent="0.35">
      <c r="A164" s="27" t="str">
        <f>IF('Australian MTransaction'!A164= "","",'Australian MTransaction'!A164)</f>
        <v/>
      </c>
      <c r="B164" s="28" t="str">
        <f>IF('Australian MTransaction'!B164= "","",'Australian MTransaction'!B164)</f>
        <v/>
      </c>
      <c r="C164" s="28" t="str">
        <f>IF('Australian MTransaction'!C164= "","",IF(B164="BUY",'Australian MTransaction'!C164,-'Australian MTransaction'!C164))</f>
        <v/>
      </c>
      <c r="D164" s="28" t="str">
        <f>IF('Australian MTransaction'!D164 = "","",IF($B164 = "BUY", 'Australian MTransaction'!D164,-'Australian MTransaction'!D164))</f>
        <v/>
      </c>
      <c r="E164" s="28" t="str">
        <f>IF('Australian MTransaction'!E164= "","",'Australian MTransaction'!E164)</f>
        <v/>
      </c>
      <c r="F164" s="23"/>
      <c r="G164" s="28" t="str">
        <f t="shared" si="17"/>
        <v/>
      </c>
      <c r="H164" s="28" t="str">
        <f>IF(A164="","",COUNTIF($G$2:G164,G164))</f>
        <v/>
      </c>
      <c r="I164" s="28" t="str">
        <f t="shared" si="18"/>
        <v/>
      </c>
      <c r="J164" s="28" t="str">
        <f>IF(G164="","",IF(COUNTIF($G$2:G164,G164)&gt;1,SUMIF($A$2:A164,G164,$C$2:C164),C164))</f>
        <v/>
      </c>
      <c r="K164" s="45" t="str">
        <f>IF(G164="","",IF(COUNTIF($G$2:G164,G164)&gt;1,SUMIF($A$2:A164,G164,$D$2:D164),D164) +SUMIF($G$2:G164,G164,$M$2:M164))</f>
        <v/>
      </c>
      <c r="L164" s="45" t="str">
        <f t="shared" si="19"/>
        <v/>
      </c>
      <c r="M164" s="46" t="str">
        <f>IF(G164="","",IF(B164 = "BUY", 0,(E164-VLOOKUP(CONCATENATE(G164,(H164-1)),$I$2:L163,4,FALSE))*-C164))</f>
        <v/>
      </c>
    </row>
    <row r="165" spans="1:13" ht="15" thickBot="1" x14ac:dyDescent="0.35">
      <c r="A165" s="27" t="str">
        <f>IF('Australian MTransaction'!A165= "","",'Australian MTransaction'!A165)</f>
        <v/>
      </c>
      <c r="B165" s="28" t="str">
        <f>IF('Australian MTransaction'!B165= "","",'Australian MTransaction'!B165)</f>
        <v/>
      </c>
      <c r="C165" s="28" t="str">
        <f>IF('Australian MTransaction'!C165= "","",IF(B165="BUY",'Australian MTransaction'!C165,-'Australian MTransaction'!C165))</f>
        <v/>
      </c>
      <c r="D165" s="28" t="str">
        <f>IF('Australian MTransaction'!D165 = "","",IF($B165 = "BUY", 'Australian MTransaction'!D165,-'Australian MTransaction'!D165))</f>
        <v/>
      </c>
      <c r="E165" s="28" t="str">
        <f>IF('Australian MTransaction'!E165= "","",'Australian MTransaction'!E165)</f>
        <v/>
      </c>
      <c r="F165" s="23"/>
      <c r="G165" s="28" t="str">
        <f t="shared" si="17"/>
        <v/>
      </c>
      <c r="H165" s="28" t="str">
        <f>IF(A165="","",COUNTIF($G$2:G165,G165))</f>
        <v/>
      </c>
      <c r="I165" s="28" t="str">
        <f t="shared" si="18"/>
        <v/>
      </c>
      <c r="J165" s="28" t="str">
        <f>IF(G165="","",IF(COUNTIF($G$2:G165,G165)&gt;1,SUMIF($A$2:A165,G165,$C$2:C165),C165))</f>
        <v/>
      </c>
      <c r="K165" s="45" t="str">
        <f>IF(G165="","",IF(COUNTIF($G$2:G165,G165)&gt;1,SUMIF($A$2:A165,G165,$D$2:D165),D165) +SUMIF($G$2:G165,G165,$M$2:M165))</f>
        <v/>
      </c>
      <c r="L165" s="45" t="str">
        <f t="shared" si="19"/>
        <v/>
      </c>
      <c r="M165" s="46" t="str">
        <f>IF(G165="","",IF(B165 = "BUY", 0,(E165-VLOOKUP(CONCATENATE(G165,(H165-1)),$I$2:L164,4,FALSE))*-C165))</f>
        <v/>
      </c>
    </row>
    <row r="166" spans="1:13" ht="15" thickBot="1" x14ac:dyDescent="0.35">
      <c r="A166" s="27" t="str">
        <f>IF('Australian MTransaction'!A166= "","",'Australian MTransaction'!A166)</f>
        <v/>
      </c>
      <c r="B166" s="28" t="str">
        <f>IF('Australian MTransaction'!B166= "","",'Australian MTransaction'!B166)</f>
        <v/>
      </c>
      <c r="C166" s="28" t="str">
        <f>IF('Australian MTransaction'!C166= "","",IF(B166="BUY",'Australian MTransaction'!C166,-'Australian MTransaction'!C166))</f>
        <v/>
      </c>
      <c r="D166" s="28" t="str">
        <f>IF('Australian MTransaction'!D166 = "","",IF($B166 = "BUY", 'Australian MTransaction'!D166,-'Australian MTransaction'!D166))</f>
        <v/>
      </c>
      <c r="E166" s="28" t="str">
        <f>IF('Australian MTransaction'!E166= "","",'Australian MTransaction'!E166)</f>
        <v/>
      </c>
      <c r="F166" s="23"/>
      <c r="G166" s="28" t="str">
        <f t="shared" si="17"/>
        <v/>
      </c>
      <c r="H166" s="28" t="str">
        <f>IF(A166="","",COUNTIF($G$2:G166,G166))</f>
        <v/>
      </c>
      <c r="I166" s="28" t="str">
        <f t="shared" si="18"/>
        <v/>
      </c>
      <c r="J166" s="28" t="str">
        <f>IF(G166="","",IF(COUNTIF($G$2:G166,G166)&gt;1,SUMIF($A$2:A166,G166,$C$2:C166),C166))</f>
        <v/>
      </c>
      <c r="K166" s="45" t="str">
        <f>IF(G166="","",IF(COUNTIF($G$2:G166,G166)&gt;1,SUMIF($A$2:A166,G166,$D$2:D166),D166) +SUMIF($G$2:G166,G166,$M$2:M166))</f>
        <v/>
      </c>
      <c r="L166" s="45" t="str">
        <f t="shared" si="19"/>
        <v/>
      </c>
      <c r="M166" s="46" t="str">
        <f>IF(G166="","",IF(B166 = "BUY", 0,(E166-VLOOKUP(CONCATENATE(G166,(H166-1)),$I$2:L165,4,FALSE))*-C166))</f>
        <v/>
      </c>
    </row>
    <row r="167" spans="1:13" ht="15" thickBot="1" x14ac:dyDescent="0.35">
      <c r="A167" s="27" t="str">
        <f>IF('Australian MTransaction'!A167= "","",'Australian MTransaction'!A167)</f>
        <v/>
      </c>
      <c r="B167" s="28" t="str">
        <f>IF('Australian MTransaction'!B167= "","",'Australian MTransaction'!B167)</f>
        <v/>
      </c>
      <c r="C167" s="28" t="str">
        <f>IF('Australian MTransaction'!C167= "","",IF(B167="BUY",'Australian MTransaction'!C167,-'Australian MTransaction'!C167))</f>
        <v/>
      </c>
      <c r="D167" s="28" t="str">
        <f>IF('Australian MTransaction'!D167 = "","",IF($B167 = "BUY", 'Australian MTransaction'!D167,-'Australian MTransaction'!D167))</f>
        <v/>
      </c>
      <c r="E167" s="28" t="str">
        <f>IF('Australian MTransaction'!E167= "","",'Australian MTransaction'!E167)</f>
        <v/>
      </c>
      <c r="F167" s="23"/>
      <c r="G167" s="28" t="str">
        <f t="shared" si="17"/>
        <v/>
      </c>
      <c r="H167" s="28" t="str">
        <f>IF(A167="","",COUNTIF($G$2:G167,G167))</f>
        <v/>
      </c>
      <c r="I167" s="28" t="str">
        <f t="shared" si="18"/>
        <v/>
      </c>
      <c r="J167" s="28" t="str">
        <f>IF(G167="","",IF(COUNTIF($G$2:G167,G167)&gt;1,SUMIF($A$2:A167,G167,$C$2:C167),C167))</f>
        <v/>
      </c>
      <c r="K167" s="45" t="str">
        <f>IF(G167="","",IF(COUNTIF($G$2:G167,G167)&gt;1,SUMIF($A$2:A167,G167,$D$2:D167),D167) +SUMIF($G$2:G167,G167,$M$2:M167))</f>
        <v/>
      </c>
      <c r="L167" s="45" t="str">
        <f t="shared" si="19"/>
        <v/>
      </c>
      <c r="M167" s="46" t="str">
        <f>IF(G167="","",IF(B167 = "BUY", 0,(E167-VLOOKUP(CONCATENATE(G167,(H167-1)),$I$2:L166,4,FALSE))*-C167))</f>
        <v/>
      </c>
    </row>
    <row r="168" spans="1:13" ht="15" thickBot="1" x14ac:dyDescent="0.35">
      <c r="A168" s="27" t="str">
        <f>IF('Australian MTransaction'!A168= "","",'Australian MTransaction'!A168)</f>
        <v/>
      </c>
      <c r="B168" s="28" t="str">
        <f>IF('Australian MTransaction'!B168= "","",'Australian MTransaction'!B168)</f>
        <v/>
      </c>
      <c r="C168" s="28" t="str">
        <f>IF('Australian MTransaction'!C168= "","",IF(B168="BUY",'Australian MTransaction'!C168,-'Australian MTransaction'!C168))</f>
        <v/>
      </c>
      <c r="D168" s="28" t="str">
        <f>IF('Australian MTransaction'!D168 = "","",IF($B168 = "BUY", 'Australian MTransaction'!D168,-'Australian MTransaction'!D168))</f>
        <v/>
      </c>
      <c r="E168" s="28" t="str">
        <f>IF('Australian MTransaction'!E168= "","",'Australian MTransaction'!E168)</f>
        <v/>
      </c>
      <c r="F168" s="23"/>
      <c r="G168" s="28" t="str">
        <f t="shared" si="17"/>
        <v/>
      </c>
      <c r="H168" s="28" t="str">
        <f>IF(A168="","",COUNTIF($G$2:G168,G168))</f>
        <v/>
      </c>
      <c r="I168" s="28" t="str">
        <f t="shared" si="18"/>
        <v/>
      </c>
      <c r="J168" s="28" t="str">
        <f>IF(G168="","",IF(COUNTIF($G$2:G168,G168)&gt;1,SUMIF($A$2:A168,G168,$C$2:C168),C168))</f>
        <v/>
      </c>
      <c r="K168" s="45" t="str">
        <f>IF(G168="","",IF(COUNTIF($G$2:G168,G168)&gt;1,SUMIF($A$2:A168,G168,$D$2:D168),D168) +SUMIF($G$2:G168,G168,$M$2:M168))</f>
        <v/>
      </c>
      <c r="L168" s="45" t="str">
        <f t="shared" si="19"/>
        <v/>
      </c>
      <c r="M168" s="46" t="str">
        <f>IF(G168="","",IF(B168 = "BUY", 0,(E168-VLOOKUP(CONCATENATE(G168,(H168-1)),$I$2:L167,4,FALSE))*-C168))</f>
        <v/>
      </c>
    </row>
    <row r="169" spans="1:13" ht="15" thickBot="1" x14ac:dyDescent="0.35">
      <c r="A169" s="27" t="str">
        <f>IF('Australian MTransaction'!A169= "","",'Australian MTransaction'!A169)</f>
        <v/>
      </c>
      <c r="B169" s="28" t="str">
        <f>IF('Australian MTransaction'!B169= "","",'Australian MTransaction'!B169)</f>
        <v/>
      </c>
      <c r="C169" s="28" t="str">
        <f>IF('Australian MTransaction'!C169= "","",IF(B169="BUY",'Australian MTransaction'!C169,-'Australian MTransaction'!C169))</f>
        <v/>
      </c>
      <c r="D169" s="28" t="str">
        <f>IF('Australian MTransaction'!D169 = "","",IF($B169 = "BUY", 'Australian MTransaction'!D169,-'Australian MTransaction'!D169))</f>
        <v/>
      </c>
      <c r="E169" s="28" t="str">
        <f>IF('Australian MTransaction'!E169= "","",'Australian MTransaction'!E169)</f>
        <v/>
      </c>
      <c r="F169" s="23"/>
      <c r="G169" s="28" t="str">
        <f t="shared" si="17"/>
        <v/>
      </c>
      <c r="H169" s="28" t="str">
        <f>IF(A169="","",COUNTIF($G$2:G169,G169))</f>
        <v/>
      </c>
      <c r="I169" s="28" t="str">
        <f t="shared" si="18"/>
        <v/>
      </c>
      <c r="J169" s="28" t="str">
        <f>IF(G169="","",IF(COUNTIF($G$2:G169,G169)&gt;1,SUMIF($A$2:A169,G169,$C$2:C169),C169))</f>
        <v/>
      </c>
      <c r="K169" s="45" t="str">
        <f>IF(G169="","",IF(COUNTIF($G$2:G169,G169)&gt;1,SUMIF($A$2:A169,G169,$D$2:D169),D169) +SUMIF($G$2:G169,G169,$M$2:M169))</f>
        <v/>
      </c>
      <c r="L169" s="45" t="str">
        <f t="shared" si="19"/>
        <v/>
      </c>
      <c r="M169" s="46" t="str">
        <f>IF(G169="","",IF(B169 = "BUY", 0,(E169-VLOOKUP(CONCATENATE(G169,(H169-1)),$I$2:L168,4,FALSE))*-C169))</f>
        <v/>
      </c>
    </row>
    <row r="170" spans="1:13" ht="15" thickBot="1" x14ac:dyDescent="0.35">
      <c r="A170" s="27" t="str">
        <f>IF('Australian MTransaction'!A170= "","",'Australian MTransaction'!A170)</f>
        <v/>
      </c>
      <c r="B170" s="28" t="str">
        <f>IF('Australian MTransaction'!B170= "","",'Australian MTransaction'!B170)</f>
        <v/>
      </c>
      <c r="C170" s="28" t="str">
        <f>IF('Australian MTransaction'!C170= "","",IF(B170="BUY",'Australian MTransaction'!C170,-'Australian MTransaction'!C170))</f>
        <v/>
      </c>
      <c r="D170" s="28" t="str">
        <f>IF('Australian MTransaction'!D170 = "","",IF($B170 = "BUY", 'Australian MTransaction'!D170,-'Australian MTransaction'!D170))</f>
        <v/>
      </c>
      <c r="E170" s="28" t="str">
        <f>IF('Australian MTransaction'!E170= "","",'Australian MTransaction'!E170)</f>
        <v/>
      </c>
      <c r="F170" s="23"/>
      <c r="G170" s="28" t="str">
        <f t="shared" si="17"/>
        <v/>
      </c>
      <c r="H170" s="28" t="str">
        <f>IF(A170="","",COUNTIF($G$2:G170,G170))</f>
        <v/>
      </c>
      <c r="I170" s="28" t="str">
        <f t="shared" si="18"/>
        <v/>
      </c>
      <c r="J170" s="28" t="str">
        <f>IF(G170="","",IF(COUNTIF($G$2:G170,G170)&gt;1,SUMIF($A$2:A170,G170,$C$2:C170),C170))</f>
        <v/>
      </c>
      <c r="K170" s="45" t="str">
        <f>IF(G170="","",IF(COUNTIF($G$2:G170,G170)&gt;1,SUMIF($A$2:A170,G170,$D$2:D170),D170) +SUMIF($G$2:G170,G170,$M$2:M170))</f>
        <v/>
      </c>
      <c r="L170" s="45" t="str">
        <f t="shared" si="19"/>
        <v/>
      </c>
      <c r="M170" s="46" t="str">
        <f>IF(G170="","",IF(B170 = "BUY", 0,(E170-VLOOKUP(CONCATENATE(G170,(H170-1)),$I$2:L169,4,FALSE))*-C170))</f>
        <v/>
      </c>
    </row>
    <row r="171" spans="1:13" ht="15" thickBot="1" x14ac:dyDescent="0.35">
      <c r="A171" s="27" t="str">
        <f>IF('Australian MTransaction'!A171= "","",'Australian MTransaction'!A171)</f>
        <v/>
      </c>
      <c r="B171" s="28" t="str">
        <f>IF('Australian MTransaction'!B171= "","",'Australian MTransaction'!B171)</f>
        <v/>
      </c>
      <c r="C171" s="28" t="str">
        <f>IF('Australian MTransaction'!C171= "","",IF(B171="BUY",'Australian MTransaction'!C171,-'Australian MTransaction'!C171))</f>
        <v/>
      </c>
      <c r="D171" s="28" t="str">
        <f>IF('Australian MTransaction'!D171 = "","",IF($B171 = "BUY", 'Australian MTransaction'!D171,-'Australian MTransaction'!D171))</f>
        <v/>
      </c>
      <c r="E171" s="28" t="str">
        <f>IF('Australian MTransaction'!E171= "","",'Australian MTransaction'!E171)</f>
        <v/>
      </c>
      <c r="F171" s="23"/>
      <c r="G171" s="28" t="str">
        <f t="shared" si="17"/>
        <v/>
      </c>
      <c r="H171" s="28" t="str">
        <f>IF(A171="","",COUNTIF($G$2:G171,G171))</f>
        <v/>
      </c>
      <c r="I171" s="28" t="str">
        <f t="shared" si="18"/>
        <v/>
      </c>
      <c r="J171" s="28" t="str">
        <f>IF(G171="","",IF(COUNTIF($G$2:G171,G171)&gt;1,SUMIF($A$2:A171,G171,$C$2:C171),C171))</f>
        <v/>
      </c>
      <c r="K171" s="45" t="str">
        <f>IF(G171="","",IF(COUNTIF($G$2:G171,G171)&gt;1,SUMIF($A$2:A171,G171,$D$2:D171),D171) +SUMIF($G$2:G171,G171,$M$2:M171))</f>
        <v/>
      </c>
      <c r="L171" s="45" t="str">
        <f t="shared" si="19"/>
        <v/>
      </c>
      <c r="M171" s="46" t="str">
        <f>IF(G171="","",IF(B171 = "BUY", 0,(E171-VLOOKUP(CONCATENATE(G171,(H171-1)),$I$2:L170,4,FALSE))*-C171))</f>
        <v/>
      </c>
    </row>
    <row r="172" spans="1:13" ht="15" thickBot="1" x14ac:dyDescent="0.35">
      <c r="A172" s="27" t="str">
        <f>IF('Australian MTransaction'!A172= "","",'Australian MTransaction'!A172)</f>
        <v/>
      </c>
      <c r="B172" s="28" t="str">
        <f>IF('Australian MTransaction'!B172= "","",'Australian MTransaction'!B172)</f>
        <v/>
      </c>
      <c r="C172" s="28" t="str">
        <f>IF('Australian MTransaction'!C172= "","",IF(B172="BUY",'Australian MTransaction'!C172,-'Australian MTransaction'!C172))</f>
        <v/>
      </c>
      <c r="D172" s="28" t="str">
        <f>IF('Australian MTransaction'!D172 = "","",IF($B172 = "BUY", 'Australian MTransaction'!D172,-'Australian MTransaction'!D172))</f>
        <v/>
      </c>
      <c r="E172" s="28" t="str">
        <f>IF('Australian MTransaction'!E172= "","",'Australian MTransaction'!E172)</f>
        <v/>
      </c>
      <c r="F172" s="23"/>
      <c r="G172" s="28" t="str">
        <f t="shared" si="17"/>
        <v/>
      </c>
      <c r="H172" s="28" t="str">
        <f>IF(A172="","",COUNTIF($G$2:G172,G172))</f>
        <v/>
      </c>
      <c r="I172" s="28" t="str">
        <f t="shared" si="18"/>
        <v/>
      </c>
      <c r="J172" s="28" t="str">
        <f>IF(G172="","",IF(COUNTIF($G$2:G172,G172)&gt;1,SUMIF($A$2:A172,G172,$C$2:C172),C172))</f>
        <v/>
      </c>
      <c r="K172" s="45" t="str">
        <f>IF(G172="","",IF(COUNTIF($G$2:G172,G172)&gt;1,SUMIF($A$2:A172,G172,$D$2:D172),D172) +SUMIF($G$2:G172,G172,$M$2:M172))</f>
        <v/>
      </c>
      <c r="L172" s="45" t="str">
        <f t="shared" si="19"/>
        <v/>
      </c>
      <c r="M172" s="46" t="str">
        <f>IF(G172="","",IF(B172 = "BUY", 0,(E172-VLOOKUP(CONCATENATE(G172,(H172-1)),$I$2:L171,4,FALSE))*-C172))</f>
        <v/>
      </c>
    </row>
    <row r="173" spans="1:13" ht="15" thickBot="1" x14ac:dyDescent="0.35">
      <c r="A173" s="27" t="str">
        <f>IF('Australian MTransaction'!A173= "","",'Australian MTransaction'!A173)</f>
        <v/>
      </c>
      <c r="B173" s="28" t="str">
        <f>IF('Australian MTransaction'!B173= "","",'Australian MTransaction'!B173)</f>
        <v/>
      </c>
      <c r="C173" s="28" t="str">
        <f>IF('Australian MTransaction'!C173= "","",IF(B173="BUY",'Australian MTransaction'!C173,-'Australian MTransaction'!C173))</f>
        <v/>
      </c>
      <c r="D173" s="28" t="str">
        <f>IF('Australian MTransaction'!D173 = "","",IF($B173 = "BUY", 'Australian MTransaction'!D173,-'Australian MTransaction'!D173))</f>
        <v/>
      </c>
      <c r="E173" s="28" t="str">
        <f>IF('Australian MTransaction'!E173= "","",'Australian MTransaction'!E173)</f>
        <v/>
      </c>
      <c r="F173" s="23"/>
      <c r="G173" s="28" t="str">
        <f t="shared" si="17"/>
        <v/>
      </c>
      <c r="H173" s="28" t="str">
        <f>IF(A173="","",COUNTIF($G$2:G173,G173))</f>
        <v/>
      </c>
      <c r="I173" s="28" t="str">
        <f t="shared" si="18"/>
        <v/>
      </c>
      <c r="J173" s="28" t="str">
        <f>IF(G173="","",IF(COUNTIF($G$2:G173,G173)&gt;1,SUMIF($A$2:A173,G173,$C$2:C173),C173))</f>
        <v/>
      </c>
      <c r="K173" s="45" t="str">
        <f>IF(G173="","",IF(COUNTIF($G$2:G173,G173)&gt;1,SUMIF($A$2:A173,G173,$D$2:D173),D173) +SUMIF($G$2:G173,G173,$M$2:M173))</f>
        <v/>
      </c>
      <c r="L173" s="45" t="str">
        <f t="shared" si="19"/>
        <v/>
      </c>
      <c r="M173" s="46" t="str">
        <f>IF(G173="","",IF(B173 = "BUY", 0,(E173-VLOOKUP(CONCATENATE(G173,(H173-1)),$I$2:L172,4,FALSE))*-C173))</f>
        <v/>
      </c>
    </row>
    <row r="174" spans="1:13" ht="15" thickBot="1" x14ac:dyDescent="0.35">
      <c r="A174" s="27" t="str">
        <f>IF('Australian MTransaction'!A174= "","",'Australian MTransaction'!A174)</f>
        <v/>
      </c>
      <c r="B174" s="28" t="str">
        <f>IF('Australian MTransaction'!B174= "","",'Australian MTransaction'!B174)</f>
        <v/>
      </c>
      <c r="C174" s="28" t="str">
        <f>IF('Australian MTransaction'!C174= "","",IF(B174="BUY",'Australian MTransaction'!C174,-'Australian MTransaction'!C174))</f>
        <v/>
      </c>
      <c r="D174" s="28" t="str">
        <f>IF('Australian MTransaction'!D174 = "","",IF($B174 = "BUY", 'Australian MTransaction'!D174,-'Australian MTransaction'!D174))</f>
        <v/>
      </c>
      <c r="E174" s="28" t="str">
        <f>IF('Australian MTransaction'!E174= "","",'Australian MTransaction'!E174)</f>
        <v/>
      </c>
      <c r="F174" s="23"/>
      <c r="G174" s="28" t="str">
        <f t="shared" si="17"/>
        <v/>
      </c>
      <c r="H174" s="28" t="str">
        <f>IF(A174="","",COUNTIF($G$2:G174,G174))</f>
        <v/>
      </c>
      <c r="I174" s="28" t="str">
        <f t="shared" si="18"/>
        <v/>
      </c>
      <c r="J174" s="28" t="str">
        <f>IF(G174="","",IF(COUNTIF($G$2:G174,G174)&gt;1,SUMIF($A$2:A174,G174,$C$2:C174),C174))</f>
        <v/>
      </c>
      <c r="K174" s="45" t="str">
        <f>IF(G174="","",IF(COUNTIF($G$2:G174,G174)&gt;1,SUMIF($A$2:A174,G174,$D$2:D174),D174) +SUMIF($G$2:G174,G174,$M$2:M174))</f>
        <v/>
      </c>
      <c r="L174" s="45" t="str">
        <f t="shared" si="19"/>
        <v/>
      </c>
      <c r="M174" s="46" t="str">
        <f>IF(G174="","",IF(B174 = "BUY", 0,(E174-VLOOKUP(CONCATENATE(G174,(H174-1)),$I$2:L173,4,FALSE))*-C174))</f>
        <v/>
      </c>
    </row>
    <row r="175" spans="1:13" ht="15" thickBot="1" x14ac:dyDescent="0.35">
      <c r="A175" s="27" t="str">
        <f>IF('Australian MTransaction'!A175= "","",'Australian MTransaction'!A175)</f>
        <v/>
      </c>
      <c r="B175" s="28" t="str">
        <f>IF('Australian MTransaction'!B175= "","",'Australian MTransaction'!B175)</f>
        <v/>
      </c>
      <c r="C175" s="28" t="str">
        <f>IF('Australian MTransaction'!C175= "","",IF(B175="BUY",'Australian MTransaction'!C175,-'Australian MTransaction'!C175))</f>
        <v/>
      </c>
      <c r="D175" s="28" t="str">
        <f>IF('Australian MTransaction'!D175 = "","",IF($B175 = "BUY", 'Australian MTransaction'!D175,-'Australian MTransaction'!D175))</f>
        <v/>
      </c>
      <c r="E175" s="28" t="str">
        <f>IF('Australian MTransaction'!E175= "","",'Australian MTransaction'!E175)</f>
        <v/>
      </c>
      <c r="F175" s="23"/>
      <c r="G175" s="28" t="str">
        <f t="shared" si="17"/>
        <v/>
      </c>
      <c r="H175" s="28" t="str">
        <f>IF(A175="","",COUNTIF($G$2:G175,G175))</f>
        <v/>
      </c>
      <c r="I175" s="28" t="str">
        <f t="shared" si="18"/>
        <v/>
      </c>
      <c r="J175" s="28" t="str">
        <f>IF(G175="","",IF(COUNTIF($G$2:G175,G175)&gt;1,SUMIF($A$2:A175,G175,$C$2:C175),C175))</f>
        <v/>
      </c>
      <c r="K175" s="45" t="str">
        <f>IF(G175="","",IF(COUNTIF($G$2:G175,G175)&gt;1,SUMIF($A$2:A175,G175,$D$2:D175),D175) +SUMIF($G$2:G175,G175,$M$2:M175))</f>
        <v/>
      </c>
      <c r="L175" s="45" t="str">
        <f t="shared" si="19"/>
        <v/>
      </c>
      <c r="M175" s="46" t="str">
        <f>IF(G175="","",IF(B175 = "BUY", 0,(E175-VLOOKUP(CONCATENATE(G175,(H175-1)),$I$2:L174,4,FALSE))*-C175))</f>
        <v/>
      </c>
    </row>
    <row r="176" spans="1:13" ht="15" thickBot="1" x14ac:dyDescent="0.35">
      <c r="A176" s="27" t="str">
        <f>IF('Australian MTransaction'!A176= "","",'Australian MTransaction'!A176)</f>
        <v/>
      </c>
      <c r="B176" s="28" t="str">
        <f>IF('Australian MTransaction'!B176= "","",'Australian MTransaction'!B176)</f>
        <v/>
      </c>
      <c r="C176" s="28" t="str">
        <f>IF('Australian MTransaction'!C176= "","",IF(B176="BUY",'Australian MTransaction'!C176,-'Australian MTransaction'!C176))</f>
        <v/>
      </c>
      <c r="D176" s="28" t="str">
        <f>IF('Australian MTransaction'!D176 = "","",IF($B176 = "BUY", 'Australian MTransaction'!D176,-'Australian MTransaction'!D176))</f>
        <v/>
      </c>
      <c r="E176" s="28" t="str">
        <f>IF('Australian MTransaction'!E176= "","",'Australian MTransaction'!E176)</f>
        <v/>
      </c>
      <c r="F176" s="23"/>
      <c r="G176" s="28" t="str">
        <f t="shared" si="17"/>
        <v/>
      </c>
      <c r="H176" s="28" t="str">
        <f>IF(A176="","",COUNTIF($G$2:G176,G176))</f>
        <v/>
      </c>
      <c r="I176" s="28" t="str">
        <f t="shared" si="18"/>
        <v/>
      </c>
      <c r="J176" s="28" t="str">
        <f>IF(G176="","",IF(COUNTIF($G$2:G176,G176)&gt;1,SUMIF($A$2:A176,G176,$C$2:C176),C176))</f>
        <v/>
      </c>
      <c r="K176" s="45" t="str">
        <f>IF(G176="","",IF(COUNTIF($G$2:G176,G176)&gt;1,SUMIF($A$2:A176,G176,$D$2:D176),D176) +SUMIF($G$2:G176,G176,$M$2:M176))</f>
        <v/>
      </c>
      <c r="L176" s="45" t="str">
        <f t="shared" si="19"/>
        <v/>
      </c>
      <c r="M176" s="46" t="str">
        <f>IF(G176="","",IF(B176 = "BUY", 0,(E176-VLOOKUP(CONCATENATE(G176,(H176-1)),$I$2:L175,4,FALSE))*-C176))</f>
        <v/>
      </c>
    </row>
    <row r="177" spans="1:13" ht="15" thickBot="1" x14ac:dyDescent="0.35">
      <c r="A177" s="27" t="str">
        <f>IF('Australian MTransaction'!A177= "","",'Australian MTransaction'!A177)</f>
        <v/>
      </c>
      <c r="B177" s="28" t="str">
        <f>IF('Australian MTransaction'!B177= "","",'Australian MTransaction'!B177)</f>
        <v/>
      </c>
      <c r="C177" s="28" t="str">
        <f>IF('Australian MTransaction'!C177= "","",IF(B177="BUY",'Australian MTransaction'!C177,-'Australian MTransaction'!C177))</f>
        <v/>
      </c>
      <c r="D177" s="28" t="str">
        <f>IF('Australian MTransaction'!D177 = "","",IF($B177 = "BUY", 'Australian MTransaction'!D177,-'Australian MTransaction'!D177))</f>
        <v/>
      </c>
      <c r="E177" s="28" t="str">
        <f>IF('Australian MTransaction'!E177= "","",'Australian MTransaction'!E177)</f>
        <v/>
      </c>
      <c r="F177" s="23"/>
      <c r="G177" s="28" t="str">
        <f t="shared" si="17"/>
        <v/>
      </c>
      <c r="H177" s="28" t="str">
        <f>IF(A177="","",COUNTIF($G$2:G177,G177))</f>
        <v/>
      </c>
      <c r="I177" s="28" t="str">
        <f t="shared" si="18"/>
        <v/>
      </c>
      <c r="J177" s="28" t="str">
        <f>IF(G177="","",IF(COUNTIF($G$2:G177,G177)&gt;1,SUMIF($A$2:A177,G177,$C$2:C177),C177))</f>
        <v/>
      </c>
      <c r="K177" s="45" t="str">
        <f>IF(G177="","",IF(COUNTIF($G$2:G177,G177)&gt;1,SUMIF($A$2:A177,G177,$D$2:D177),D177) +SUMIF($G$2:G177,G177,$M$2:M177))</f>
        <v/>
      </c>
      <c r="L177" s="45" t="str">
        <f t="shared" si="19"/>
        <v/>
      </c>
      <c r="M177" s="46" t="str">
        <f>IF(G177="","",IF(B177 = "BUY", 0,(E177-VLOOKUP(CONCATENATE(G177,(H177-1)),$I$2:L176,4,FALSE))*-C177))</f>
        <v/>
      </c>
    </row>
    <row r="178" spans="1:13" ht="15" thickBot="1" x14ac:dyDescent="0.35">
      <c r="A178" s="27" t="str">
        <f>IF('Australian MTransaction'!A178= "","",'Australian MTransaction'!A178)</f>
        <v/>
      </c>
      <c r="B178" s="28" t="str">
        <f>IF('Australian MTransaction'!B178= "","",'Australian MTransaction'!B178)</f>
        <v/>
      </c>
      <c r="C178" s="28" t="str">
        <f>IF('Australian MTransaction'!C178= "","",IF(B178="BUY",'Australian MTransaction'!C178,-'Australian MTransaction'!C178))</f>
        <v/>
      </c>
      <c r="D178" s="28" t="str">
        <f>IF('Australian MTransaction'!D178 = "","",IF($B178 = "BUY", 'Australian MTransaction'!D178,-'Australian MTransaction'!D178))</f>
        <v/>
      </c>
      <c r="E178" s="28" t="str">
        <f>IF('Australian MTransaction'!E178= "","",'Australian MTransaction'!E178)</f>
        <v/>
      </c>
      <c r="F178" s="23"/>
      <c r="G178" s="28" t="str">
        <f t="shared" si="17"/>
        <v/>
      </c>
      <c r="H178" s="28" t="str">
        <f>IF(A178="","",COUNTIF($G$2:G178,G178))</f>
        <v/>
      </c>
      <c r="I178" s="28" t="str">
        <f t="shared" si="18"/>
        <v/>
      </c>
      <c r="J178" s="28" t="str">
        <f>IF(G178="","",IF(COUNTIF($G$2:G178,G178)&gt;1,SUMIF($A$2:A178,G178,$C$2:C178),C178))</f>
        <v/>
      </c>
      <c r="K178" s="45" t="str">
        <f>IF(G178="","",IF(COUNTIF($G$2:G178,G178)&gt;1,SUMIF($A$2:A178,G178,$D$2:D178),D178) +SUMIF($G$2:G178,G178,$M$2:M178))</f>
        <v/>
      </c>
      <c r="L178" s="45" t="str">
        <f t="shared" si="19"/>
        <v/>
      </c>
      <c r="M178" s="46" t="str">
        <f>IF(G178="","",IF(B178 = "BUY", 0,(E178-VLOOKUP(CONCATENATE(G178,(H178-1)),$I$2:L177,4,FALSE))*-C178))</f>
        <v/>
      </c>
    </row>
    <row r="179" spans="1:13" ht="15" thickBot="1" x14ac:dyDescent="0.35">
      <c r="A179" s="27" t="str">
        <f>IF('Australian MTransaction'!A179= "","",'Australian MTransaction'!A179)</f>
        <v/>
      </c>
      <c r="B179" s="28" t="str">
        <f>IF('Australian MTransaction'!B179= "","",'Australian MTransaction'!B179)</f>
        <v/>
      </c>
      <c r="C179" s="28" t="str">
        <f>IF('Australian MTransaction'!C179= "","",IF(B179="BUY",'Australian MTransaction'!C179,-'Australian MTransaction'!C179))</f>
        <v/>
      </c>
      <c r="D179" s="28" t="str">
        <f>IF('Australian MTransaction'!D179 = "","",IF($B179 = "BUY", 'Australian MTransaction'!D179,-'Australian MTransaction'!D179))</f>
        <v/>
      </c>
      <c r="E179" s="28" t="str">
        <f>IF('Australian MTransaction'!E179= "","",'Australian MTransaction'!E179)</f>
        <v/>
      </c>
      <c r="F179" s="23"/>
      <c r="G179" s="28" t="str">
        <f t="shared" si="17"/>
        <v/>
      </c>
      <c r="H179" s="28" t="str">
        <f>IF(A179="","",COUNTIF($G$2:G179,G179))</f>
        <v/>
      </c>
      <c r="I179" s="28" t="str">
        <f t="shared" si="18"/>
        <v/>
      </c>
      <c r="J179" s="28" t="str">
        <f>IF(G179="","",IF(COUNTIF($G$2:G179,G179)&gt;1,SUMIF($A$2:A179,G179,$C$2:C179),C179))</f>
        <v/>
      </c>
      <c r="K179" s="45" t="str">
        <f>IF(G179="","",IF(COUNTIF($G$2:G179,G179)&gt;1,SUMIF($A$2:A179,G179,$D$2:D179),D179) +SUMIF($G$2:G179,G179,$M$2:M179))</f>
        <v/>
      </c>
      <c r="L179" s="45" t="str">
        <f t="shared" si="19"/>
        <v/>
      </c>
      <c r="M179" s="46" t="str">
        <f>IF(G179="","",IF(B179 = "BUY", 0,(E179-VLOOKUP(CONCATENATE(G179,(H179-1)),$I$2:L178,4,FALSE))*-C179))</f>
        <v/>
      </c>
    </row>
    <row r="180" spans="1:13" ht="15" thickBot="1" x14ac:dyDescent="0.35">
      <c r="A180" s="27" t="str">
        <f>IF('Australian MTransaction'!A180= "","",'Australian MTransaction'!A180)</f>
        <v/>
      </c>
      <c r="B180" s="28" t="str">
        <f>IF('Australian MTransaction'!B180= "","",'Australian MTransaction'!B180)</f>
        <v/>
      </c>
      <c r="C180" s="28" t="str">
        <f>IF('Australian MTransaction'!C180= "","",IF(B180="BUY",'Australian MTransaction'!C180,-'Australian MTransaction'!C180))</f>
        <v/>
      </c>
      <c r="D180" s="28" t="str">
        <f>IF('Australian MTransaction'!D180 = "","",IF($B180 = "BUY", 'Australian MTransaction'!D180,-'Australian MTransaction'!D180))</f>
        <v/>
      </c>
      <c r="E180" s="28" t="str">
        <f>IF('Australian MTransaction'!E180= "","",'Australian MTransaction'!E180)</f>
        <v/>
      </c>
      <c r="F180" s="23"/>
      <c r="G180" s="28" t="str">
        <f t="shared" si="17"/>
        <v/>
      </c>
      <c r="H180" s="28" t="str">
        <f>IF(A180="","",COUNTIF($G$2:G180,G180))</f>
        <v/>
      </c>
      <c r="I180" s="28" t="str">
        <f t="shared" si="18"/>
        <v/>
      </c>
      <c r="J180" s="28" t="str">
        <f>IF(G180="","",IF(COUNTIF($G$2:G180,G180)&gt;1,SUMIF($A$2:A180,G180,$C$2:C180),C180))</f>
        <v/>
      </c>
      <c r="K180" s="45" t="str">
        <f>IF(G180="","",IF(COUNTIF($G$2:G180,G180)&gt;1,SUMIF($A$2:A180,G180,$D$2:D180),D180) +SUMIF($G$2:G180,G180,$M$2:M180))</f>
        <v/>
      </c>
      <c r="L180" s="45" t="str">
        <f t="shared" si="19"/>
        <v/>
      </c>
      <c r="M180" s="46" t="str">
        <f>IF(G180="","",IF(B180 = "BUY", 0,(E180-VLOOKUP(CONCATENATE(G180,(H180-1)),$I$2:L179,4,FALSE))*-C180))</f>
        <v/>
      </c>
    </row>
    <row r="181" spans="1:13" ht="15" thickBot="1" x14ac:dyDescent="0.35">
      <c r="A181" s="27" t="str">
        <f>IF('Australian MTransaction'!A181= "","",'Australian MTransaction'!A181)</f>
        <v/>
      </c>
      <c r="B181" s="28" t="str">
        <f>IF('Australian MTransaction'!B181= "","",'Australian MTransaction'!B181)</f>
        <v/>
      </c>
      <c r="C181" s="28" t="str">
        <f>IF('Australian MTransaction'!C181= "","",IF(B181="BUY",'Australian MTransaction'!C181,-'Australian MTransaction'!C181))</f>
        <v/>
      </c>
      <c r="D181" s="28" t="str">
        <f>IF('Australian MTransaction'!D181 = "","",IF($B181 = "BUY", 'Australian MTransaction'!D181,-'Australian MTransaction'!D181))</f>
        <v/>
      </c>
      <c r="E181" s="28" t="str">
        <f>IF('Australian MTransaction'!E181= "","",'Australian MTransaction'!E181)</f>
        <v/>
      </c>
      <c r="F181" s="23"/>
      <c r="G181" s="28" t="str">
        <f t="shared" si="17"/>
        <v/>
      </c>
      <c r="H181" s="28" t="str">
        <f>IF(A181="","",COUNTIF($G$2:G181,G181))</f>
        <v/>
      </c>
      <c r="I181" s="28" t="str">
        <f t="shared" si="18"/>
        <v/>
      </c>
      <c r="J181" s="28" t="str">
        <f>IF(G181="","",IF(COUNTIF($G$2:G181,G181)&gt;1,SUMIF($A$2:A181,G181,$C$2:C181),C181))</f>
        <v/>
      </c>
      <c r="K181" s="45" t="str">
        <f>IF(G181="","",IF(COUNTIF($G$2:G181,G181)&gt;1,SUMIF($A$2:A181,G181,$D$2:D181),D181) +SUMIF($G$2:G181,G181,$M$2:M181))</f>
        <v/>
      </c>
      <c r="L181" s="45" t="str">
        <f t="shared" si="19"/>
        <v/>
      </c>
      <c r="M181" s="46" t="str">
        <f>IF(G181="","",IF(B181 = "BUY", 0,(E181-VLOOKUP(CONCATENATE(G181,(H181-1)),$I$2:L180,4,FALSE))*-C181))</f>
        <v/>
      </c>
    </row>
    <row r="182" spans="1:13" ht="15" thickBot="1" x14ac:dyDescent="0.35">
      <c r="A182" s="27" t="str">
        <f>IF('Australian MTransaction'!A182= "","",'Australian MTransaction'!A182)</f>
        <v/>
      </c>
      <c r="B182" s="28" t="str">
        <f>IF('Australian MTransaction'!B182= "","",'Australian MTransaction'!B182)</f>
        <v/>
      </c>
      <c r="C182" s="28" t="str">
        <f>IF('Australian MTransaction'!C182= "","",IF(B182="BUY",'Australian MTransaction'!C182,-'Australian MTransaction'!C182))</f>
        <v/>
      </c>
      <c r="D182" s="28" t="str">
        <f>IF('Australian MTransaction'!D182 = "","",IF($B182 = "BUY", 'Australian MTransaction'!D182,-'Australian MTransaction'!D182))</f>
        <v/>
      </c>
      <c r="E182" s="28" t="str">
        <f>IF('Australian MTransaction'!E182= "","",'Australian MTransaction'!E182)</f>
        <v/>
      </c>
      <c r="F182" s="23"/>
      <c r="G182" s="28" t="str">
        <f t="shared" si="17"/>
        <v/>
      </c>
      <c r="H182" s="28" t="str">
        <f>IF(A182="","",COUNTIF($G$2:G182,G182))</f>
        <v/>
      </c>
      <c r="I182" s="28" t="str">
        <f t="shared" si="18"/>
        <v/>
      </c>
      <c r="J182" s="28" t="str">
        <f>IF(G182="","",IF(COUNTIF($G$2:G182,G182)&gt;1,SUMIF($A$2:A182,G182,$C$2:C182),C182))</f>
        <v/>
      </c>
      <c r="K182" s="45" t="str">
        <f>IF(G182="","",IF(COUNTIF($G$2:G182,G182)&gt;1,SUMIF($A$2:A182,G182,$D$2:D182),D182) +SUMIF($G$2:G182,G182,$M$2:M182))</f>
        <v/>
      </c>
      <c r="L182" s="45" t="str">
        <f t="shared" si="19"/>
        <v/>
      </c>
      <c r="M182" s="46" t="str">
        <f>IF(G182="","",IF(B182 = "BUY", 0,(E182-VLOOKUP(CONCATENATE(G182,(H182-1)),$I$2:L181,4,FALSE))*-C182))</f>
        <v/>
      </c>
    </row>
    <row r="183" spans="1:13" ht="15" thickBot="1" x14ac:dyDescent="0.35">
      <c r="A183" s="27" t="str">
        <f>IF('Australian MTransaction'!A183= "","",'Australian MTransaction'!A183)</f>
        <v/>
      </c>
      <c r="B183" s="28" t="str">
        <f>IF('Australian MTransaction'!B183= "","",'Australian MTransaction'!B183)</f>
        <v/>
      </c>
      <c r="C183" s="28" t="str">
        <f>IF('Australian MTransaction'!C183= "","",IF(B183="BUY",'Australian MTransaction'!C183,-'Australian MTransaction'!C183))</f>
        <v/>
      </c>
      <c r="D183" s="28" t="str">
        <f>IF('Australian MTransaction'!D183 = "","",IF($B183 = "BUY", 'Australian MTransaction'!D183,-'Australian MTransaction'!D183))</f>
        <v/>
      </c>
      <c r="E183" s="28" t="str">
        <f>IF('Australian MTransaction'!E183= "","",'Australian MTransaction'!E183)</f>
        <v/>
      </c>
      <c r="F183" s="23"/>
      <c r="G183" s="28" t="str">
        <f t="shared" si="17"/>
        <v/>
      </c>
      <c r="H183" s="28" t="str">
        <f>IF(A183="","",COUNTIF($G$2:G183,G183))</f>
        <v/>
      </c>
      <c r="I183" s="28" t="str">
        <f t="shared" si="18"/>
        <v/>
      </c>
      <c r="J183" s="28" t="str">
        <f>IF(G183="","",IF(COUNTIF($G$2:G183,G183)&gt;1,SUMIF($A$2:A183,G183,$C$2:C183),C183))</f>
        <v/>
      </c>
      <c r="K183" s="45" t="str">
        <f>IF(G183="","",IF(COUNTIF($G$2:G183,G183)&gt;1,SUMIF($A$2:A183,G183,$D$2:D183),D183) +SUMIF($G$2:G183,G183,$M$2:M183))</f>
        <v/>
      </c>
      <c r="L183" s="45" t="str">
        <f t="shared" si="19"/>
        <v/>
      </c>
      <c r="M183" s="46" t="str">
        <f>IF(G183="","",IF(B183 = "BUY", 0,(E183-VLOOKUP(CONCATENATE(G183,(H183-1)),$I$2:L182,4,FALSE))*-C183))</f>
        <v/>
      </c>
    </row>
    <row r="184" spans="1:13" ht="15" thickBot="1" x14ac:dyDescent="0.35">
      <c r="A184" s="27" t="str">
        <f>IF('Australian MTransaction'!A184= "","",'Australian MTransaction'!A184)</f>
        <v/>
      </c>
      <c r="B184" s="28" t="str">
        <f>IF('Australian MTransaction'!B184= "","",'Australian MTransaction'!B184)</f>
        <v/>
      </c>
      <c r="C184" s="28" t="str">
        <f>IF('Australian MTransaction'!C184= "","",IF(B184="BUY",'Australian MTransaction'!C184,-'Australian MTransaction'!C184))</f>
        <v/>
      </c>
      <c r="D184" s="28" t="str">
        <f>IF('Australian MTransaction'!D184 = "","",IF($B184 = "BUY", 'Australian MTransaction'!D184,-'Australian MTransaction'!D184))</f>
        <v/>
      </c>
      <c r="E184" s="28" t="str">
        <f>IF('Australian MTransaction'!E184= "","",'Australian MTransaction'!E184)</f>
        <v/>
      </c>
      <c r="F184" s="23"/>
      <c r="G184" s="28" t="str">
        <f t="shared" si="17"/>
        <v/>
      </c>
      <c r="H184" s="28" t="str">
        <f>IF(A184="","",COUNTIF($G$2:G184,G184))</f>
        <v/>
      </c>
      <c r="I184" s="28" t="str">
        <f t="shared" si="18"/>
        <v/>
      </c>
      <c r="J184" s="28" t="str">
        <f>IF(G184="","",IF(COUNTIF($G$2:G184,G184)&gt;1,SUMIF($A$2:A184,G184,$C$2:C184),C184))</f>
        <v/>
      </c>
      <c r="K184" s="45" t="str">
        <f>IF(G184="","",IF(COUNTIF($G$2:G184,G184)&gt;1,SUMIF($A$2:A184,G184,$D$2:D184),D184) +SUMIF($G$2:G184,G184,$M$2:M184))</f>
        <v/>
      </c>
      <c r="L184" s="45" t="str">
        <f t="shared" si="19"/>
        <v/>
      </c>
      <c r="M184" s="46" t="str">
        <f>IF(G184="","",IF(B184 = "BUY", 0,(E184-VLOOKUP(CONCATENATE(G184,(H184-1)),$I$2:L183,4,FALSE))*-C184))</f>
        <v/>
      </c>
    </row>
    <row r="185" spans="1:13" ht="15" thickBot="1" x14ac:dyDescent="0.35">
      <c r="A185" s="27" t="str">
        <f>IF('Australian MTransaction'!A185= "","",'Australian MTransaction'!A185)</f>
        <v/>
      </c>
      <c r="B185" s="28" t="str">
        <f>IF('Australian MTransaction'!B185= "","",'Australian MTransaction'!B185)</f>
        <v/>
      </c>
      <c r="C185" s="28" t="str">
        <f>IF('Australian MTransaction'!C185= "","",IF(B185="BUY",'Australian MTransaction'!C185,-'Australian MTransaction'!C185))</f>
        <v/>
      </c>
      <c r="D185" s="28" t="str">
        <f>IF('Australian MTransaction'!D185 = "","",IF($B185 = "BUY", 'Australian MTransaction'!D185,-'Australian MTransaction'!D185))</f>
        <v/>
      </c>
      <c r="E185" s="28" t="str">
        <f>IF('Australian MTransaction'!E185= "","",'Australian MTransaction'!E185)</f>
        <v/>
      </c>
      <c r="F185" s="23"/>
      <c r="G185" s="28" t="str">
        <f t="shared" si="17"/>
        <v/>
      </c>
      <c r="H185" s="28" t="str">
        <f>IF(A185="","",COUNTIF($G$2:G185,G185))</f>
        <v/>
      </c>
      <c r="I185" s="28" t="str">
        <f t="shared" si="18"/>
        <v/>
      </c>
      <c r="J185" s="28" t="str">
        <f>IF(G185="","",IF(COUNTIF($G$2:G185,G185)&gt;1,SUMIF($A$2:A185,G185,$C$2:C185),C185))</f>
        <v/>
      </c>
      <c r="K185" s="45" t="str">
        <f>IF(G185="","",IF(COUNTIF($G$2:G185,G185)&gt;1,SUMIF($A$2:A185,G185,$D$2:D185),D185) +SUMIF($G$2:G185,G185,$M$2:M185))</f>
        <v/>
      </c>
      <c r="L185" s="45" t="str">
        <f t="shared" si="19"/>
        <v/>
      </c>
      <c r="M185" s="46" t="str">
        <f>IF(G185="","",IF(B185 = "BUY", 0,(E185-VLOOKUP(CONCATENATE(G185,(H185-1)),$I$2:L184,4,FALSE))*-C185))</f>
        <v/>
      </c>
    </row>
    <row r="186" spans="1:13" ht="15" thickBot="1" x14ac:dyDescent="0.35">
      <c r="A186" s="27" t="str">
        <f>IF('Australian MTransaction'!A186= "","",'Australian MTransaction'!A186)</f>
        <v/>
      </c>
      <c r="B186" s="28" t="str">
        <f>IF('Australian MTransaction'!B186= "","",'Australian MTransaction'!B186)</f>
        <v/>
      </c>
      <c r="C186" s="28" t="str">
        <f>IF('Australian MTransaction'!C186= "","",IF(B186="BUY",'Australian MTransaction'!C186,-'Australian MTransaction'!C186))</f>
        <v/>
      </c>
      <c r="D186" s="28" t="str">
        <f>IF('Australian MTransaction'!D186 = "","",IF($B186 = "BUY", 'Australian MTransaction'!D186,-'Australian MTransaction'!D186))</f>
        <v/>
      </c>
      <c r="E186" s="28" t="str">
        <f>IF('Australian MTransaction'!E186= "","",'Australian MTransaction'!E186)</f>
        <v/>
      </c>
      <c r="F186" s="23"/>
      <c r="G186" s="28" t="str">
        <f t="shared" si="17"/>
        <v/>
      </c>
      <c r="H186" s="28" t="str">
        <f>IF(A186="","",COUNTIF($G$2:G186,G186))</f>
        <v/>
      </c>
      <c r="I186" s="28" t="str">
        <f t="shared" si="18"/>
        <v/>
      </c>
      <c r="J186" s="28" t="str">
        <f>IF(G186="","",IF(COUNTIF($G$2:G186,G186)&gt;1,SUMIF($A$2:A186,G186,$C$2:C186),C186))</f>
        <v/>
      </c>
      <c r="K186" s="45" t="str">
        <f>IF(G186="","",IF(COUNTIF($G$2:G186,G186)&gt;1,SUMIF($A$2:A186,G186,$D$2:D186),D186) +SUMIF($G$2:G186,G186,$M$2:M186))</f>
        <v/>
      </c>
      <c r="L186" s="45" t="str">
        <f t="shared" si="19"/>
        <v/>
      </c>
      <c r="M186" s="46" t="str">
        <f>IF(G186="","",IF(B186 = "BUY", 0,(E186-VLOOKUP(CONCATENATE(G186,(H186-1)),$I$2:L185,4,FALSE))*-C186))</f>
        <v/>
      </c>
    </row>
    <row r="187" spans="1:13" ht="15" thickBot="1" x14ac:dyDescent="0.35">
      <c r="A187" s="27" t="str">
        <f>IF('Australian MTransaction'!A187= "","",'Australian MTransaction'!A187)</f>
        <v/>
      </c>
      <c r="B187" s="28" t="str">
        <f>IF('Australian MTransaction'!B187= "","",'Australian MTransaction'!B187)</f>
        <v/>
      </c>
      <c r="C187" s="28" t="str">
        <f>IF('Australian MTransaction'!C187= "","",IF(B187="BUY",'Australian MTransaction'!C187,-'Australian MTransaction'!C187))</f>
        <v/>
      </c>
      <c r="D187" s="28" t="str">
        <f>IF('Australian MTransaction'!D187 = "","",IF($B187 = "BUY", 'Australian MTransaction'!D187,-'Australian MTransaction'!D187))</f>
        <v/>
      </c>
      <c r="E187" s="28" t="str">
        <f>IF('Australian MTransaction'!E187= "","",'Australian MTransaction'!E187)</f>
        <v/>
      </c>
      <c r="F187" s="23"/>
      <c r="G187" s="28" t="str">
        <f t="shared" si="17"/>
        <v/>
      </c>
      <c r="H187" s="28" t="str">
        <f>IF(A187="","",COUNTIF($G$2:G187,G187))</f>
        <v/>
      </c>
      <c r="I187" s="28" t="str">
        <f t="shared" si="18"/>
        <v/>
      </c>
      <c r="J187" s="28" t="str">
        <f>IF(G187="","",IF(COUNTIF($G$2:G187,G187)&gt;1,SUMIF($A$2:A187,G187,$C$2:C187),C187))</f>
        <v/>
      </c>
      <c r="K187" s="45" t="str">
        <f>IF(G187="","",IF(COUNTIF($G$2:G187,G187)&gt;1,SUMIF($A$2:A187,G187,$D$2:D187),D187) +SUMIF($G$2:G187,G187,$M$2:M187))</f>
        <v/>
      </c>
      <c r="L187" s="45" t="str">
        <f t="shared" si="19"/>
        <v/>
      </c>
      <c r="M187" s="46" t="str">
        <f>IF(G187="","",IF(B187 = "BUY", 0,(E187-VLOOKUP(CONCATENATE(G187,(H187-1)),$I$2:L186,4,FALSE))*-C187))</f>
        <v/>
      </c>
    </row>
    <row r="188" spans="1:13" ht="15" thickBot="1" x14ac:dyDescent="0.35">
      <c r="A188" s="27" t="str">
        <f>IF('Australian MTransaction'!A188= "","",'Australian MTransaction'!A188)</f>
        <v/>
      </c>
      <c r="B188" s="28" t="str">
        <f>IF('Australian MTransaction'!B188= "","",'Australian MTransaction'!B188)</f>
        <v/>
      </c>
      <c r="C188" s="28" t="str">
        <f>IF('Australian MTransaction'!C188= "","",IF(B188="BUY",'Australian MTransaction'!C188,-'Australian MTransaction'!C188))</f>
        <v/>
      </c>
      <c r="D188" s="28" t="str">
        <f>IF('Australian MTransaction'!D188 = "","",IF($B188 = "BUY", 'Australian MTransaction'!D188,-'Australian MTransaction'!D188))</f>
        <v/>
      </c>
      <c r="E188" s="28" t="str">
        <f>IF('Australian MTransaction'!E188= "","",'Australian MTransaction'!E188)</f>
        <v/>
      </c>
      <c r="F188" s="23"/>
      <c r="G188" s="28" t="str">
        <f t="shared" si="17"/>
        <v/>
      </c>
      <c r="H188" s="28" t="str">
        <f>IF(A188="","",COUNTIF($G$2:G188,G188))</f>
        <v/>
      </c>
      <c r="I188" s="28" t="str">
        <f t="shared" si="18"/>
        <v/>
      </c>
      <c r="J188" s="28" t="str">
        <f>IF(G188="","",IF(COUNTIF($G$2:G188,G188)&gt;1,SUMIF($A$2:A188,G188,$C$2:C188),C188))</f>
        <v/>
      </c>
      <c r="K188" s="45" t="str">
        <f>IF(G188="","",IF(COUNTIF($G$2:G188,G188)&gt;1,SUMIF($A$2:A188,G188,$D$2:D188),D188) +SUMIF($G$2:G188,G188,$M$2:M188))</f>
        <v/>
      </c>
      <c r="L188" s="45" t="str">
        <f t="shared" si="19"/>
        <v/>
      </c>
      <c r="M188" s="46" t="str">
        <f>IF(G188="","",IF(B188 = "BUY", 0,(E188-VLOOKUP(CONCATENATE(G188,(H188-1)),$I$2:L187,4,FALSE))*-C188))</f>
        <v/>
      </c>
    </row>
    <row r="189" spans="1:13" ht="15" thickBot="1" x14ac:dyDescent="0.35">
      <c r="A189" s="27" t="str">
        <f>IF('Australian MTransaction'!A189= "","",'Australian MTransaction'!A189)</f>
        <v/>
      </c>
      <c r="B189" s="28" t="str">
        <f>IF('Australian MTransaction'!B189= "","",'Australian MTransaction'!B189)</f>
        <v/>
      </c>
      <c r="C189" s="28" t="str">
        <f>IF('Australian MTransaction'!C189= "","",IF(B189="BUY",'Australian MTransaction'!C189,-'Australian MTransaction'!C189))</f>
        <v/>
      </c>
      <c r="D189" s="28" t="str">
        <f>IF('Australian MTransaction'!D189 = "","",IF($B189 = "BUY", 'Australian MTransaction'!D189,-'Australian MTransaction'!D189))</f>
        <v/>
      </c>
      <c r="E189" s="28" t="str">
        <f>IF('Australian MTransaction'!E189= "","",'Australian MTransaction'!E189)</f>
        <v/>
      </c>
      <c r="F189" s="23"/>
      <c r="G189" s="28" t="str">
        <f t="shared" si="17"/>
        <v/>
      </c>
      <c r="H189" s="28" t="str">
        <f>IF(A189="","",COUNTIF($G$2:G189,G189))</f>
        <v/>
      </c>
      <c r="I189" s="28" t="str">
        <f t="shared" si="18"/>
        <v/>
      </c>
      <c r="J189" s="28" t="str">
        <f>IF(G189="","",IF(COUNTIF($G$2:G189,G189)&gt;1,SUMIF($A$2:A189,G189,$C$2:C189),C189))</f>
        <v/>
      </c>
      <c r="K189" s="45" t="str">
        <f>IF(G189="","",IF(COUNTIF($G$2:G189,G189)&gt;1,SUMIF($A$2:A189,G189,$D$2:D189),D189) +SUMIF($G$2:G189,G189,$M$2:M189))</f>
        <v/>
      </c>
      <c r="L189" s="45" t="str">
        <f t="shared" si="19"/>
        <v/>
      </c>
      <c r="M189" s="46" t="str">
        <f>IF(G189="","",IF(B189 = "BUY", 0,(E189-VLOOKUP(CONCATENATE(G189,(H189-1)),$I$2:L188,4,FALSE))*-C189))</f>
        <v/>
      </c>
    </row>
    <row r="190" spans="1:13" ht="15" thickBot="1" x14ac:dyDescent="0.35">
      <c r="A190" s="27" t="str">
        <f>IF('Australian MTransaction'!A190= "","",'Australian MTransaction'!A190)</f>
        <v/>
      </c>
      <c r="B190" s="28" t="str">
        <f>IF('Australian MTransaction'!B190= "","",'Australian MTransaction'!B190)</f>
        <v/>
      </c>
      <c r="C190" s="28" t="str">
        <f>IF('Australian MTransaction'!C190= "","",IF(B190="BUY",'Australian MTransaction'!C190,-'Australian MTransaction'!C190))</f>
        <v/>
      </c>
      <c r="D190" s="28" t="str">
        <f>IF('Australian MTransaction'!D190 = "","",IF($B190 = "BUY", 'Australian MTransaction'!D190,-'Australian MTransaction'!D190))</f>
        <v/>
      </c>
      <c r="E190" s="28" t="str">
        <f>IF('Australian MTransaction'!E190= "","",'Australian MTransaction'!E190)</f>
        <v/>
      </c>
      <c r="F190" s="23"/>
      <c r="G190" s="28" t="str">
        <f t="shared" si="17"/>
        <v/>
      </c>
      <c r="H190" s="28" t="str">
        <f>IF(A190="","",COUNTIF($G$2:G190,G190))</f>
        <v/>
      </c>
      <c r="I190" s="28" t="str">
        <f t="shared" si="18"/>
        <v/>
      </c>
      <c r="J190" s="28" t="str">
        <f>IF(G190="","",IF(COUNTIF($G$2:G190,G190)&gt;1,SUMIF($A$2:A190,G190,$C$2:C190),C190))</f>
        <v/>
      </c>
      <c r="K190" s="45" t="str">
        <f>IF(G190="","",IF(COUNTIF($G$2:G190,G190)&gt;1,SUMIF($A$2:A190,G190,$D$2:D190),D190) +SUMIF($G$2:G190,G190,$M$2:M190))</f>
        <v/>
      </c>
      <c r="L190" s="45" t="str">
        <f t="shared" si="19"/>
        <v/>
      </c>
      <c r="M190" s="46" t="str">
        <f>IF(G190="","",IF(B190 = "BUY", 0,(E190-VLOOKUP(CONCATENATE(G190,(H190-1)),$I$2:L189,4,FALSE))*-C190))</f>
        <v/>
      </c>
    </row>
    <row r="191" spans="1:13" ht="15" thickBot="1" x14ac:dyDescent="0.35">
      <c r="A191" s="27" t="str">
        <f>IF('Australian MTransaction'!A191= "","",'Australian MTransaction'!A191)</f>
        <v/>
      </c>
      <c r="B191" s="28" t="str">
        <f>IF('Australian MTransaction'!B191= "","",'Australian MTransaction'!B191)</f>
        <v/>
      </c>
      <c r="C191" s="28" t="str">
        <f>IF('Australian MTransaction'!C191= "","",IF(B191="BUY",'Australian MTransaction'!C191,-'Australian MTransaction'!C191))</f>
        <v/>
      </c>
      <c r="D191" s="28" t="str">
        <f>IF('Australian MTransaction'!D191 = "","",IF($B191 = "BUY", 'Australian MTransaction'!D191,-'Australian MTransaction'!D191))</f>
        <v/>
      </c>
      <c r="E191" s="28" t="str">
        <f>IF('Australian MTransaction'!E191= "","",'Australian MTransaction'!E191)</f>
        <v/>
      </c>
      <c r="F191" s="23"/>
      <c r="G191" s="28" t="str">
        <f t="shared" si="17"/>
        <v/>
      </c>
      <c r="H191" s="28" t="str">
        <f>IF(A191="","",COUNTIF($G$2:G191,G191))</f>
        <v/>
      </c>
      <c r="I191" s="28" t="str">
        <f t="shared" si="18"/>
        <v/>
      </c>
      <c r="J191" s="28" t="str">
        <f>IF(G191="","",IF(COUNTIF($G$2:G191,G191)&gt;1,SUMIF($A$2:A191,G191,$C$2:C191),C191))</f>
        <v/>
      </c>
      <c r="K191" s="45" t="str">
        <f>IF(G191="","",IF(COUNTIF($G$2:G191,G191)&gt;1,SUMIF($A$2:A191,G191,$D$2:D191),D191) +SUMIF($G$2:G191,G191,$M$2:M191))</f>
        <v/>
      </c>
      <c r="L191" s="45" t="str">
        <f t="shared" si="19"/>
        <v/>
      </c>
      <c r="M191" s="46" t="str">
        <f>IF(G191="","",IF(B191 = "BUY", 0,(E191-VLOOKUP(CONCATENATE(G191,(H191-1)),$I$2:L190,4,FALSE))*-C191))</f>
        <v/>
      </c>
    </row>
    <row r="192" spans="1:13" ht="15" thickBot="1" x14ac:dyDescent="0.35">
      <c r="A192" s="27" t="str">
        <f>IF('Australian MTransaction'!A192= "","",'Australian MTransaction'!A192)</f>
        <v/>
      </c>
      <c r="B192" s="28" t="str">
        <f>IF('Australian MTransaction'!B192= "","",'Australian MTransaction'!B192)</f>
        <v/>
      </c>
      <c r="C192" s="28" t="str">
        <f>IF('Australian MTransaction'!C192= "","",IF(B192="BUY",'Australian MTransaction'!C192,-'Australian MTransaction'!C192))</f>
        <v/>
      </c>
      <c r="D192" s="28" t="str">
        <f>IF('Australian MTransaction'!D192 = "","",IF($B192 = "BUY", 'Australian MTransaction'!D192,-'Australian MTransaction'!D192))</f>
        <v/>
      </c>
      <c r="E192" s="28" t="str">
        <f>IF('Australian MTransaction'!E192= "","",'Australian MTransaction'!E192)</f>
        <v/>
      </c>
      <c r="F192" s="23"/>
      <c r="G192" s="28" t="str">
        <f t="shared" si="17"/>
        <v/>
      </c>
      <c r="H192" s="28" t="str">
        <f>IF(A192="","",COUNTIF($G$2:G192,G192))</f>
        <v/>
      </c>
      <c r="I192" s="28" t="str">
        <f t="shared" si="18"/>
        <v/>
      </c>
      <c r="J192" s="28" t="str">
        <f>IF(G192="","",IF(COUNTIF($G$2:G192,G192)&gt;1,SUMIF($A$2:A192,G192,$C$2:C192),C192))</f>
        <v/>
      </c>
      <c r="K192" s="45" t="str">
        <f>IF(G192="","",IF(COUNTIF($G$2:G192,G192)&gt;1,SUMIF($A$2:A192,G192,$D$2:D192),D192) +SUMIF($G$2:G192,G192,$M$2:M192))</f>
        <v/>
      </c>
      <c r="L192" s="45" t="str">
        <f t="shared" si="19"/>
        <v/>
      </c>
      <c r="M192" s="46" t="str">
        <f>IF(G192="","",IF(B192 = "BUY", 0,(E192-VLOOKUP(CONCATENATE(G192,(H192-1)),$I$2:L191,4,FALSE))*-C192))</f>
        <v/>
      </c>
    </row>
    <row r="193" spans="1:13" ht="15" thickBot="1" x14ac:dyDescent="0.35">
      <c r="A193" s="27" t="str">
        <f>IF('Australian MTransaction'!A193= "","",'Australian MTransaction'!A193)</f>
        <v/>
      </c>
      <c r="B193" s="28" t="str">
        <f>IF('Australian MTransaction'!B193= "","",'Australian MTransaction'!B193)</f>
        <v/>
      </c>
      <c r="C193" s="28" t="str">
        <f>IF('Australian MTransaction'!C193= "","",IF(B193="BUY",'Australian MTransaction'!C193,-'Australian MTransaction'!C193))</f>
        <v/>
      </c>
      <c r="D193" s="28" t="str">
        <f>IF('Australian MTransaction'!D193 = "","",IF($B193 = "BUY", 'Australian MTransaction'!D193,-'Australian MTransaction'!D193))</f>
        <v/>
      </c>
      <c r="E193" s="28" t="str">
        <f>IF('Australian MTransaction'!E193= "","",'Australian MTransaction'!E193)</f>
        <v/>
      </c>
      <c r="F193" s="23"/>
      <c r="G193" s="28" t="str">
        <f t="shared" si="17"/>
        <v/>
      </c>
      <c r="H193" s="28" t="str">
        <f>IF(A193="","",COUNTIF($G$2:G193,G193))</f>
        <v/>
      </c>
      <c r="I193" s="28" t="str">
        <f t="shared" si="18"/>
        <v/>
      </c>
      <c r="J193" s="28" t="str">
        <f>IF(G193="","",IF(COUNTIF($G$2:G193,G193)&gt;1,SUMIF($A$2:A193,G193,$C$2:C193),C193))</f>
        <v/>
      </c>
      <c r="K193" s="45" t="str">
        <f>IF(G193="","",IF(COUNTIF($G$2:G193,G193)&gt;1,SUMIF($A$2:A193,G193,$D$2:D193),D193) +SUMIF($G$2:G193,G193,$M$2:M193))</f>
        <v/>
      </c>
      <c r="L193" s="45" t="str">
        <f t="shared" si="19"/>
        <v/>
      </c>
      <c r="M193" s="46" t="str">
        <f>IF(G193="","",IF(B193 = "BUY", 0,(E193-VLOOKUP(CONCATENATE(G193,(H193-1)),$I$2:L192,4,FALSE))*-C193))</f>
        <v/>
      </c>
    </row>
    <row r="194" spans="1:13" ht="15" thickBot="1" x14ac:dyDescent="0.35">
      <c r="A194" s="27" t="str">
        <f>IF('Australian MTransaction'!A194= "","",'Australian MTransaction'!A194)</f>
        <v/>
      </c>
      <c r="B194" s="28" t="str">
        <f>IF('Australian MTransaction'!B194= "","",'Australian MTransaction'!B194)</f>
        <v/>
      </c>
      <c r="C194" s="28" t="str">
        <f>IF('Australian MTransaction'!C194= "","",IF(B194="BUY",'Australian MTransaction'!C194,-'Australian MTransaction'!C194))</f>
        <v/>
      </c>
      <c r="D194" s="28" t="str">
        <f>IF('Australian MTransaction'!D194 = "","",IF($B194 = "BUY", 'Australian MTransaction'!D194,-'Australian MTransaction'!D194))</f>
        <v/>
      </c>
      <c r="E194" s="28" t="str">
        <f>IF('Australian MTransaction'!E194= "","",'Australian MTransaction'!E194)</f>
        <v/>
      </c>
      <c r="F194" s="23"/>
      <c r="G194" s="28" t="str">
        <f t="shared" si="17"/>
        <v/>
      </c>
      <c r="H194" s="28" t="str">
        <f>IF(A194="","",COUNTIF($G$2:G194,G194))</f>
        <v/>
      </c>
      <c r="I194" s="28" t="str">
        <f t="shared" si="18"/>
        <v/>
      </c>
      <c r="J194" s="28" t="str">
        <f>IF(G194="","",IF(COUNTIF($G$2:G194,G194)&gt;1,SUMIF($A$2:A194,G194,$C$2:C194),C194))</f>
        <v/>
      </c>
      <c r="K194" s="45" t="str">
        <f>IF(G194="","",IF(COUNTIF($G$2:G194,G194)&gt;1,SUMIF($A$2:A194,G194,$D$2:D194),D194) +SUMIF($G$2:G194,G194,$M$2:M194))</f>
        <v/>
      </c>
      <c r="L194" s="45" t="str">
        <f t="shared" si="19"/>
        <v/>
      </c>
      <c r="M194" s="46" t="str">
        <f>IF(G194="","",IF(B194 = "BUY", 0,(E194-VLOOKUP(CONCATENATE(G194,(H194-1)),$I$2:L193,4,FALSE))*-C194))</f>
        <v/>
      </c>
    </row>
    <row r="195" spans="1:13" ht="15" thickBot="1" x14ac:dyDescent="0.35">
      <c r="A195" s="27" t="str">
        <f>IF('Australian MTransaction'!A195= "","",'Australian MTransaction'!A195)</f>
        <v/>
      </c>
      <c r="B195" s="28" t="str">
        <f>IF('Australian MTransaction'!B195= "","",'Australian MTransaction'!B195)</f>
        <v/>
      </c>
      <c r="C195" s="28" t="str">
        <f>IF('Australian MTransaction'!C195= "","",IF(B195="BUY",'Australian MTransaction'!C195,-'Australian MTransaction'!C195))</f>
        <v/>
      </c>
      <c r="D195" s="28" t="str">
        <f>IF('Australian MTransaction'!D195 = "","",IF($B195 = "BUY", 'Australian MTransaction'!D195,-'Australian MTransaction'!D195))</f>
        <v/>
      </c>
      <c r="E195" s="28" t="str">
        <f>IF('Australian MTransaction'!E195= "","",'Australian MTransaction'!E195)</f>
        <v/>
      </c>
      <c r="F195" s="23"/>
      <c r="G195" s="28" t="str">
        <f t="shared" ref="G195:G258" si="20">A195</f>
        <v/>
      </c>
      <c r="H195" s="28" t="str">
        <f>IF(A195="","",COUNTIF($G$2:G195,G195))</f>
        <v/>
      </c>
      <c r="I195" s="28" t="str">
        <f t="shared" ref="I195:I258" si="21">_xlfn.CONCAT(G195,H195)</f>
        <v/>
      </c>
      <c r="J195" s="28" t="str">
        <f>IF(G195="","",IF(COUNTIF($G$2:G195,G195)&gt;1,SUMIF($A$2:A195,G195,$C$2:C195),C195))</f>
        <v/>
      </c>
      <c r="K195" s="45" t="str">
        <f>IF(G195="","",IF(COUNTIF($G$2:G195,G195)&gt;1,SUMIF($A$2:A195,G195,$D$2:D195),D195) +SUMIF($G$2:G195,G195,$M$2:M195))</f>
        <v/>
      </c>
      <c r="L195" s="45" t="str">
        <f t="shared" ref="L195:L258" si="22">IF(G195="","",IFERROR(K195/J195,0))</f>
        <v/>
      </c>
      <c r="M195" s="46" t="str">
        <f>IF(G195="","",IF(B195 = "BUY", 0,(E195-VLOOKUP(CONCATENATE(G195,(H195-1)),$I$2:L194,4,FALSE))*-C195))</f>
        <v/>
      </c>
    </row>
    <row r="196" spans="1:13" ht="15" thickBot="1" x14ac:dyDescent="0.35">
      <c r="A196" s="27" t="str">
        <f>IF('Australian MTransaction'!A196= "","",'Australian MTransaction'!A196)</f>
        <v/>
      </c>
      <c r="B196" s="28" t="str">
        <f>IF('Australian MTransaction'!B196= "","",'Australian MTransaction'!B196)</f>
        <v/>
      </c>
      <c r="C196" s="28" t="str">
        <f>IF('Australian MTransaction'!C196= "","",IF(B196="BUY",'Australian MTransaction'!C196,-'Australian MTransaction'!C196))</f>
        <v/>
      </c>
      <c r="D196" s="28" t="str">
        <f>IF('Australian MTransaction'!D196 = "","",IF($B196 = "BUY", 'Australian MTransaction'!D196,-'Australian MTransaction'!D196))</f>
        <v/>
      </c>
      <c r="E196" s="28" t="str">
        <f>IF('Australian MTransaction'!E196= "","",'Australian MTransaction'!E196)</f>
        <v/>
      </c>
      <c r="F196" s="23"/>
      <c r="G196" s="28" t="str">
        <f t="shared" si="20"/>
        <v/>
      </c>
      <c r="H196" s="28" t="str">
        <f>IF(A196="","",COUNTIF($G$2:G196,G196))</f>
        <v/>
      </c>
      <c r="I196" s="28" t="str">
        <f t="shared" si="21"/>
        <v/>
      </c>
      <c r="J196" s="28" t="str">
        <f>IF(G196="","",IF(COUNTIF($G$2:G196,G196)&gt;1,SUMIF($A$2:A196,G196,$C$2:C196),C196))</f>
        <v/>
      </c>
      <c r="K196" s="45" t="str">
        <f>IF(G196="","",IF(COUNTIF($G$2:G196,G196)&gt;1,SUMIF($A$2:A196,G196,$D$2:D196),D196) +SUMIF($G$2:G196,G196,$M$2:M196))</f>
        <v/>
      </c>
      <c r="L196" s="45" t="str">
        <f t="shared" si="22"/>
        <v/>
      </c>
      <c r="M196" s="46" t="str">
        <f>IF(G196="","",IF(B196 = "BUY", 0,(E196-VLOOKUP(CONCATENATE(G196,(H196-1)),$I$2:L195,4,FALSE))*-C196))</f>
        <v/>
      </c>
    </row>
    <row r="197" spans="1:13" ht="15" thickBot="1" x14ac:dyDescent="0.35">
      <c r="A197" s="27" t="str">
        <f>IF('Australian MTransaction'!A197= "","",'Australian MTransaction'!A197)</f>
        <v/>
      </c>
      <c r="B197" s="28" t="str">
        <f>IF('Australian MTransaction'!B197= "","",'Australian MTransaction'!B197)</f>
        <v/>
      </c>
      <c r="C197" s="28" t="str">
        <f>IF('Australian MTransaction'!C197= "","",IF(B197="BUY",'Australian MTransaction'!C197,-'Australian MTransaction'!C197))</f>
        <v/>
      </c>
      <c r="D197" s="28" t="str">
        <f>IF('Australian MTransaction'!D197 = "","",IF($B197 = "BUY", 'Australian MTransaction'!D197,-'Australian MTransaction'!D197))</f>
        <v/>
      </c>
      <c r="E197" s="28" t="str">
        <f>IF('Australian MTransaction'!E197= "","",'Australian MTransaction'!E197)</f>
        <v/>
      </c>
      <c r="F197" s="23"/>
      <c r="G197" s="28" t="str">
        <f t="shared" si="20"/>
        <v/>
      </c>
      <c r="H197" s="28" t="str">
        <f>IF(A197="","",COUNTIF($G$2:G197,G197))</f>
        <v/>
      </c>
      <c r="I197" s="28" t="str">
        <f t="shared" si="21"/>
        <v/>
      </c>
      <c r="J197" s="28" t="str">
        <f>IF(G197="","",IF(COUNTIF($G$2:G197,G197)&gt;1,SUMIF($A$2:A197,G197,$C$2:C197),C197))</f>
        <v/>
      </c>
      <c r="K197" s="45" t="str">
        <f>IF(G197="","",IF(COUNTIF($G$2:G197,G197)&gt;1,SUMIF($A$2:A197,G197,$D$2:D197),D197) +SUMIF($G$2:G197,G197,$M$2:M197))</f>
        <v/>
      </c>
      <c r="L197" s="45" t="str">
        <f t="shared" si="22"/>
        <v/>
      </c>
      <c r="M197" s="46" t="str">
        <f>IF(G197="","",IF(B197 = "BUY", 0,(E197-VLOOKUP(CONCATENATE(G197,(H197-1)),$I$2:L196,4,FALSE))*-C197))</f>
        <v/>
      </c>
    </row>
    <row r="198" spans="1:13" ht="15" thickBot="1" x14ac:dyDescent="0.35">
      <c r="A198" s="27" t="str">
        <f>IF('Australian MTransaction'!A198= "","",'Australian MTransaction'!A198)</f>
        <v/>
      </c>
      <c r="B198" s="28" t="str">
        <f>IF('Australian MTransaction'!B198= "","",'Australian MTransaction'!B198)</f>
        <v/>
      </c>
      <c r="C198" s="28" t="str">
        <f>IF('Australian MTransaction'!C198= "","",IF(B198="BUY",'Australian MTransaction'!C198,-'Australian MTransaction'!C198))</f>
        <v/>
      </c>
      <c r="D198" s="28" t="str">
        <f>IF('Australian MTransaction'!D198 = "","",IF($B198 = "BUY", 'Australian MTransaction'!D198,-'Australian MTransaction'!D198))</f>
        <v/>
      </c>
      <c r="E198" s="28" t="str">
        <f>IF('Australian MTransaction'!E198= "","",'Australian MTransaction'!E198)</f>
        <v/>
      </c>
      <c r="F198" s="23"/>
      <c r="G198" s="28" t="str">
        <f t="shared" si="20"/>
        <v/>
      </c>
      <c r="H198" s="28" t="str">
        <f>IF(A198="","",COUNTIF($G$2:G198,G198))</f>
        <v/>
      </c>
      <c r="I198" s="28" t="str">
        <f t="shared" si="21"/>
        <v/>
      </c>
      <c r="J198" s="28" t="str">
        <f>IF(G198="","",IF(COUNTIF($G$2:G198,G198)&gt;1,SUMIF($A$2:A198,G198,$C$2:C198),C198))</f>
        <v/>
      </c>
      <c r="K198" s="45" t="str">
        <f>IF(G198="","",IF(COUNTIF($G$2:G198,G198)&gt;1,SUMIF($A$2:A198,G198,$D$2:D198),D198) +SUMIF($G$2:G198,G198,$M$2:M198))</f>
        <v/>
      </c>
      <c r="L198" s="45" t="str">
        <f t="shared" si="22"/>
        <v/>
      </c>
      <c r="M198" s="46" t="str">
        <f>IF(G198="","",IF(B198 = "BUY", 0,(E198-VLOOKUP(CONCATENATE(G198,(H198-1)),$I$2:L197,4,FALSE))*-C198))</f>
        <v/>
      </c>
    </row>
    <row r="199" spans="1:13" ht="15" thickBot="1" x14ac:dyDescent="0.35">
      <c r="A199" s="27" t="str">
        <f>IF('Australian MTransaction'!A199= "","",'Australian MTransaction'!A199)</f>
        <v/>
      </c>
      <c r="B199" s="28" t="str">
        <f>IF('Australian MTransaction'!B199= "","",'Australian MTransaction'!B199)</f>
        <v/>
      </c>
      <c r="C199" s="28" t="str">
        <f>IF('Australian MTransaction'!C199= "","",IF(B199="BUY",'Australian MTransaction'!C199,-'Australian MTransaction'!C199))</f>
        <v/>
      </c>
      <c r="D199" s="28" t="str">
        <f>IF('Australian MTransaction'!D199 = "","",IF($B199 = "BUY", 'Australian MTransaction'!D199,-'Australian MTransaction'!D199))</f>
        <v/>
      </c>
      <c r="E199" s="28" t="str">
        <f>IF('Australian MTransaction'!E199= "","",'Australian MTransaction'!E199)</f>
        <v/>
      </c>
      <c r="F199" s="23"/>
      <c r="G199" s="28" t="str">
        <f t="shared" si="20"/>
        <v/>
      </c>
      <c r="H199" s="28" t="str">
        <f>IF(A199="","",COUNTIF($G$2:G199,G199))</f>
        <v/>
      </c>
      <c r="I199" s="28" t="str">
        <f t="shared" si="21"/>
        <v/>
      </c>
      <c r="J199" s="28" t="str">
        <f>IF(G199="","",IF(COUNTIF($G$2:G199,G199)&gt;1,SUMIF($A$2:A199,G199,$C$2:C199),C199))</f>
        <v/>
      </c>
      <c r="K199" s="45" t="str">
        <f>IF(G199="","",IF(COUNTIF($G$2:G199,G199)&gt;1,SUMIF($A$2:A199,G199,$D$2:D199),D199) +SUMIF($G$2:G199,G199,$M$2:M199))</f>
        <v/>
      </c>
      <c r="L199" s="45" t="str">
        <f t="shared" si="22"/>
        <v/>
      </c>
      <c r="M199" s="46" t="str">
        <f>IF(G199="","",IF(B199 = "BUY", 0,(E199-VLOOKUP(CONCATENATE(G199,(H199-1)),$I$2:L198,4,FALSE))*-C199))</f>
        <v/>
      </c>
    </row>
    <row r="200" spans="1:13" ht="15" thickBot="1" x14ac:dyDescent="0.35">
      <c r="A200" s="27" t="str">
        <f>IF('Australian MTransaction'!A200= "","",'Australian MTransaction'!A200)</f>
        <v/>
      </c>
      <c r="B200" s="28" t="str">
        <f>IF('Australian MTransaction'!B200= "","",'Australian MTransaction'!B200)</f>
        <v/>
      </c>
      <c r="C200" s="28" t="str">
        <f>IF('Australian MTransaction'!C200= "","",IF(B200="BUY",'Australian MTransaction'!C200,-'Australian MTransaction'!C200))</f>
        <v/>
      </c>
      <c r="D200" s="28" t="str">
        <f>IF('Australian MTransaction'!D200 = "","",IF($B200 = "BUY", 'Australian MTransaction'!D200,-'Australian MTransaction'!D200))</f>
        <v/>
      </c>
      <c r="E200" s="28" t="str">
        <f>IF('Australian MTransaction'!E200= "","",'Australian MTransaction'!E200)</f>
        <v/>
      </c>
      <c r="F200" s="23"/>
      <c r="G200" s="28" t="str">
        <f t="shared" si="20"/>
        <v/>
      </c>
      <c r="H200" s="28" t="str">
        <f>IF(A200="","",COUNTIF($G$2:G200,G200))</f>
        <v/>
      </c>
      <c r="I200" s="28" t="str">
        <f t="shared" si="21"/>
        <v/>
      </c>
      <c r="J200" s="28" t="str">
        <f>IF(G200="","",IF(COUNTIF($G$2:G200,G200)&gt;1,SUMIF($A$2:A200,G200,$C$2:C200),C200))</f>
        <v/>
      </c>
      <c r="K200" s="45" t="str">
        <f>IF(G200="","",IF(COUNTIF($G$2:G200,G200)&gt;1,SUMIF($A$2:A200,G200,$D$2:D200),D200) +SUMIF($G$2:G200,G200,$M$2:M200))</f>
        <v/>
      </c>
      <c r="L200" s="45" t="str">
        <f t="shared" si="22"/>
        <v/>
      </c>
      <c r="M200" s="46" t="str">
        <f>IF(G200="","",IF(B200 = "BUY", 0,(E200-VLOOKUP(CONCATENATE(G200,(H200-1)),$I$2:L199,4,FALSE))*-C200))</f>
        <v/>
      </c>
    </row>
    <row r="201" spans="1:13" ht="15" thickBot="1" x14ac:dyDescent="0.35">
      <c r="A201" s="27" t="str">
        <f>IF('Australian MTransaction'!A201= "","",'Australian MTransaction'!A201)</f>
        <v/>
      </c>
      <c r="B201" s="28" t="str">
        <f>IF('Australian MTransaction'!B201= "","",'Australian MTransaction'!B201)</f>
        <v/>
      </c>
      <c r="C201" s="28" t="str">
        <f>IF('Australian MTransaction'!C201= "","",IF(B201="BUY",'Australian MTransaction'!C201,-'Australian MTransaction'!C201))</f>
        <v/>
      </c>
      <c r="D201" s="28" t="str">
        <f>IF('Australian MTransaction'!D201 = "","",IF($B201 = "BUY", 'Australian MTransaction'!D201,-'Australian MTransaction'!D201))</f>
        <v/>
      </c>
      <c r="E201" s="28" t="str">
        <f>IF('Australian MTransaction'!E201= "","",'Australian MTransaction'!E201)</f>
        <v/>
      </c>
      <c r="F201" s="23"/>
      <c r="G201" s="28" t="str">
        <f t="shared" si="20"/>
        <v/>
      </c>
      <c r="H201" s="28" t="str">
        <f>IF(A201="","",COUNTIF($G$2:G201,G201))</f>
        <v/>
      </c>
      <c r="I201" s="28" t="str">
        <f t="shared" si="21"/>
        <v/>
      </c>
      <c r="J201" s="28" t="str">
        <f>IF(G201="","",IF(COUNTIF($G$2:G201,G201)&gt;1,SUMIF($A$2:A201,G201,$C$2:C201),C201))</f>
        <v/>
      </c>
      <c r="K201" s="45" t="str">
        <f>IF(G201="","",IF(COUNTIF($G$2:G201,G201)&gt;1,SUMIF($A$2:A201,G201,$D$2:D201),D201) +SUMIF($G$2:G201,G201,$M$2:M201))</f>
        <v/>
      </c>
      <c r="L201" s="45" t="str">
        <f t="shared" si="22"/>
        <v/>
      </c>
      <c r="M201" s="46" t="str">
        <f>IF(G201="","",IF(B201 = "BUY", 0,(E201-VLOOKUP(CONCATENATE(G201,(H201-1)),$I$2:L200,4,FALSE))*-C201))</f>
        <v/>
      </c>
    </row>
    <row r="202" spans="1:13" ht="15" thickBot="1" x14ac:dyDescent="0.35">
      <c r="A202" s="27" t="str">
        <f>IF('Australian MTransaction'!A202= "","",'Australian MTransaction'!A202)</f>
        <v/>
      </c>
      <c r="B202" s="28" t="str">
        <f>IF('Australian MTransaction'!B202= "","",'Australian MTransaction'!B202)</f>
        <v/>
      </c>
      <c r="C202" s="28" t="str">
        <f>IF('Australian MTransaction'!C202= "","",IF(B202="BUY",'Australian MTransaction'!C202,-'Australian MTransaction'!C202))</f>
        <v/>
      </c>
      <c r="D202" s="28" t="str">
        <f>IF('Australian MTransaction'!D202 = "","",IF($B202 = "BUY", 'Australian MTransaction'!D202,-'Australian MTransaction'!D202))</f>
        <v/>
      </c>
      <c r="E202" s="28" t="str">
        <f>IF('Australian MTransaction'!E202= "","",'Australian MTransaction'!E202)</f>
        <v/>
      </c>
      <c r="F202" s="23"/>
      <c r="G202" s="28" t="str">
        <f t="shared" si="20"/>
        <v/>
      </c>
      <c r="H202" s="28" t="str">
        <f>IF(A202="","",COUNTIF($G$2:G202,G202))</f>
        <v/>
      </c>
      <c r="I202" s="28" t="str">
        <f t="shared" si="21"/>
        <v/>
      </c>
      <c r="J202" s="28" t="str">
        <f>IF(G202="","",IF(COUNTIF($G$2:G202,G202)&gt;1,SUMIF($A$2:A202,G202,$C$2:C202),C202))</f>
        <v/>
      </c>
      <c r="K202" s="45" t="str">
        <f>IF(G202="","",IF(COUNTIF($G$2:G202,G202)&gt;1,SUMIF($A$2:A202,G202,$D$2:D202),D202) +SUMIF($G$2:G202,G202,$M$2:M202))</f>
        <v/>
      </c>
      <c r="L202" s="45" t="str">
        <f t="shared" si="22"/>
        <v/>
      </c>
      <c r="M202" s="46" t="str">
        <f>IF(G202="","",IF(B202 = "BUY", 0,(E202-VLOOKUP(CONCATENATE(G202,(H202-1)),$I$2:L201,4,FALSE))*-C202))</f>
        <v/>
      </c>
    </row>
    <row r="203" spans="1:13" ht="15" thickBot="1" x14ac:dyDescent="0.35">
      <c r="A203" s="27" t="str">
        <f>IF('Australian MTransaction'!A203= "","",'Australian MTransaction'!A203)</f>
        <v/>
      </c>
      <c r="B203" s="28" t="str">
        <f>IF('Australian MTransaction'!B203= "","",'Australian MTransaction'!B203)</f>
        <v/>
      </c>
      <c r="C203" s="28" t="str">
        <f>IF('Australian MTransaction'!C203= "","",IF(B203="BUY",'Australian MTransaction'!C203,-'Australian MTransaction'!C203))</f>
        <v/>
      </c>
      <c r="D203" s="28" t="str">
        <f>IF('Australian MTransaction'!D203 = "","",IF($B203 = "BUY", 'Australian MTransaction'!D203,-'Australian MTransaction'!D203))</f>
        <v/>
      </c>
      <c r="E203" s="28" t="str">
        <f>IF('Australian MTransaction'!E203= "","",'Australian MTransaction'!E203)</f>
        <v/>
      </c>
      <c r="F203" s="23"/>
      <c r="G203" s="28" t="str">
        <f t="shared" si="20"/>
        <v/>
      </c>
      <c r="H203" s="28" t="str">
        <f>IF(A203="","",COUNTIF($G$2:G203,G203))</f>
        <v/>
      </c>
      <c r="I203" s="28" t="str">
        <f t="shared" si="21"/>
        <v/>
      </c>
      <c r="J203" s="28" t="str">
        <f>IF(G203="","",IF(COUNTIF($G$2:G203,G203)&gt;1,SUMIF($A$2:A203,G203,$C$2:C203),C203))</f>
        <v/>
      </c>
      <c r="K203" s="45" t="str">
        <f>IF(G203="","",IF(COUNTIF($G$2:G203,G203)&gt;1,SUMIF($A$2:A203,G203,$D$2:D203),D203) +SUMIF($G$2:G203,G203,$M$2:M203))</f>
        <v/>
      </c>
      <c r="L203" s="45" t="str">
        <f t="shared" si="22"/>
        <v/>
      </c>
      <c r="M203" s="46" t="str">
        <f>IF(G203="","",IF(B203 = "BUY", 0,(E203-VLOOKUP(CONCATENATE(G203,(H203-1)),$I$2:L202,4,FALSE))*-C203))</f>
        <v/>
      </c>
    </row>
    <row r="204" spans="1:13" ht="15" thickBot="1" x14ac:dyDescent="0.35">
      <c r="A204" s="27" t="str">
        <f>IF('Australian MTransaction'!A204= "","",'Australian MTransaction'!A204)</f>
        <v/>
      </c>
      <c r="B204" s="28" t="str">
        <f>IF('Australian MTransaction'!B204= "","",'Australian MTransaction'!B204)</f>
        <v/>
      </c>
      <c r="C204" s="28" t="str">
        <f>IF('Australian MTransaction'!C204= "","",IF(B204="BUY",'Australian MTransaction'!C204,-'Australian MTransaction'!C204))</f>
        <v/>
      </c>
      <c r="D204" s="28" t="str">
        <f>IF('Australian MTransaction'!D204 = "","",IF($B204 = "BUY", 'Australian MTransaction'!D204,-'Australian MTransaction'!D204))</f>
        <v/>
      </c>
      <c r="E204" s="28" t="str">
        <f>IF('Australian MTransaction'!E204= "","",'Australian MTransaction'!E204)</f>
        <v/>
      </c>
      <c r="F204" s="23"/>
      <c r="G204" s="28" t="str">
        <f t="shared" si="20"/>
        <v/>
      </c>
      <c r="H204" s="28" t="str">
        <f>IF(A204="","",COUNTIF($G$2:G204,G204))</f>
        <v/>
      </c>
      <c r="I204" s="28" t="str">
        <f t="shared" si="21"/>
        <v/>
      </c>
      <c r="J204" s="28" t="str">
        <f>IF(G204="","",IF(COUNTIF($G$2:G204,G204)&gt;1,SUMIF($A$2:A204,G204,$C$2:C204),C204))</f>
        <v/>
      </c>
      <c r="K204" s="45" t="str">
        <f>IF(G204="","",IF(COUNTIF($G$2:G204,G204)&gt;1,SUMIF($A$2:A204,G204,$D$2:D204),D204) +SUMIF($G$2:G204,G204,$M$2:M204))</f>
        <v/>
      </c>
      <c r="L204" s="45" t="str">
        <f t="shared" si="22"/>
        <v/>
      </c>
      <c r="M204" s="46" t="str">
        <f>IF(G204="","",IF(B204 = "BUY", 0,(E204-VLOOKUP(CONCATENATE(G204,(H204-1)),$I$2:L203,4,FALSE))*-C204))</f>
        <v/>
      </c>
    </row>
    <row r="205" spans="1:13" ht="15" thickBot="1" x14ac:dyDescent="0.35">
      <c r="A205" s="27" t="str">
        <f>IF('Australian MTransaction'!A205= "","",'Australian MTransaction'!A205)</f>
        <v/>
      </c>
      <c r="B205" s="28" t="str">
        <f>IF('Australian MTransaction'!B205= "","",'Australian MTransaction'!B205)</f>
        <v/>
      </c>
      <c r="C205" s="28" t="str">
        <f>IF('Australian MTransaction'!C205= "","",IF(B205="BUY",'Australian MTransaction'!C205,-'Australian MTransaction'!C205))</f>
        <v/>
      </c>
      <c r="D205" s="28" t="str">
        <f>IF('Australian MTransaction'!D205 = "","",IF($B205 = "BUY", 'Australian MTransaction'!D205,-'Australian MTransaction'!D205))</f>
        <v/>
      </c>
      <c r="E205" s="28" t="str">
        <f>IF('Australian MTransaction'!E205= "","",'Australian MTransaction'!E205)</f>
        <v/>
      </c>
      <c r="F205" s="23"/>
      <c r="G205" s="28" t="str">
        <f t="shared" si="20"/>
        <v/>
      </c>
      <c r="H205" s="28" t="str">
        <f>IF(A205="","",COUNTIF($G$2:G205,G205))</f>
        <v/>
      </c>
      <c r="I205" s="28" t="str">
        <f t="shared" si="21"/>
        <v/>
      </c>
      <c r="J205" s="28" t="str">
        <f>IF(G205="","",IF(COUNTIF($G$2:G205,G205)&gt;1,SUMIF($A$2:A205,G205,$C$2:C205),C205))</f>
        <v/>
      </c>
      <c r="K205" s="45" t="str">
        <f>IF(G205="","",IF(COUNTIF($G$2:G205,G205)&gt;1,SUMIF($A$2:A205,G205,$D$2:D205),D205) +SUMIF($G$2:G205,G205,$M$2:M205))</f>
        <v/>
      </c>
      <c r="L205" s="45" t="str">
        <f t="shared" si="22"/>
        <v/>
      </c>
      <c r="M205" s="46" t="str">
        <f>IF(G205="","",IF(B205 = "BUY", 0,(E205-VLOOKUP(CONCATENATE(G205,(H205-1)),$I$2:L204,4,FALSE))*-C205))</f>
        <v/>
      </c>
    </row>
    <row r="206" spans="1:13" ht="15" thickBot="1" x14ac:dyDescent="0.35">
      <c r="A206" s="27" t="str">
        <f>IF('Australian MTransaction'!A206= "","",'Australian MTransaction'!A206)</f>
        <v/>
      </c>
      <c r="B206" s="28" t="str">
        <f>IF('Australian MTransaction'!B206= "","",'Australian MTransaction'!B206)</f>
        <v/>
      </c>
      <c r="C206" s="28" t="str">
        <f>IF('Australian MTransaction'!C206= "","",IF(B206="BUY",'Australian MTransaction'!C206,-'Australian MTransaction'!C206))</f>
        <v/>
      </c>
      <c r="D206" s="28" t="str">
        <f>IF('Australian MTransaction'!D206 = "","",IF($B206 = "BUY", 'Australian MTransaction'!D206,-'Australian MTransaction'!D206))</f>
        <v/>
      </c>
      <c r="E206" s="28" t="str">
        <f>IF('Australian MTransaction'!E206= "","",'Australian MTransaction'!E206)</f>
        <v/>
      </c>
      <c r="F206" s="23"/>
      <c r="G206" s="28" t="str">
        <f t="shared" si="20"/>
        <v/>
      </c>
      <c r="H206" s="28" t="str">
        <f>IF(A206="","",COUNTIF($G$2:G206,G206))</f>
        <v/>
      </c>
      <c r="I206" s="28" t="str">
        <f t="shared" si="21"/>
        <v/>
      </c>
      <c r="J206" s="28" t="str">
        <f>IF(G206="","",IF(COUNTIF($G$2:G206,G206)&gt;1,SUMIF($A$2:A206,G206,$C$2:C206),C206))</f>
        <v/>
      </c>
      <c r="K206" s="45" t="str">
        <f>IF(G206="","",IF(COUNTIF($G$2:G206,G206)&gt;1,SUMIF($A$2:A206,G206,$D$2:D206),D206) +SUMIF($G$2:G206,G206,$M$2:M206))</f>
        <v/>
      </c>
      <c r="L206" s="45" t="str">
        <f t="shared" si="22"/>
        <v/>
      </c>
      <c r="M206" s="46" t="str">
        <f>IF(G206="","",IF(B206 = "BUY", 0,(E206-VLOOKUP(CONCATENATE(G206,(H206-1)),$I$2:L205,4,FALSE))*-C206))</f>
        <v/>
      </c>
    </row>
    <row r="207" spans="1:13" ht="15" thickBot="1" x14ac:dyDescent="0.35">
      <c r="A207" s="27" t="str">
        <f>IF('Australian MTransaction'!A207= "","",'Australian MTransaction'!A207)</f>
        <v/>
      </c>
      <c r="B207" s="28" t="str">
        <f>IF('Australian MTransaction'!B207= "","",'Australian MTransaction'!B207)</f>
        <v/>
      </c>
      <c r="C207" s="28" t="str">
        <f>IF('Australian MTransaction'!C207= "","",IF(B207="BUY",'Australian MTransaction'!C207,-'Australian MTransaction'!C207))</f>
        <v/>
      </c>
      <c r="D207" s="28" t="str">
        <f>IF('Australian MTransaction'!D207 = "","",IF($B207 = "BUY", 'Australian MTransaction'!D207,-'Australian MTransaction'!D207))</f>
        <v/>
      </c>
      <c r="E207" s="28" t="str">
        <f>IF('Australian MTransaction'!E207= "","",'Australian MTransaction'!E207)</f>
        <v/>
      </c>
      <c r="F207" s="23"/>
      <c r="G207" s="28" t="str">
        <f t="shared" si="20"/>
        <v/>
      </c>
      <c r="H207" s="28" t="str">
        <f>IF(A207="","",COUNTIF($G$2:G207,G207))</f>
        <v/>
      </c>
      <c r="I207" s="28" t="str">
        <f t="shared" si="21"/>
        <v/>
      </c>
      <c r="J207" s="28" t="str">
        <f>IF(G207="","",IF(COUNTIF($G$2:G207,G207)&gt;1,SUMIF($A$2:A207,G207,$C$2:C207),C207))</f>
        <v/>
      </c>
      <c r="K207" s="45" t="str">
        <f>IF(G207="","",IF(COUNTIF($G$2:G207,G207)&gt;1,SUMIF($A$2:A207,G207,$D$2:D207),D207) +SUMIF($G$2:G207,G207,$M$2:M207))</f>
        <v/>
      </c>
      <c r="L207" s="45" t="str">
        <f t="shared" si="22"/>
        <v/>
      </c>
      <c r="M207" s="46" t="str">
        <f>IF(G207="","",IF(B207 = "BUY", 0,(E207-VLOOKUP(CONCATENATE(G207,(H207-1)),$I$2:L206,4,FALSE))*-C207))</f>
        <v/>
      </c>
    </row>
    <row r="208" spans="1:13" ht="15" thickBot="1" x14ac:dyDescent="0.35">
      <c r="A208" s="27" t="str">
        <f>IF('Australian MTransaction'!A208= "","",'Australian MTransaction'!A208)</f>
        <v/>
      </c>
      <c r="B208" s="28" t="str">
        <f>IF('Australian MTransaction'!B208= "","",'Australian MTransaction'!B208)</f>
        <v/>
      </c>
      <c r="C208" s="28" t="str">
        <f>IF('Australian MTransaction'!C208= "","",IF(B208="BUY",'Australian MTransaction'!C208,-'Australian MTransaction'!C208))</f>
        <v/>
      </c>
      <c r="D208" s="28" t="str">
        <f>IF('Australian MTransaction'!D208 = "","",IF($B208 = "BUY", 'Australian MTransaction'!D208,-'Australian MTransaction'!D208))</f>
        <v/>
      </c>
      <c r="E208" s="28" t="str">
        <f>IF('Australian MTransaction'!E208= "","",'Australian MTransaction'!E208)</f>
        <v/>
      </c>
      <c r="F208" s="23"/>
      <c r="G208" s="28" t="str">
        <f t="shared" si="20"/>
        <v/>
      </c>
      <c r="H208" s="28" t="str">
        <f>IF(A208="","",COUNTIF($G$2:G208,G208))</f>
        <v/>
      </c>
      <c r="I208" s="28" t="str">
        <f t="shared" si="21"/>
        <v/>
      </c>
      <c r="J208" s="28" t="str">
        <f>IF(G208="","",IF(COUNTIF($G$2:G208,G208)&gt;1,SUMIF($A$2:A208,G208,$C$2:C208),C208))</f>
        <v/>
      </c>
      <c r="K208" s="45" t="str">
        <f>IF(G208="","",IF(COUNTIF($G$2:G208,G208)&gt;1,SUMIF($A$2:A208,G208,$D$2:D208),D208) +SUMIF($G$2:G208,G208,$M$2:M208))</f>
        <v/>
      </c>
      <c r="L208" s="45" t="str">
        <f t="shared" si="22"/>
        <v/>
      </c>
      <c r="M208" s="46" t="str">
        <f>IF(G208="","",IF(B208 = "BUY", 0,(E208-VLOOKUP(CONCATENATE(G208,(H208-1)),$I$2:L207,4,FALSE))*-C208))</f>
        <v/>
      </c>
    </row>
    <row r="209" spans="1:13" ht="15" thickBot="1" x14ac:dyDescent="0.35">
      <c r="A209" s="27" t="str">
        <f>IF('Australian MTransaction'!A209= "","",'Australian MTransaction'!A209)</f>
        <v/>
      </c>
      <c r="B209" s="28" t="str">
        <f>IF('Australian MTransaction'!B209= "","",'Australian MTransaction'!B209)</f>
        <v/>
      </c>
      <c r="C209" s="28" t="str">
        <f>IF('Australian MTransaction'!C209= "","",IF(B209="BUY",'Australian MTransaction'!C209,-'Australian MTransaction'!C209))</f>
        <v/>
      </c>
      <c r="D209" s="28" t="str">
        <f>IF('Australian MTransaction'!D209 = "","",IF($B209 = "BUY", 'Australian MTransaction'!D209,-'Australian MTransaction'!D209))</f>
        <v/>
      </c>
      <c r="E209" s="28" t="str">
        <f>IF('Australian MTransaction'!E209= "","",'Australian MTransaction'!E209)</f>
        <v/>
      </c>
      <c r="F209" s="23"/>
      <c r="G209" s="28" t="str">
        <f t="shared" si="20"/>
        <v/>
      </c>
      <c r="H209" s="28" t="str">
        <f>IF(A209="","",COUNTIF($G$2:G209,G209))</f>
        <v/>
      </c>
      <c r="I209" s="28" t="str">
        <f t="shared" si="21"/>
        <v/>
      </c>
      <c r="J209" s="28" t="str">
        <f>IF(G209="","",IF(COUNTIF($G$2:G209,G209)&gt;1,SUMIF($A$2:A209,G209,$C$2:C209),C209))</f>
        <v/>
      </c>
      <c r="K209" s="45" t="str">
        <f>IF(G209="","",IF(COUNTIF($G$2:G209,G209)&gt;1,SUMIF($A$2:A209,G209,$D$2:D209),D209) +SUMIF($G$2:G209,G209,$M$2:M209))</f>
        <v/>
      </c>
      <c r="L209" s="45" t="str">
        <f t="shared" si="22"/>
        <v/>
      </c>
      <c r="M209" s="46" t="str">
        <f>IF(G209="","",IF(B209 = "BUY", 0,(E209-VLOOKUP(CONCATENATE(G209,(H209-1)),$I$2:L208,4,FALSE))*-C209))</f>
        <v/>
      </c>
    </row>
    <row r="210" spans="1:13" ht="15" thickBot="1" x14ac:dyDescent="0.35">
      <c r="A210" s="27" t="str">
        <f>IF('Australian MTransaction'!A210= "","",'Australian MTransaction'!A210)</f>
        <v/>
      </c>
      <c r="B210" s="28" t="str">
        <f>IF('Australian MTransaction'!B210= "","",'Australian MTransaction'!B210)</f>
        <v/>
      </c>
      <c r="C210" s="28" t="str">
        <f>IF('Australian MTransaction'!C210= "","",IF(B210="BUY",'Australian MTransaction'!C210,-'Australian MTransaction'!C210))</f>
        <v/>
      </c>
      <c r="D210" s="28" t="str">
        <f>IF('Australian MTransaction'!D210 = "","",IF($B210 = "BUY", 'Australian MTransaction'!D210,-'Australian MTransaction'!D210))</f>
        <v/>
      </c>
      <c r="E210" s="28" t="str">
        <f>IF('Australian MTransaction'!E210= "","",'Australian MTransaction'!E210)</f>
        <v/>
      </c>
      <c r="F210" s="23"/>
      <c r="G210" s="28" t="str">
        <f t="shared" si="20"/>
        <v/>
      </c>
      <c r="H210" s="28" t="str">
        <f>IF(A210="","",COUNTIF($G$2:G210,G210))</f>
        <v/>
      </c>
      <c r="I210" s="28" t="str">
        <f t="shared" si="21"/>
        <v/>
      </c>
      <c r="J210" s="28" t="str">
        <f>IF(G210="","",IF(COUNTIF($G$2:G210,G210)&gt;1,SUMIF($A$2:A210,G210,$C$2:C210),C210))</f>
        <v/>
      </c>
      <c r="K210" s="45" t="str">
        <f>IF(G210="","",IF(COUNTIF($G$2:G210,G210)&gt;1,SUMIF($A$2:A210,G210,$D$2:D210),D210) +SUMIF($G$2:G210,G210,$M$2:M210))</f>
        <v/>
      </c>
      <c r="L210" s="45" t="str">
        <f t="shared" si="22"/>
        <v/>
      </c>
      <c r="M210" s="46" t="str">
        <f>IF(G210="","",IF(B210 = "BUY", 0,(E210-VLOOKUP(CONCATENATE(G210,(H210-1)),$I$2:L209,4,FALSE))*-C210))</f>
        <v/>
      </c>
    </row>
    <row r="211" spans="1:13" ht="15" thickBot="1" x14ac:dyDescent="0.35">
      <c r="A211" s="27" t="str">
        <f>IF('Australian MTransaction'!A211= "","",'Australian MTransaction'!A211)</f>
        <v/>
      </c>
      <c r="B211" s="28" t="str">
        <f>IF('Australian MTransaction'!B211= "","",'Australian MTransaction'!B211)</f>
        <v/>
      </c>
      <c r="C211" s="28" t="str">
        <f>IF('Australian MTransaction'!C211= "","",IF(B211="BUY",'Australian MTransaction'!C211,-'Australian MTransaction'!C211))</f>
        <v/>
      </c>
      <c r="D211" s="28" t="str">
        <f>IF('Australian MTransaction'!D211 = "","",IF($B211 = "BUY", 'Australian MTransaction'!D211,-'Australian MTransaction'!D211))</f>
        <v/>
      </c>
      <c r="E211" s="28" t="str">
        <f>IF('Australian MTransaction'!E211= "","",'Australian MTransaction'!E211)</f>
        <v/>
      </c>
      <c r="F211" s="23"/>
      <c r="G211" s="28" t="str">
        <f t="shared" si="20"/>
        <v/>
      </c>
      <c r="H211" s="28" t="str">
        <f>IF(A211="","",COUNTIF($G$2:G211,G211))</f>
        <v/>
      </c>
      <c r="I211" s="28" t="str">
        <f t="shared" si="21"/>
        <v/>
      </c>
      <c r="J211" s="28" t="str">
        <f>IF(G211="","",IF(COUNTIF($G$2:G211,G211)&gt;1,SUMIF($A$2:A211,G211,$C$2:C211),C211))</f>
        <v/>
      </c>
      <c r="K211" s="45" t="str">
        <f>IF(G211="","",IF(COUNTIF($G$2:G211,G211)&gt;1,SUMIF($A$2:A211,G211,$D$2:D211),D211) +SUMIF($G$2:G211,G211,$M$2:M211))</f>
        <v/>
      </c>
      <c r="L211" s="45" t="str">
        <f t="shared" si="22"/>
        <v/>
      </c>
      <c r="M211" s="46" t="str">
        <f>IF(G211="","",IF(B211 = "BUY", 0,(E211-VLOOKUP(CONCATENATE(G211,(H211-1)),$I$2:L210,4,FALSE))*-C211))</f>
        <v/>
      </c>
    </row>
    <row r="212" spans="1:13" ht="15" thickBot="1" x14ac:dyDescent="0.35">
      <c r="A212" s="27" t="str">
        <f>IF('Australian MTransaction'!A212= "","",'Australian MTransaction'!A212)</f>
        <v/>
      </c>
      <c r="B212" s="28" t="str">
        <f>IF('Australian MTransaction'!B212= "","",'Australian MTransaction'!B212)</f>
        <v/>
      </c>
      <c r="C212" s="28" t="str">
        <f>IF('Australian MTransaction'!C212= "","",IF(B212="BUY",'Australian MTransaction'!C212,-'Australian MTransaction'!C212))</f>
        <v/>
      </c>
      <c r="D212" s="28" t="str">
        <f>IF('Australian MTransaction'!D212 = "","",IF($B212 = "BUY", 'Australian MTransaction'!D212,-'Australian MTransaction'!D212))</f>
        <v/>
      </c>
      <c r="E212" s="28" t="str">
        <f>IF('Australian MTransaction'!E212= "","",'Australian MTransaction'!E212)</f>
        <v/>
      </c>
      <c r="F212" s="23"/>
      <c r="G212" s="28" t="str">
        <f t="shared" si="20"/>
        <v/>
      </c>
      <c r="H212" s="28" t="str">
        <f>IF(A212="","",COUNTIF($G$2:G212,G212))</f>
        <v/>
      </c>
      <c r="I212" s="28" t="str">
        <f t="shared" si="21"/>
        <v/>
      </c>
      <c r="J212" s="28" t="str">
        <f>IF(G212="","",IF(COUNTIF($G$2:G212,G212)&gt;1,SUMIF($A$2:A212,G212,$C$2:C212),C212))</f>
        <v/>
      </c>
      <c r="K212" s="45" t="str">
        <f>IF(G212="","",IF(COUNTIF($G$2:G212,G212)&gt;1,SUMIF($A$2:A212,G212,$D$2:D212),D212) +SUMIF($G$2:G212,G212,$M$2:M212))</f>
        <v/>
      </c>
      <c r="L212" s="45" t="str">
        <f t="shared" si="22"/>
        <v/>
      </c>
      <c r="M212" s="46" t="str">
        <f>IF(G212="","",IF(B212 = "BUY", 0,(E212-VLOOKUP(CONCATENATE(G212,(H212-1)),$I$2:L211,4,FALSE))*-C212))</f>
        <v/>
      </c>
    </row>
    <row r="213" spans="1:13" ht="15" thickBot="1" x14ac:dyDescent="0.35">
      <c r="A213" s="27" t="str">
        <f>IF('Australian MTransaction'!A213= "","",'Australian MTransaction'!A213)</f>
        <v/>
      </c>
      <c r="B213" s="28" t="str">
        <f>IF('Australian MTransaction'!B213= "","",'Australian MTransaction'!B213)</f>
        <v/>
      </c>
      <c r="C213" s="28" t="str">
        <f>IF('Australian MTransaction'!C213= "","",IF(B213="BUY",'Australian MTransaction'!C213,-'Australian MTransaction'!C213))</f>
        <v/>
      </c>
      <c r="D213" s="28" t="str">
        <f>IF('Australian MTransaction'!D213 = "","",IF($B213 = "BUY", 'Australian MTransaction'!D213,-'Australian MTransaction'!D213))</f>
        <v/>
      </c>
      <c r="E213" s="28" t="str">
        <f>IF('Australian MTransaction'!E213= "","",'Australian MTransaction'!E213)</f>
        <v/>
      </c>
      <c r="F213" s="23"/>
      <c r="G213" s="28" t="str">
        <f t="shared" si="20"/>
        <v/>
      </c>
      <c r="H213" s="28" t="str">
        <f>IF(A213="","",COUNTIF($G$2:G213,G213))</f>
        <v/>
      </c>
      <c r="I213" s="28" t="str">
        <f t="shared" si="21"/>
        <v/>
      </c>
      <c r="J213" s="28" t="str">
        <f>IF(G213="","",IF(COUNTIF($G$2:G213,G213)&gt;1,SUMIF($A$2:A213,G213,$C$2:C213),C213))</f>
        <v/>
      </c>
      <c r="K213" s="45" t="str">
        <f>IF(G213="","",IF(COUNTIF($G$2:G213,G213)&gt;1,SUMIF($A$2:A213,G213,$D$2:D213),D213) +SUMIF($G$2:G213,G213,$M$2:M213))</f>
        <v/>
      </c>
      <c r="L213" s="45" t="str">
        <f t="shared" si="22"/>
        <v/>
      </c>
      <c r="M213" s="46" t="str">
        <f>IF(G213="","",IF(B213 = "BUY", 0,(E213-VLOOKUP(CONCATENATE(G213,(H213-1)),$I$2:L212,4,FALSE))*-C213))</f>
        <v/>
      </c>
    </row>
    <row r="214" spans="1:13" ht="15" thickBot="1" x14ac:dyDescent="0.35">
      <c r="A214" s="27" t="str">
        <f>IF('Australian MTransaction'!A214= "","",'Australian MTransaction'!A214)</f>
        <v/>
      </c>
      <c r="B214" s="28" t="str">
        <f>IF('Australian MTransaction'!B214= "","",'Australian MTransaction'!B214)</f>
        <v/>
      </c>
      <c r="C214" s="28" t="str">
        <f>IF('Australian MTransaction'!C214= "","",IF(B214="BUY",'Australian MTransaction'!C214,-'Australian MTransaction'!C214))</f>
        <v/>
      </c>
      <c r="D214" s="28" t="str">
        <f>IF('Australian MTransaction'!D214 = "","",IF($B214 = "BUY", 'Australian MTransaction'!D214,-'Australian MTransaction'!D214))</f>
        <v/>
      </c>
      <c r="E214" s="28" t="str">
        <f>IF('Australian MTransaction'!E214= "","",'Australian MTransaction'!E214)</f>
        <v/>
      </c>
      <c r="F214" s="23"/>
      <c r="G214" s="28" t="str">
        <f t="shared" si="20"/>
        <v/>
      </c>
      <c r="H214" s="28" t="str">
        <f>IF(A214="","",COUNTIF($G$2:G214,G214))</f>
        <v/>
      </c>
      <c r="I214" s="28" t="str">
        <f t="shared" si="21"/>
        <v/>
      </c>
      <c r="J214" s="28" t="str">
        <f>IF(G214="","",IF(COUNTIF($G$2:G214,G214)&gt;1,SUMIF($A$2:A214,G214,$C$2:C214),C214))</f>
        <v/>
      </c>
      <c r="K214" s="45" t="str">
        <f>IF(G214="","",IF(COUNTIF($G$2:G214,G214)&gt;1,SUMIF($A$2:A214,G214,$D$2:D214),D214) +SUMIF($G$2:G214,G214,$M$2:M214))</f>
        <v/>
      </c>
      <c r="L214" s="45" t="str">
        <f t="shared" si="22"/>
        <v/>
      </c>
      <c r="M214" s="46" t="str">
        <f>IF(G214="","",IF(B214 = "BUY", 0,(E214-VLOOKUP(CONCATENATE(G214,(H214-1)),$I$2:L213,4,FALSE))*-C214))</f>
        <v/>
      </c>
    </row>
    <row r="215" spans="1:13" ht="15" thickBot="1" x14ac:dyDescent="0.35">
      <c r="A215" s="27" t="str">
        <f>IF('Australian MTransaction'!A215= "","",'Australian MTransaction'!A215)</f>
        <v/>
      </c>
      <c r="B215" s="28" t="str">
        <f>IF('Australian MTransaction'!B215= "","",'Australian MTransaction'!B215)</f>
        <v/>
      </c>
      <c r="C215" s="28" t="str">
        <f>IF('Australian MTransaction'!C215= "","",IF(B215="BUY",'Australian MTransaction'!C215,-'Australian MTransaction'!C215))</f>
        <v/>
      </c>
      <c r="D215" s="28" t="str">
        <f>IF('Australian MTransaction'!D215 = "","",IF($B215 = "BUY", 'Australian MTransaction'!D215,-'Australian MTransaction'!D215))</f>
        <v/>
      </c>
      <c r="E215" s="28" t="str">
        <f>IF('Australian MTransaction'!E215= "","",'Australian MTransaction'!E215)</f>
        <v/>
      </c>
      <c r="F215" s="23"/>
      <c r="G215" s="28" t="str">
        <f t="shared" si="20"/>
        <v/>
      </c>
      <c r="H215" s="28" t="str">
        <f>IF(A215="","",COUNTIF($G$2:G215,G215))</f>
        <v/>
      </c>
      <c r="I215" s="28" t="str">
        <f t="shared" si="21"/>
        <v/>
      </c>
      <c r="J215" s="28" t="str">
        <f>IF(G215="","",IF(COUNTIF($G$2:G215,G215)&gt;1,SUMIF($A$2:A215,G215,$C$2:C215),C215))</f>
        <v/>
      </c>
      <c r="K215" s="45" t="str">
        <f>IF(G215="","",IF(COUNTIF($G$2:G215,G215)&gt;1,SUMIF($A$2:A215,G215,$D$2:D215),D215) +SUMIF($G$2:G215,G215,$M$2:M215))</f>
        <v/>
      </c>
      <c r="L215" s="45" t="str">
        <f t="shared" si="22"/>
        <v/>
      </c>
      <c r="M215" s="46" t="str">
        <f>IF(G215="","",IF(B215 = "BUY", 0,(E215-VLOOKUP(CONCATENATE(G215,(H215-1)),$I$2:L214,4,FALSE))*-C215))</f>
        <v/>
      </c>
    </row>
    <row r="216" spans="1:13" ht="15" thickBot="1" x14ac:dyDescent="0.35">
      <c r="A216" s="27" t="str">
        <f>IF('Australian MTransaction'!A216= "","",'Australian MTransaction'!A216)</f>
        <v/>
      </c>
      <c r="B216" s="28" t="str">
        <f>IF('Australian MTransaction'!B216= "","",'Australian MTransaction'!B216)</f>
        <v/>
      </c>
      <c r="C216" s="28" t="str">
        <f>IF('Australian MTransaction'!C216= "","",IF(B216="BUY",'Australian MTransaction'!C216,-'Australian MTransaction'!C216))</f>
        <v/>
      </c>
      <c r="D216" s="28" t="str">
        <f>IF('Australian MTransaction'!D216 = "","",IF($B216 = "BUY", 'Australian MTransaction'!D216,-'Australian MTransaction'!D216))</f>
        <v/>
      </c>
      <c r="E216" s="28" t="str">
        <f>IF('Australian MTransaction'!E216= "","",'Australian MTransaction'!E216)</f>
        <v/>
      </c>
      <c r="F216" s="23"/>
      <c r="G216" s="28" t="str">
        <f t="shared" si="20"/>
        <v/>
      </c>
      <c r="H216" s="28" t="str">
        <f>IF(A216="","",COUNTIF($G$2:G216,G216))</f>
        <v/>
      </c>
      <c r="I216" s="28" t="str">
        <f t="shared" si="21"/>
        <v/>
      </c>
      <c r="J216" s="28" t="str">
        <f>IF(G216="","",IF(COUNTIF($G$2:G216,G216)&gt;1,SUMIF($A$2:A216,G216,$C$2:C216),C216))</f>
        <v/>
      </c>
      <c r="K216" s="45" t="str">
        <f>IF(G216="","",IF(COUNTIF($G$2:G216,G216)&gt;1,SUMIF($A$2:A216,G216,$D$2:D216),D216) +SUMIF($G$2:G216,G216,$M$2:M216))</f>
        <v/>
      </c>
      <c r="L216" s="45" t="str">
        <f t="shared" si="22"/>
        <v/>
      </c>
      <c r="M216" s="46" t="str">
        <f>IF(G216="","",IF(B216 = "BUY", 0,(E216-VLOOKUP(CONCATENATE(G216,(H216-1)),$I$2:L215,4,FALSE))*-C216))</f>
        <v/>
      </c>
    </row>
    <row r="217" spans="1:13" ht="15" thickBot="1" x14ac:dyDescent="0.35">
      <c r="A217" s="27" t="str">
        <f>IF('Australian MTransaction'!A217= "","",'Australian MTransaction'!A217)</f>
        <v/>
      </c>
      <c r="B217" s="28" t="str">
        <f>IF('Australian MTransaction'!B217= "","",'Australian MTransaction'!B217)</f>
        <v/>
      </c>
      <c r="C217" s="28" t="str">
        <f>IF('Australian MTransaction'!C217= "","",IF(B217="BUY",'Australian MTransaction'!C217,-'Australian MTransaction'!C217))</f>
        <v/>
      </c>
      <c r="D217" s="28" t="str">
        <f>IF('Australian MTransaction'!D217 = "","",IF($B217 = "BUY", 'Australian MTransaction'!D217,-'Australian MTransaction'!D217))</f>
        <v/>
      </c>
      <c r="E217" s="28" t="str">
        <f>IF('Australian MTransaction'!E217= "","",'Australian MTransaction'!E217)</f>
        <v/>
      </c>
      <c r="F217" s="23"/>
      <c r="G217" s="28" t="str">
        <f t="shared" si="20"/>
        <v/>
      </c>
      <c r="H217" s="28" t="str">
        <f>IF(A217="","",COUNTIF($G$2:G217,G217))</f>
        <v/>
      </c>
      <c r="I217" s="28" t="str">
        <f t="shared" si="21"/>
        <v/>
      </c>
      <c r="J217" s="28" t="str">
        <f>IF(G217="","",IF(COUNTIF($G$2:G217,G217)&gt;1,SUMIF($A$2:A217,G217,$C$2:C217),C217))</f>
        <v/>
      </c>
      <c r="K217" s="45" t="str">
        <f>IF(G217="","",IF(COUNTIF($G$2:G217,G217)&gt;1,SUMIF($A$2:A217,G217,$D$2:D217),D217) +SUMIF($G$2:G217,G217,$M$2:M217))</f>
        <v/>
      </c>
      <c r="L217" s="45" t="str">
        <f t="shared" si="22"/>
        <v/>
      </c>
      <c r="M217" s="46" t="str">
        <f>IF(G217="","",IF(B217 = "BUY", 0,(E217-VLOOKUP(CONCATENATE(G217,(H217-1)),$I$2:L216,4,FALSE))*-C217))</f>
        <v/>
      </c>
    </row>
    <row r="218" spans="1:13" ht="15" thickBot="1" x14ac:dyDescent="0.35">
      <c r="A218" s="27" t="str">
        <f>IF('Australian MTransaction'!A218= "","",'Australian MTransaction'!A218)</f>
        <v/>
      </c>
      <c r="B218" s="28" t="str">
        <f>IF('Australian MTransaction'!B218= "","",'Australian MTransaction'!B218)</f>
        <v/>
      </c>
      <c r="C218" s="28" t="str">
        <f>IF('Australian MTransaction'!C218= "","",IF(B218="BUY",'Australian MTransaction'!C218,-'Australian MTransaction'!C218))</f>
        <v/>
      </c>
      <c r="D218" s="28" t="str">
        <f>IF('Australian MTransaction'!D218 = "","",IF($B218 = "BUY", 'Australian MTransaction'!D218,-'Australian MTransaction'!D218))</f>
        <v/>
      </c>
      <c r="E218" s="28" t="str">
        <f>IF('Australian MTransaction'!E218= "","",'Australian MTransaction'!E218)</f>
        <v/>
      </c>
      <c r="F218" s="23"/>
      <c r="G218" s="28" t="str">
        <f t="shared" si="20"/>
        <v/>
      </c>
      <c r="H218" s="28" t="str">
        <f>IF(A218="","",COUNTIF($G$2:G218,G218))</f>
        <v/>
      </c>
      <c r="I218" s="28" t="str">
        <f t="shared" si="21"/>
        <v/>
      </c>
      <c r="J218" s="28" t="str">
        <f>IF(G218="","",IF(COUNTIF($G$2:G218,G218)&gt;1,SUMIF($A$2:A218,G218,$C$2:C218),C218))</f>
        <v/>
      </c>
      <c r="K218" s="45" t="str">
        <f>IF(G218="","",IF(COUNTIF($G$2:G218,G218)&gt;1,SUMIF($A$2:A218,G218,$D$2:D218),D218) +SUMIF($G$2:G218,G218,$M$2:M218))</f>
        <v/>
      </c>
      <c r="L218" s="45" t="str">
        <f t="shared" si="22"/>
        <v/>
      </c>
      <c r="M218" s="46" t="str">
        <f>IF(G218="","",IF(B218 = "BUY", 0,(E218-VLOOKUP(CONCATENATE(G218,(H218-1)),$I$2:L217,4,FALSE))*-C218))</f>
        <v/>
      </c>
    </row>
    <row r="219" spans="1:13" ht="15" thickBot="1" x14ac:dyDescent="0.35">
      <c r="A219" s="27" t="str">
        <f>IF('Australian MTransaction'!A219= "","",'Australian MTransaction'!A219)</f>
        <v/>
      </c>
      <c r="B219" s="28" t="str">
        <f>IF('Australian MTransaction'!B219= "","",'Australian MTransaction'!B219)</f>
        <v/>
      </c>
      <c r="C219" s="28" t="str">
        <f>IF('Australian MTransaction'!C219= "","",IF(B219="BUY",'Australian MTransaction'!C219,-'Australian MTransaction'!C219))</f>
        <v/>
      </c>
      <c r="D219" s="28" t="str">
        <f>IF('Australian MTransaction'!D219 = "","",IF($B219 = "BUY", 'Australian MTransaction'!D219,-'Australian MTransaction'!D219))</f>
        <v/>
      </c>
      <c r="E219" s="28" t="str">
        <f>IF('Australian MTransaction'!E219= "","",'Australian MTransaction'!E219)</f>
        <v/>
      </c>
      <c r="F219" s="23"/>
      <c r="G219" s="28" t="str">
        <f t="shared" si="20"/>
        <v/>
      </c>
      <c r="H219" s="28" t="str">
        <f>IF(A219="","",COUNTIF($G$2:G219,G219))</f>
        <v/>
      </c>
      <c r="I219" s="28" t="str">
        <f t="shared" si="21"/>
        <v/>
      </c>
      <c r="J219" s="28" t="str">
        <f>IF(G219="","",IF(COUNTIF($G$2:G219,G219)&gt;1,SUMIF($A$2:A219,G219,$C$2:C219),C219))</f>
        <v/>
      </c>
      <c r="K219" s="45" t="str">
        <f>IF(G219="","",IF(COUNTIF($G$2:G219,G219)&gt;1,SUMIF($A$2:A219,G219,$D$2:D219),D219) +SUMIF($G$2:G219,G219,$M$2:M219))</f>
        <v/>
      </c>
      <c r="L219" s="45" t="str">
        <f t="shared" si="22"/>
        <v/>
      </c>
      <c r="M219" s="46" t="str">
        <f>IF(G219="","",IF(B219 = "BUY", 0,(E219-VLOOKUP(CONCATENATE(G219,(H219-1)),$I$2:L218,4,FALSE))*-C219))</f>
        <v/>
      </c>
    </row>
    <row r="220" spans="1:13" ht="15" thickBot="1" x14ac:dyDescent="0.35">
      <c r="A220" s="27" t="str">
        <f>IF('Australian MTransaction'!A220= "","",'Australian MTransaction'!A220)</f>
        <v/>
      </c>
      <c r="B220" s="28" t="str">
        <f>IF('Australian MTransaction'!B220= "","",'Australian MTransaction'!B220)</f>
        <v/>
      </c>
      <c r="C220" s="28" t="str">
        <f>IF('Australian MTransaction'!C220= "","",IF(B220="BUY",'Australian MTransaction'!C220,-'Australian MTransaction'!C220))</f>
        <v/>
      </c>
      <c r="D220" s="28" t="str">
        <f>IF('Australian MTransaction'!D220 = "","",IF($B220 = "BUY", 'Australian MTransaction'!D220,-'Australian MTransaction'!D220))</f>
        <v/>
      </c>
      <c r="E220" s="28" t="str">
        <f>IF('Australian MTransaction'!E220= "","",'Australian MTransaction'!E220)</f>
        <v/>
      </c>
      <c r="F220" s="23"/>
      <c r="G220" s="28" t="str">
        <f t="shared" si="20"/>
        <v/>
      </c>
      <c r="H220" s="28" t="str">
        <f>IF(A220="","",COUNTIF($G$2:G220,G220))</f>
        <v/>
      </c>
      <c r="I220" s="28" t="str">
        <f t="shared" si="21"/>
        <v/>
      </c>
      <c r="J220" s="28" t="str">
        <f>IF(G220="","",IF(COUNTIF($G$2:G220,G220)&gt;1,SUMIF($A$2:A220,G220,$C$2:C220),C220))</f>
        <v/>
      </c>
      <c r="K220" s="45" t="str">
        <f>IF(G220="","",IF(COUNTIF($G$2:G220,G220)&gt;1,SUMIF($A$2:A220,G220,$D$2:D220),D220) +SUMIF($G$2:G220,G220,$M$2:M220))</f>
        <v/>
      </c>
      <c r="L220" s="45" t="str">
        <f t="shared" si="22"/>
        <v/>
      </c>
      <c r="M220" s="46" t="str">
        <f>IF(G220="","",IF(B220 = "BUY", 0,(E220-VLOOKUP(CONCATENATE(G220,(H220-1)),$I$2:L219,4,FALSE))*-C220))</f>
        <v/>
      </c>
    </row>
    <row r="221" spans="1:13" ht="15" thickBot="1" x14ac:dyDescent="0.35">
      <c r="A221" s="27" t="str">
        <f>IF('Australian MTransaction'!A221= "","",'Australian MTransaction'!A221)</f>
        <v/>
      </c>
      <c r="B221" s="28" t="str">
        <f>IF('Australian MTransaction'!B221= "","",'Australian MTransaction'!B221)</f>
        <v/>
      </c>
      <c r="C221" s="28" t="str">
        <f>IF('Australian MTransaction'!C221= "","",IF(B221="BUY",'Australian MTransaction'!C221,-'Australian MTransaction'!C221))</f>
        <v/>
      </c>
      <c r="D221" s="28" t="str">
        <f>IF('Australian MTransaction'!D221 = "","",IF($B221 = "BUY", 'Australian MTransaction'!D221,-'Australian MTransaction'!D221))</f>
        <v/>
      </c>
      <c r="E221" s="28" t="str">
        <f>IF('Australian MTransaction'!E221= "","",'Australian MTransaction'!E221)</f>
        <v/>
      </c>
      <c r="F221" s="23"/>
      <c r="G221" s="28" t="str">
        <f t="shared" si="20"/>
        <v/>
      </c>
      <c r="H221" s="28" t="str">
        <f>IF(A221="","",COUNTIF($G$2:G221,G221))</f>
        <v/>
      </c>
      <c r="I221" s="28" t="str">
        <f t="shared" si="21"/>
        <v/>
      </c>
      <c r="J221" s="28" t="str">
        <f>IF(G221="","",IF(COUNTIF($G$2:G221,G221)&gt;1,SUMIF($A$2:A221,G221,$C$2:C221),C221))</f>
        <v/>
      </c>
      <c r="K221" s="45" t="str">
        <f>IF(G221="","",IF(COUNTIF($G$2:G221,G221)&gt;1,SUMIF($A$2:A221,G221,$D$2:D221),D221) +SUMIF($G$2:G221,G221,$M$2:M221))</f>
        <v/>
      </c>
      <c r="L221" s="45" t="str">
        <f t="shared" si="22"/>
        <v/>
      </c>
      <c r="M221" s="46" t="str">
        <f>IF(G221="","",IF(B221 = "BUY", 0,(E221-VLOOKUP(CONCATENATE(G221,(H221-1)),$I$2:L220,4,FALSE))*-C221))</f>
        <v/>
      </c>
    </row>
    <row r="222" spans="1:13" ht="15" thickBot="1" x14ac:dyDescent="0.35">
      <c r="A222" s="27" t="str">
        <f>IF('Australian MTransaction'!A222= "","",'Australian MTransaction'!A222)</f>
        <v/>
      </c>
      <c r="B222" s="28" t="str">
        <f>IF('Australian MTransaction'!B222= "","",'Australian MTransaction'!B222)</f>
        <v/>
      </c>
      <c r="C222" s="28" t="str">
        <f>IF('Australian MTransaction'!C222= "","",IF(B222="BUY",'Australian MTransaction'!C222,-'Australian MTransaction'!C222))</f>
        <v/>
      </c>
      <c r="D222" s="28" t="str">
        <f>IF('Australian MTransaction'!D222 = "","",IF($B222 = "BUY", 'Australian MTransaction'!D222,-'Australian MTransaction'!D222))</f>
        <v/>
      </c>
      <c r="E222" s="28" t="str">
        <f>IF('Australian MTransaction'!E222= "","",'Australian MTransaction'!E222)</f>
        <v/>
      </c>
      <c r="F222" s="23"/>
      <c r="G222" s="28" t="str">
        <f t="shared" si="20"/>
        <v/>
      </c>
      <c r="H222" s="28" t="str">
        <f>IF(A222="","",COUNTIF($G$2:G222,G222))</f>
        <v/>
      </c>
      <c r="I222" s="28" t="str">
        <f t="shared" si="21"/>
        <v/>
      </c>
      <c r="J222" s="28" t="str">
        <f>IF(G222="","",IF(COUNTIF($G$2:G222,G222)&gt;1,SUMIF($A$2:A222,G222,$C$2:C222),C222))</f>
        <v/>
      </c>
      <c r="K222" s="45" t="str">
        <f>IF(G222="","",IF(COUNTIF($G$2:G222,G222)&gt;1,SUMIF($A$2:A222,G222,$D$2:D222),D222) +SUMIF($G$2:G222,G222,$M$2:M222))</f>
        <v/>
      </c>
      <c r="L222" s="45" t="str">
        <f t="shared" si="22"/>
        <v/>
      </c>
      <c r="M222" s="46" t="str">
        <f>IF(G222="","",IF(B222 = "BUY", 0,(E222-VLOOKUP(CONCATENATE(G222,(H222-1)),$I$2:L221,4,FALSE))*-C222))</f>
        <v/>
      </c>
    </row>
    <row r="223" spans="1:13" ht="15" thickBot="1" x14ac:dyDescent="0.35">
      <c r="A223" s="27" t="str">
        <f>IF('Australian MTransaction'!A223= "","",'Australian MTransaction'!A223)</f>
        <v/>
      </c>
      <c r="B223" s="28" t="str">
        <f>IF('Australian MTransaction'!B223= "","",'Australian MTransaction'!B223)</f>
        <v/>
      </c>
      <c r="C223" s="28" t="str">
        <f>IF('Australian MTransaction'!C223= "","",IF(B223="BUY",'Australian MTransaction'!C223,-'Australian MTransaction'!C223))</f>
        <v/>
      </c>
      <c r="D223" s="28" t="str">
        <f>IF('Australian MTransaction'!D223 = "","",IF($B223 = "BUY", 'Australian MTransaction'!D223,-'Australian MTransaction'!D223))</f>
        <v/>
      </c>
      <c r="E223" s="28" t="str">
        <f>IF('Australian MTransaction'!E223= "","",'Australian MTransaction'!E223)</f>
        <v/>
      </c>
      <c r="F223" s="23"/>
      <c r="G223" s="28" t="str">
        <f t="shared" si="20"/>
        <v/>
      </c>
      <c r="H223" s="28" t="str">
        <f>IF(A223="","",COUNTIF($G$2:G223,G223))</f>
        <v/>
      </c>
      <c r="I223" s="28" t="str">
        <f t="shared" si="21"/>
        <v/>
      </c>
      <c r="J223" s="28" t="str">
        <f>IF(G223="","",IF(COUNTIF($G$2:G223,G223)&gt;1,SUMIF($A$2:A223,G223,$C$2:C223),C223))</f>
        <v/>
      </c>
      <c r="K223" s="45" t="str">
        <f>IF(G223="","",IF(COUNTIF($G$2:G223,G223)&gt;1,SUMIF($A$2:A223,G223,$D$2:D223),D223) +SUMIF($G$2:G223,G223,$M$2:M223))</f>
        <v/>
      </c>
      <c r="L223" s="45" t="str">
        <f t="shared" si="22"/>
        <v/>
      </c>
      <c r="M223" s="46" t="str">
        <f>IF(G223="","",IF(B223 = "BUY", 0,(E223-VLOOKUP(CONCATENATE(G223,(H223-1)),$I$2:L222,4,FALSE))*-C223))</f>
        <v/>
      </c>
    </row>
    <row r="224" spans="1:13" ht="15" thickBot="1" x14ac:dyDescent="0.35">
      <c r="A224" s="27" t="str">
        <f>IF('Australian MTransaction'!A224= "","",'Australian MTransaction'!A224)</f>
        <v/>
      </c>
      <c r="B224" s="28" t="str">
        <f>IF('Australian MTransaction'!B224= "","",'Australian MTransaction'!B224)</f>
        <v/>
      </c>
      <c r="C224" s="28" t="str">
        <f>IF('Australian MTransaction'!C224= "","",IF(B224="BUY",'Australian MTransaction'!C224,-'Australian MTransaction'!C224))</f>
        <v/>
      </c>
      <c r="D224" s="28" t="str">
        <f>IF('Australian MTransaction'!D224 = "","",IF($B224 = "BUY", 'Australian MTransaction'!D224,-'Australian MTransaction'!D224))</f>
        <v/>
      </c>
      <c r="E224" s="28" t="str">
        <f>IF('Australian MTransaction'!E224= "","",'Australian MTransaction'!E224)</f>
        <v/>
      </c>
      <c r="F224" s="23"/>
      <c r="G224" s="28" t="str">
        <f t="shared" si="20"/>
        <v/>
      </c>
      <c r="H224" s="28" t="str">
        <f>IF(A224="","",COUNTIF($G$2:G224,G224))</f>
        <v/>
      </c>
      <c r="I224" s="28" t="str">
        <f t="shared" si="21"/>
        <v/>
      </c>
      <c r="J224" s="28" t="str">
        <f>IF(G224="","",IF(COUNTIF($G$2:G224,G224)&gt;1,SUMIF($A$2:A224,G224,$C$2:C224),C224))</f>
        <v/>
      </c>
      <c r="K224" s="45" t="str">
        <f>IF(G224="","",IF(COUNTIF($G$2:G224,G224)&gt;1,SUMIF($A$2:A224,G224,$D$2:D224),D224) +SUMIF($G$2:G224,G224,$M$2:M224))</f>
        <v/>
      </c>
      <c r="L224" s="45" t="str">
        <f t="shared" si="22"/>
        <v/>
      </c>
      <c r="M224" s="46" t="str">
        <f>IF(G224="","",IF(B224 = "BUY", 0,(E224-VLOOKUP(CONCATENATE(G224,(H224-1)),$I$2:L223,4,FALSE))*-C224))</f>
        <v/>
      </c>
    </row>
    <row r="225" spans="1:13" ht="15" thickBot="1" x14ac:dyDescent="0.35">
      <c r="A225" s="27" t="str">
        <f>IF('Australian MTransaction'!A225= "","",'Australian MTransaction'!A225)</f>
        <v/>
      </c>
      <c r="B225" s="28" t="str">
        <f>IF('Australian MTransaction'!B225= "","",'Australian MTransaction'!B225)</f>
        <v/>
      </c>
      <c r="C225" s="28" t="str">
        <f>IF('Australian MTransaction'!C225= "","",IF(B225="BUY",'Australian MTransaction'!C225,-'Australian MTransaction'!C225))</f>
        <v/>
      </c>
      <c r="D225" s="28" t="str">
        <f>IF('Australian MTransaction'!D225 = "","",IF($B225 = "BUY", 'Australian MTransaction'!D225,-'Australian MTransaction'!D225))</f>
        <v/>
      </c>
      <c r="E225" s="28" t="str">
        <f>IF('Australian MTransaction'!E225= "","",'Australian MTransaction'!E225)</f>
        <v/>
      </c>
      <c r="F225" s="23"/>
      <c r="G225" s="28" t="str">
        <f t="shared" si="20"/>
        <v/>
      </c>
      <c r="H225" s="28" t="str">
        <f>IF(A225="","",COUNTIF($G$2:G225,G225))</f>
        <v/>
      </c>
      <c r="I225" s="28" t="str">
        <f t="shared" si="21"/>
        <v/>
      </c>
      <c r="J225" s="28" t="str">
        <f>IF(G225="","",IF(COUNTIF($G$2:G225,G225)&gt;1,SUMIF($A$2:A225,G225,$C$2:C225),C225))</f>
        <v/>
      </c>
      <c r="K225" s="45" t="str">
        <f>IF(G225="","",IF(COUNTIF($G$2:G225,G225)&gt;1,SUMIF($A$2:A225,G225,$D$2:D225),D225) +SUMIF($G$2:G225,G225,$M$2:M225))</f>
        <v/>
      </c>
      <c r="L225" s="45" t="str">
        <f t="shared" si="22"/>
        <v/>
      </c>
      <c r="M225" s="46" t="str">
        <f>IF(G225="","",IF(B225 = "BUY", 0,(E225-VLOOKUP(CONCATENATE(G225,(H225-1)),$I$2:L224,4,FALSE))*-C225))</f>
        <v/>
      </c>
    </row>
    <row r="226" spans="1:13" ht="15" thickBot="1" x14ac:dyDescent="0.35">
      <c r="A226" s="27" t="str">
        <f>IF('Australian MTransaction'!A226= "","",'Australian MTransaction'!A226)</f>
        <v/>
      </c>
      <c r="B226" s="28" t="str">
        <f>IF('Australian MTransaction'!B226= "","",'Australian MTransaction'!B226)</f>
        <v/>
      </c>
      <c r="C226" s="28" t="str">
        <f>IF('Australian MTransaction'!C226= "","",IF(B226="BUY",'Australian MTransaction'!C226,-'Australian MTransaction'!C226))</f>
        <v/>
      </c>
      <c r="D226" s="28" t="str">
        <f>IF('Australian MTransaction'!D226 = "","",IF($B226 = "BUY", 'Australian MTransaction'!D226,-'Australian MTransaction'!D226))</f>
        <v/>
      </c>
      <c r="E226" s="28" t="str">
        <f>IF('Australian MTransaction'!E226= "","",'Australian MTransaction'!E226)</f>
        <v/>
      </c>
      <c r="F226" s="23"/>
      <c r="G226" s="28" t="str">
        <f t="shared" si="20"/>
        <v/>
      </c>
      <c r="H226" s="28" t="str">
        <f>IF(A226="","",COUNTIF($G$2:G226,G226))</f>
        <v/>
      </c>
      <c r="I226" s="28" t="str">
        <f t="shared" si="21"/>
        <v/>
      </c>
      <c r="J226" s="28" t="str">
        <f>IF(G226="","",IF(COUNTIF($G$2:G226,G226)&gt;1,SUMIF($A$2:A226,G226,$C$2:C226),C226))</f>
        <v/>
      </c>
      <c r="K226" s="45" t="str">
        <f>IF(G226="","",IF(COUNTIF($G$2:G226,G226)&gt;1,SUMIF($A$2:A226,G226,$D$2:D226),D226) +SUMIF($G$2:G226,G226,$M$2:M226))</f>
        <v/>
      </c>
      <c r="L226" s="45" t="str">
        <f t="shared" si="22"/>
        <v/>
      </c>
      <c r="M226" s="46" t="str">
        <f>IF(G226="","",IF(B226 = "BUY", 0,(E226-VLOOKUP(CONCATENATE(G226,(H226-1)),$I$2:L225,4,FALSE))*-C226))</f>
        <v/>
      </c>
    </row>
    <row r="227" spans="1:13" ht="15" thickBot="1" x14ac:dyDescent="0.35">
      <c r="A227" s="27" t="str">
        <f>IF('Australian MTransaction'!A227= "","",'Australian MTransaction'!A227)</f>
        <v/>
      </c>
      <c r="B227" s="28" t="str">
        <f>IF('Australian MTransaction'!B227= "","",'Australian MTransaction'!B227)</f>
        <v/>
      </c>
      <c r="C227" s="28" t="str">
        <f>IF('Australian MTransaction'!C227= "","",IF(B227="BUY",'Australian MTransaction'!C227,-'Australian MTransaction'!C227))</f>
        <v/>
      </c>
      <c r="D227" s="28" t="str">
        <f>IF('Australian MTransaction'!D227 = "","",IF($B227 = "BUY", 'Australian MTransaction'!D227,-'Australian MTransaction'!D227))</f>
        <v/>
      </c>
      <c r="E227" s="28" t="str">
        <f>IF('Australian MTransaction'!E227= "","",'Australian MTransaction'!E227)</f>
        <v/>
      </c>
      <c r="F227" s="23"/>
      <c r="G227" s="28" t="str">
        <f t="shared" si="20"/>
        <v/>
      </c>
      <c r="H227" s="28" t="str">
        <f>IF(A227="","",COUNTIF($G$2:G227,G227))</f>
        <v/>
      </c>
      <c r="I227" s="28" t="str">
        <f t="shared" si="21"/>
        <v/>
      </c>
      <c r="J227" s="28" t="str">
        <f>IF(G227="","",IF(COUNTIF($G$2:G227,G227)&gt;1,SUMIF($A$2:A227,G227,$C$2:C227),C227))</f>
        <v/>
      </c>
      <c r="K227" s="45" t="str">
        <f>IF(G227="","",IF(COUNTIF($G$2:G227,G227)&gt;1,SUMIF($A$2:A227,G227,$D$2:D227),D227) +SUMIF($G$2:G227,G227,$M$2:M227))</f>
        <v/>
      </c>
      <c r="L227" s="45" t="str">
        <f t="shared" si="22"/>
        <v/>
      </c>
      <c r="M227" s="46" t="str">
        <f>IF(G227="","",IF(B227 = "BUY", 0,(E227-VLOOKUP(CONCATENATE(G227,(H227-1)),$I$2:L226,4,FALSE))*-C227))</f>
        <v/>
      </c>
    </row>
    <row r="228" spans="1:13" ht="15" thickBot="1" x14ac:dyDescent="0.35">
      <c r="A228" s="27" t="str">
        <f>IF('Australian MTransaction'!A228= "","",'Australian MTransaction'!A228)</f>
        <v/>
      </c>
      <c r="B228" s="28" t="str">
        <f>IF('Australian MTransaction'!B228= "","",'Australian MTransaction'!B228)</f>
        <v/>
      </c>
      <c r="C228" s="28" t="str">
        <f>IF('Australian MTransaction'!C228= "","",IF(B228="BUY",'Australian MTransaction'!C228,-'Australian MTransaction'!C228))</f>
        <v/>
      </c>
      <c r="D228" s="28" t="str">
        <f>IF('Australian MTransaction'!D228 = "","",IF($B228 = "BUY", 'Australian MTransaction'!D228,-'Australian MTransaction'!D228))</f>
        <v/>
      </c>
      <c r="E228" s="28" t="str">
        <f>IF('Australian MTransaction'!E228= "","",'Australian MTransaction'!E228)</f>
        <v/>
      </c>
      <c r="F228" s="23"/>
      <c r="G228" s="28" t="str">
        <f t="shared" si="20"/>
        <v/>
      </c>
      <c r="H228" s="28" t="str">
        <f>IF(A228="","",COUNTIF($G$2:G228,G228))</f>
        <v/>
      </c>
      <c r="I228" s="28" t="str">
        <f t="shared" si="21"/>
        <v/>
      </c>
      <c r="J228" s="28" t="str">
        <f>IF(G228="","",IF(COUNTIF($G$2:G228,G228)&gt;1,SUMIF($A$2:A228,G228,$C$2:C228),C228))</f>
        <v/>
      </c>
      <c r="K228" s="45" t="str">
        <f>IF(G228="","",IF(COUNTIF($G$2:G228,G228)&gt;1,SUMIF($A$2:A228,G228,$D$2:D228),D228) +SUMIF($G$2:G228,G228,$M$2:M228))</f>
        <v/>
      </c>
      <c r="L228" s="45" t="str">
        <f t="shared" si="22"/>
        <v/>
      </c>
      <c r="M228" s="46" t="str">
        <f>IF(G228="","",IF(B228 = "BUY", 0,(E228-VLOOKUP(CONCATENATE(G228,(H228-1)),$I$2:L227,4,FALSE))*-C228))</f>
        <v/>
      </c>
    </row>
    <row r="229" spans="1:13" ht="15" thickBot="1" x14ac:dyDescent="0.35">
      <c r="A229" s="27" t="str">
        <f>IF('Australian MTransaction'!A229= "","",'Australian MTransaction'!A229)</f>
        <v/>
      </c>
      <c r="B229" s="28" t="str">
        <f>IF('Australian MTransaction'!B229= "","",'Australian MTransaction'!B229)</f>
        <v/>
      </c>
      <c r="C229" s="28" t="str">
        <f>IF('Australian MTransaction'!C229= "","",IF(B229="BUY",'Australian MTransaction'!C229,-'Australian MTransaction'!C229))</f>
        <v/>
      </c>
      <c r="D229" s="28" t="str">
        <f>IF('Australian MTransaction'!D229 = "","",IF($B229 = "BUY", 'Australian MTransaction'!D229,-'Australian MTransaction'!D229))</f>
        <v/>
      </c>
      <c r="E229" s="28" t="str">
        <f>IF('Australian MTransaction'!E229= "","",'Australian MTransaction'!E229)</f>
        <v/>
      </c>
      <c r="F229" s="23"/>
      <c r="G229" s="28" t="str">
        <f t="shared" si="20"/>
        <v/>
      </c>
      <c r="H229" s="28" t="str">
        <f>IF(A229="","",COUNTIF($G$2:G229,G229))</f>
        <v/>
      </c>
      <c r="I229" s="28" t="str">
        <f t="shared" si="21"/>
        <v/>
      </c>
      <c r="J229" s="28" t="str">
        <f>IF(G229="","",IF(COUNTIF($G$2:G229,G229)&gt;1,SUMIF($A$2:A229,G229,$C$2:C229),C229))</f>
        <v/>
      </c>
      <c r="K229" s="45" t="str">
        <f>IF(G229="","",IF(COUNTIF($G$2:G229,G229)&gt;1,SUMIF($A$2:A229,G229,$D$2:D229),D229) +SUMIF($G$2:G229,G229,$M$2:M229))</f>
        <v/>
      </c>
      <c r="L229" s="45" t="str">
        <f t="shared" si="22"/>
        <v/>
      </c>
      <c r="M229" s="46" t="str">
        <f>IF(G229="","",IF(B229 = "BUY", 0,(E229-VLOOKUP(CONCATENATE(G229,(H229-1)),$I$2:L228,4,FALSE))*-C229))</f>
        <v/>
      </c>
    </row>
    <row r="230" spans="1:13" ht="15" thickBot="1" x14ac:dyDescent="0.35">
      <c r="A230" s="27" t="str">
        <f>IF('Australian MTransaction'!A230= "","",'Australian MTransaction'!A230)</f>
        <v/>
      </c>
      <c r="B230" s="28" t="str">
        <f>IF('Australian MTransaction'!B230= "","",'Australian MTransaction'!B230)</f>
        <v/>
      </c>
      <c r="C230" s="28" t="str">
        <f>IF('Australian MTransaction'!C230= "","",IF(B230="BUY",'Australian MTransaction'!C230,-'Australian MTransaction'!C230))</f>
        <v/>
      </c>
      <c r="D230" s="28" t="str">
        <f>IF('Australian MTransaction'!D230 = "","",IF($B230 = "BUY", 'Australian MTransaction'!D230,-'Australian MTransaction'!D230))</f>
        <v/>
      </c>
      <c r="E230" s="28" t="str">
        <f>IF('Australian MTransaction'!E230= "","",'Australian MTransaction'!E230)</f>
        <v/>
      </c>
      <c r="F230" s="23"/>
      <c r="G230" s="28" t="str">
        <f t="shared" si="20"/>
        <v/>
      </c>
      <c r="H230" s="28" t="str">
        <f>IF(A230="","",COUNTIF($G$2:G230,G230))</f>
        <v/>
      </c>
      <c r="I230" s="28" t="str">
        <f t="shared" si="21"/>
        <v/>
      </c>
      <c r="J230" s="28" t="str">
        <f>IF(G230="","",IF(COUNTIF($G$2:G230,G230)&gt;1,SUMIF($A$2:A230,G230,$C$2:C230),C230))</f>
        <v/>
      </c>
      <c r="K230" s="45" t="str">
        <f>IF(G230="","",IF(COUNTIF($G$2:G230,G230)&gt;1,SUMIF($A$2:A230,G230,$D$2:D230),D230) +SUMIF($G$2:G230,G230,$M$2:M230))</f>
        <v/>
      </c>
      <c r="L230" s="45" t="str">
        <f t="shared" si="22"/>
        <v/>
      </c>
      <c r="M230" s="46" t="str">
        <f>IF(G230="","",IF(B230 = "BUY", 0,(E230-VLOOKUP(CONCATENATE(G230,(H230-1)),$I$2:L229,4,FALSE))*-C230))</f>
        <v/>
      </c>
    </row>
    <row r="231" spans="1:13" ht="15" thickBot="1" x14ac:dyDescent="0.35">
      <c r="A231" s="27" t="str">
        <f>IF('Australian MTransaction'!A231= "","",'Australian MTransaction'!A231)</f>
        <v/>
      </c>
      <c r="B231" s="28" t="str">
        <f>IF('Australian MTransaction'!B231= "","",'Australian MTransaction'!B231)</f>
        <v/>
      </c>
      <c r="C231" s="28" t="str">
        <f>IF('Australian MTransaction'!C231= "","",IF(B231="BUY",'Australian MTransaction'!C231,-'Australian MTransaction'!C231))</f>
        <v/>
      </c>
      <c r="D231" s="28" t="str">
        <f>IF('Australian MTransaction'!D231 = "","",IF($B231 = "BUY", 'Australian MTransaction'!D231,-'Australian MTransaction'!D231))</f>
        <v/>
      </c>
      <c r="E231" s="28" t="str">
        <f>IF('Australian MTransaction'!E231= "","",'Australian MTransaction'!E231)</f>
        <v/>
      </c>
      <c r="F231" s="23"/>
      <c r="G231" s="28" t="str">
        <f t="shared" si="20"/>
        <v/>
      </c>
      <c r="H231" s="28" t="str">
        <f>IF(A231="","",COUNTIF($G$2:G231,G231))</f>
        <v/>
      </c>
      <c r="I231" s="28" t="str">
        <f t="shared" si="21"/>
        <v/>
      </c>
      <c r="J231" s="28" t="str">
        <f>IF(G231="","",IF(COUNTIF($G$2:G231,G231)&gt;1,SUMIF($A$2:A231,G231,$C$2:C231),C231))</f>
        <v/>
      </c>
      <c r="K231" s="45" t="str">
        <f>IF(G231="","",IF(COUNTIF($G$2:G231,G231)&gt;1,SUMIF($A$2:A231,G231,$D$2:D231),D231) +SUMIF($G$2:G231,G231,$M$2:M231))</f>
        <v/>
      </c>
      <c r="L231" s="45" t="str">
        <f t="shared" si="22"/>
        <v/>
      </c>
      <c r="M231" s="46" t="str">
        <f>IF(G231="","",IF(B231 = "BUY", 0,(E231-VLOOKUP(CONCATENATE(G231,(H231-1)),$I$2:L230,4,FALSE))*-C231))</f>
        <v/>
      </c>
    </row>
    <row r="232" spans="1:13" ht="15" thickBot="1" x14ac:dyDescent="0.35">
      <c r="A232" s="27" t="str">
        <f>IF('Australian MTransaction'!A232= "","",'Australian MTransaction'!A232)</f>
        <v/>
      </c>
      <c r="B232" s="28" t="str">
        <f>IF('Australian MTransaction'!B232= "","",'Australian MTransaction'!B232)</f>
        <v/>
      </c>
      <c r="C232" s="28" t="str">
        <f>IF('Australian MTransaction'!C232= "","",IF(B232="BUY",'Australian MTransaction'!C232,-'Australian MTransaction'!C232))</f>
        <v/>
      </c>
      <c r="D232" s="28" t="str">
        <f>IF('Australian MTransaction'!D232 = "","",IF($B232 = "BUY", 'Australian MTransaction'!D232,-'Australian MTransaction'!D232))</f>
        <v/>
      </c>
      <c r="E232" s="28" t="str">
        <f>IF('Australian MTransaction'!E232= "","",'Australian MTransaction'!E232)</f>
        <v/>
      </c>
      <c r="F232" s="23"/>
      <c r="G232" s="28" t="str">
        <f t="shared" si="20"/>
        <v/>
      </c>
      <c r="H232" s="28" t="str">
        <f>IF(A232="","",COUNTIF($G$2:G232,G232))</f>
        <v/>
      </c>
      <c r="I232" s="28" t="str">
        <f t="shared" si="21"/>
        <v/>
      </c>
      <c r="J232" s="28" t="str">
        <f>IF(G232="","",IF(COUNTIF($G$2:G232,G232)&gt;1,SUMIF($A$2:A232,G232,$C$2:C232),C232))</f>
        <v/>
      </c>
      <c r="K232" s="45" t="str">
        <f>IF(G232="","",IF(COUNTIF($G$2:G232,G232)&gt;1,SUMIF($A$2:A232,G232,$D$2:D232),D232) +SUMIF($G$2:G232,G232,$M$2:M232))</f>
        <v/>
      </c>
      <c r="L232" s="45" t="str">
        <f t="shared" si="22"/>
        <v/>
      </c>
      <c r="M232" s="46" t="str">
        <f>IF(G232="","",IF(B232 = "BUY", 0,(E232-VLOOKUP(CONCATENATE(G232,(H232-1)),$I$2:L231,4,FALSE))*-C232))</f>
        <v/>
      </c>
    </row>
    <row r="233" spans="1:13" ht="15" thickBot="1" x14ac:dyDescent="0.35">
      <c r="A233" s="27" t="str">
        <f>IF('Australian MTransaction'!A233= "","",'Australian MTransaction'!A233)</f>
        <v/>
      </c>
      <c r="B233" s="28" t="str">
        <f>IF('Australian MTransaction'!B233= "","",'Australian MTransaction'!B233)</f>
        <v/>
      </c>
      <c r="C233" s="28" t="str">
        <f>IF('Australian MTransaction'!C233= "","",IF(B233="BUY",'Australian MTransaction'!C233,-'Australian MTransaction'!C233))</f>
        <v/>
      </c>
      <c r="D233" s="28" t="str">
        <f>IF('Australian MTransaction'!D233 = "","",IF($B233 = "BUY", 'Australian MTransaction'!D233,-'Australian MTransaction'!D233))</f>
        <v/>
      </c>
      <c r="E233" s="28" t="str">
        <f>IF('Australian MTransaction'!E233= "","",'Australian MTransaction'!E233)</f>
        <v/>
      </c>
      <c r="F233" s="23"/>
      <c r="G233" s="28" t="str">
        <f t="shared" si="20"/>
        <v/>
      </c>
      <c r="H233" s="28" t="str">
        <f>IF(A233="","",COUNTIF($G$2:G233,G233))</f>
        <v/>
      </c>
      <c r="I233" s="28" t="str">
        <f t="shared" si="21"/>
        <v/>
      </c>
      <c r="J233" s="28" t="str">
        <f>IF(G233="","",IF(COUNTIF($G$2:G233,G233)&gt;1,SUMIF($A$2:A233,G233,$C$2:C233),C233))</f>
        <v/>
      </c>
      <c r="K233" s="45" t="str">
        <f>IF(G233="","",IF(COUNTIF($G$2:G233,G233)&gt;1,SUMIF($A$2:A233,G233,$D$2:D233),D233) +SUMIF($G$2:G233,G233,$M$2:M233))</f>
        <v/>
      </c>
      <c r="L233" s="45" t="str">
        <f t="shared" si="22"/>
        <v/>
      </c>
      <c r="M233" s="46" t="str">
        <f>IF(G233="","",IF(B233 = "BUY", 0,(E233-VLOOKUP(CONCATENATE(G233,(H233-1)),$I$2:L232,4,FALSE))*-C233))</f>
        <v/>
      </c>
    </row>
    <row r="234" spans="1:13" ht="15" thickBot="1" x14ac:dyDescent="0.35">
      <c r="A234" s="27" t="str">
        <f>IF('Australian MTransaction'!A234= "","",'Australian MTransaction'!A234)</f>
        <v/>
      </c>
      <c r="B234" s="28" t="str">
        <f>IF('Australian MTransaction'!B234= "","",'Australian MTransaction'!B234)</f>
        <v/>
      </c>
      <c r="C234" s="28" t="str">
        <f>IF('Australian MTransaction'!C234= "","",IF(B234="BUY",'Australian MTransaction'!C234,-'Australian MTransaction'!C234))</f>
        <v/>
      </c>
      <c r="D234" s="28" t="str">
        <f>IF('Australian MTransaction'!D234 = "","",IF($B234 = "BUY", 'Australian MTransaction'!D234,-'Australian MTransaction'!D234))</f>
        <v/>
      </c>
      <c r="E234" s="28" t="str">
        <f>IF('Australian MTransaction'!E234= "","",'Australian MTransaction'!E234)</f>
        <v/>
      </c>
      <c r="F234" s="23"/>
      <c r="G234" s="28" t="str">
        <f t="shared" si="20"/>
        <v/>
      </c>
      <c r="H234" s="28" t="str">
        <f>IF(A234="","",COUNTIF($G$2:G234,G234))</f>
        <v/>
      </c>
      <c r="I234" s="28" t="str">
        <f t="shared" si="21"/>
        <v/>
      </c>
      <c r="J234" s="28" t="str">
        <f>IF(G234="","",IF(COUNTIF($G$2:G234,G234)&gt;1,SUMIF($A$2:A234,G234,$C$2:C234),C234))</f>
        <v/>
      </c>
      <c r="K234" s="45" t="str">
        <f>IF(G234="","",IF(COUNTIF($G$2:G234,G234)&gt;1,SUMIF($A$2:A234,G234,$D$2:D234),D234) +SUMIF($G$2:G234,G234,$M$2:M234))</f>
        <v/>
      </c>
      <c r="L234" s="45" t="str">
        <f t="shared" si="22"/>
        <v/>
      </c>
      <c r="M234" s="46" t="str">
        <f>IF(G234="","",IF(B234 = "BUY", 0,(E234-VLOOKUP(CONCATENATE(G234,(H234-1)),$I$2:L233,4,FALSE))*-C234))</f>
        <v/>
      </c>
    </row>
    <row r="235" spans="1:13" ht="15" thickBot="1" x14ac:dyDescent="0.35">
      <c r="A235" s="27" t="str">
        <f>IF('Australian MTransaction'!A235= "","",'Australian MTransaction'!A235)</f>
        <v/>
      </c>
      <c r="B235" s="28" t="str">
        <f>IF('Australian MTransaction'!B235= "","",'Australian MTransaction'!B235)</f>
        <v/>
      </c>
      <c r="C235" s="28" t="str">
        <f>IF('Australian MTransaction'!C235= "","",IF(B235="BUY",'Australian MTransaction'!C235,-'Australian MTransaction'!C235))</f>
        <v/>
      </c>
      <c r="D235" s="28" t="str">
        <f>IF('Australian MTransaction'!D235 = "","",IF($B235 = "BUY", 'Australian MTransaction'!D235,-'Australian MTransaction'!D235))</f>
        <v/>
      </c>
      <c r="E235" s="28" t="str">
        <f>IF('Australian MTransaction'!E235= "","",'Australian MTransaction'!E235)</f>
        <v/>
      </c>
      <c r="F235" s="23"/>
      <c r="G235" s="28" t="str">
        <f t="shared" si="20"/>
        <v/>
      </c>
      <c r="H235" s="28" t="str">
        <f>IF(A235="","",COUNTIF($G$2:G235,G235))</f>
        <v/>
      </c>
      <c r="I235" s="28" t="str">
        <f t="shared" si="21"/>
        <v/>
      </c>
      <c r="J235" s="28" t="str">
        <f>IF(G235="","",IF(COUNTIF($G$2:G235,G235)&gt;1,SUMIF($A$2:A235,G235,$C$2:C235),C235))</f>
        <v/>
      </c>
      <c r="K235" s="45" t="str">
        <f>IF(G235="","",IF(COUNTIF($G$2:G235,G235)&gt;1,SUMIF($A$2:A235,G235,$D$2:D235),D235) +SUMIF($G$2:G235,G235,$M$2:M235))</f>
        <v/>
      </c>
      <c r="L235" s="45" t="str">
        <f t="shared" si="22"/>
        <v/>
      </c>
      <c r="M235" s="46" t="str">
        <f>IF(G235="","",IF(B235 = "BUY", 0,(E235-VLOOKUP(CONCATENATE(G235,(H235-1)),$I$2:L234,4,FALSE))*-C235))</f>
        <v/>
      </c>
    </row>
    <row r="236" spans="1:13" ht="15" thickBot="1" x14ac:dyDescent="0.35">
      <c r="A236" s="27" t="str">
        <f>IF('Australian MTransaction'!A236= "","",'Australian MTransaction'!A236)</f>
        <v/>
      </c>
      <c r="B236" s="28" t="str">
        <f>IF('Australian MTransaction'!B236= "","",'Australian MTransaction'!B236)</f>
        <v/>
      </c>
      <c r="C236" s="28" t="str">
        <f>IF('Australian MTransaction'!C236= "","",IF(B236="BUY",'Australian MTransaction'!C236,-'Australian MTransaction'!C236))</f>
        <v/>
      </c>
      <c r="D236" s="28" t="str">
        <f>IF('Australian MTransaction'!D236 = "","",IF($B236 = "BUY", 'Australian MTransaction'!D236,-'Australian MTransaction'!D236))</f>
        <v/>
      </c>
      <c r="E236" s="28" t="str">
        <f>IF('Australian MTransaction'!E236= "","",'Australian MTransaction'!E236)</f>
        <v/>
      </c>
      <c r="F236" s="23"/>
      <c r="G236" s="28" t="str">
        <f t="shared" si="20"/>
        <v/>
      </c>
      <c r="H236" s="28" t="str">
        <f>IF(A236="","",COUNTIF($G$2:G236,G236))</f>
        <v/>
      </c>
      <c r="I236" s="28" t="str">
        <f t="shared" si="21"/>
        <v/>
      </c>
      <c r="J236" s="28" t="str">
        <f>IF(G236="","",IF(COUNTIF($G$2:G236,G236)&gt;1,SUMIF($A$2:A236,G236,$C$2:C236),C236))</f>
        <v/>
      </c>
      <c r="K236" s="45" t="str">
        <f>IF(G236="","",IF(COUNTIF($G$2:G236,G236)&gt;1,SUMIF($A$2:A236,G236,$D$2:D236),D236) +SUMIF($G$2:G236,G236,$M$2:M236))</f>
        <v/>
      </c>
      <c r="L236" s="45" t="str">
        <f t="shared" si="22"/>
        <v/>
      </c>
      <c r="M236" s="46" t="str">
        <f>IF(G236="","",IF(B236 = "BUY", 0,(E236-VLOOKUP(CONCATENATE(G236,(H236-1)),$I$2:L235,4,FALSE))*-C236))</f>
        <v/>
      </c>
    </row>
    <row r="237" spans="1:13" ht="15" thickBot="1" x14ac:dyDescent="0.35">
      <c r="A237" s="27" t="str">
        <f>IF('Australian MTransaction'!A237= "","",'Australian MTransaction'!A237)</f>
        <v/>
      </c>
      <c r="B237" s="28" t="str">
        <f>IF('Australian MTransaction'!B237= "","",'Australian MTransaction'!B237)</f>
        <v/>
      </c>
      <c r="C237" s="28" t="str">
        <f>IF('Australian MTransaction'!C237= "","",IF(B237="BUY",'Australian MTransaction'!C237,-'Australian MTransaction'!C237))</f>
        <v/>
      </c>
      <c r="D237" s="28" t="str">
        <f>IF('Australian MTransaction'!D237 = "","",IF($B237 = "BUY", 'Australian MTransaction'!D237,-'Australian MTransaction'!D237))</f>
        <v/>
      </c>
      <c r="E237" s="28" t="str">
        <f>IF('Australian MTransaction'!E237= "","",'Australian MTransaction'!E237)</f>
        <v/>
      </c>
      <c r="F237" s="23"/>
      <c r="G237" s="28" t="str">
        <f t="shared" si="20"/>
        <v/>
      </c>
      <c r="H237" s="28" t="str">
        <f>IF(A237="","",COUNTIF($G$2:G237,G237))</f>
        <v/>
      </c>
      <c r="I237" s="28" t="str">
        <f t="shared" si="21"/>
        <v/>
      </c>
      <c r="J237" s="28" t="str">
        <f>IF(G237="","",IF(COUNTIF($G$2:G237,G237)&gt;1,SUMIF($A$2:A237,G237,$C$2:C237),C237))</f>
        <v/>
      </c>
      <c r="K237" s="45" t="str">
        <f>IF(G237="","",IF(COUNTIF($G$2:G237,G237)&gt;1,SUMIF($A$2:A237,G237,$D$2:D237),D237) +SUMIF($G$2:G237,G237,$M$2:M237))</f>
        <v/>
      </c>
      <c r="L237" s="45" t="str">
        <f t="shared" si="22"/>
        <v/>
      </c>
      <c r="M237" s="46" t="str">
        <f>IF(G237="","",IF(B237 = "BUY", 0,(E237-VLOOKUP(CONCATENATE(G237,(H237-1)),$I$2:L236,4,FALSE))*-C237))</f>
        <v/>
      </c>
    </row>
    <row r="238" spans="1:13" ht="15" thickBot="1" x14ac:dyDescent="0.35">
      <c r="A238" s="27" t="str">
        <f>IF('Australian MTransaction'!A238= "","",'Australian MTransaction'!A238)</f>
        <v/>
      </c>
      <c r="B238" s="28" t="str">
        <f>IF('Australian MTransaction'!B238= "","",'Australian MTransaction'!B238)</f>
        <v/>
      </c>
      <c r="C238" s="28" t="str">
        <f>IF('Australian MTransaction'!C238= "","",IF(B238="BUY",'Australian MTransaction'!C238,-'Australian MTransaction'!C238))</f>
        <v/>
      </c>
      <c r="D238" s="28" t="str">
        <f>IF('Australian MTransaction'!D238 = "","",IF($B238 = "BUY", 'Australian MTransaction'!D238,-'Australian MTransaction'!D238))</f>
        <v/>
      </c>
      <c r="E238" s="28" t="str">
        <f>IF('Australian MTransaction'!E238= "","",'Australian MTransaction'!E238)</f>
        <v/>
      </c>
      <c r="F238" s="23"/>
      <c r="G238" s="28" t="str">
        <f t="shared" si="20"/>
        <v/>
      </c>
      <c r="H238" s="28" t="str">
        <f>IF(A238="","",COUNTIF($G$2:G238,G238))</f>
        <v/>
      </c>
      <c r="I238" s="28" t="str">
        <f t="shared" si="21"/>
        <v/>
      </c>
      <c r="J238" s="28" t="str">
        <f>IF(G238="","",IF(COUNTIF($G$2:G238,G238)&gt;1,SUMIF($A$2:A238,G238,$C$2:C238),C238))</f>
        <v/>
      </c>
      <c r="K238" s="45" t="str">
        <f>IF(G238="","",IF(COUNTIF($G$2:G238,G238)&gt;1,SUMIF($A$2:A238,G238,$D$2:D238),D238) +SUMIF($G$2:G238,G238,$M$2:M238))</f>
        <v/>
      </c>
      <c r="L238" s="45" t="str">
        <f t="shared" si="22"/>
        <v/>
      </c>
      <c r="M238" s="46" t="str">
        <f>IF(G238="","",IF(B238 = "BUY", 0,(E238-VLOOKUP(CONCATENATE(G238,(H238-1)),$I$2:L237,4,FALSE))*-C238))</f>
        <v/>
      </c>
    </row>
    <row r="239" spans="1:13" ht="15" thickBot="1" x14ac:dyDescent="0.35">
      <c r="A239" s="27" t="str">
        <f>IF('Australian MTransaction'!A239= "","",'Australian MTransaction'!A239)</f>
        <v/>
      </c>
      <c r="B239" s="28" t="str">
        <f>IF('Australian MTransaction'!B239= "","",'Australian MTransaction'!B239)</f>
        <v/>
      </c>
      <c r="C239" s="28" t="str">
        <f>IF('Australian MTransaction'!C239= "","",IF(B239="BUY",'Australian MTransaction'!C239,-'Australian MTransaction'!C239))</f>
        <v/>
      </c>
      <c r="D239" s="28" t="str">
        <f>IF('Australian MTransaction'!D239 = "","",IF($B239 = "BUY", 'Australian MTransaction'!D239,-'Australian MTransaction'!D239))</f>
        <v/>
      </c>
      <c r="E239" s="28" t="str">
        <f>IF('Australian MTransaction'!E239= "","",'Australian MTransaction'!E239)</f>
        <v/>
      </c>
      <c r="F239" s="23"/>
      <c r="G239" s="28" t="str">
        <f t="shared" si="20"/>
        <v/>
      </c>
      <c r="H239" s="28" t="str">
        <f>IF(A239="","",COUNTIF($G$2:G239,G239))</f>
        <v/>
      </c>
      <c r="I239" s="28" t="str">
        <f t="shared" si="21"/>
        <v/>
      </c>
      <c r="J239" s="28" t="str">
        <f>IF(G239="","",IF(COUNTIF($G$2:G239,G239)&gt;1,SUMIF($A$2:A239,G239,$C$2:C239),C239))</f>
        <v/>
      </c>
      <c r="K239" s="45" t="str">
        <f>IF(G239="","",IF(COUNTIF($G$2:G239,G239)&gt;1,SUMIF($A$2:A239,G239,$D$2:D239),D239) +SUMIF($G$2:G239,G239,$M$2:M239))</f>
        <v/>
      </c>
      <c r="L239" s="45" t="str">
        <f t="shared" si="22"/>
        <v/>
      </c>
      <c r="M239" s="46" t="str">
        <f>IF(G239="","",IF(B239 = "BUY", 0,(E239-VLOOKUP(CONCATENATE(G239,(H239-1)),$I$2:L238,4,FALSE))*-C239))</f>
        <v/>
      </c>
    </row>
    <row r="240" spans="1:13" ht="15" thickBot="1" x14ac:dyDescent="0.35">
      <c r="A240" s="27" t="str">
        <f>IF('Australian MTransaction'!A240= "","",'Australian MTransaction'!A240)</f>
        <v/>
      </c>
      <c r="B240" s="28" t="str">
        <f>IF('Australian MTransaction'!B240= "","",'Australian MTransaction'!B240)</f>
        <v/>
      </c>
      <c r="C240" s="28" t="str">
        <f>IF('Australian MTransaction'!C240= "","",IF(B240="BUY",'Australian MTransaction'!C240,-'Australian MTransaction'!C240))</f>
        <v/>
      </c>
      <c r="D240" s="28" t="str">
        <f>IF('Australian MTransaction'!D240 = "","",IF($B240 = "BUY", 'Australian MTransaction'!D240,-'Australian MTransaction'!D240))</f>
        <v/>
      </c>
      <c r="E240" s="28" t="str">
        <f>IF('Australian MTransaction'!E240= "","",'Australian MTransaction'!E240)</f>
        <v/>
      </c>
      <c r="F240" s="23"/>
      <c r="G240" s="28" t="str">
        <f t="shared" si="20"/>
        <v/>
      </c>
      <c r="H240" s="28" t="str">
        <f>IF(A240="","",COUNTIF($G$2:G240,G240))</f>
        <v/>
      </c>
      <c r="I240" s="28" t="str">
        <f t="shared" si="21"/>
        <v/>
      </c>
      <c r="J240" s="28" t="str">
        <f>IF(G240="","",IF(COUNTIF($G$2:G240,G240)&gt;1,SUMIF($A$2:A240,G240,$C$2:C240),C240))</f>
        <v/>
      </c>
      <c r="K240" s="45" t="str">
        <f>IF(G240="","",IF(COUNTIF($G$2:G240,G240)&gt;1,SUMIF($A$2:A240,G240,$D$2:D240),D240) +SUMIF($G$2:G240,G240,$M$2:M240))</f>
        <v/>
      </c>
      <c r="L240" s="45" t="str">
        <f t="shared" si="22"/>
        <v/>
      </c>
      <c r="M240" s="46" t="str">
        <f>IF(G240="","",IF(B240 = "BUY", 0,(E240-VLOOKUP(CONCATENATE(G240,(H240-1)),$I$2:L239,4,FALSE))*-C240))</f>
        <v/>
      </c>
    </row>
    <row r="241" spans="1:13" ht="15" thickBot="1" x14ac:dyDescent="0.35">
      <c r="A241" s="27" t="str">
        <f>IF('Australian MTransaction'!A241= "","",'Australian MTransaction'!A241)</f>
        <v/>
      </c>
      <c r="B241" s="28" t="str">
        <f>IF('Australian MTransaction'!B241= "","",'Australian MTransaction'!B241)</f>
        <v/>
      </c>
      <c r="C241" s="28" t="str">
        <f>IF('Australian MTransaction'!C241= "","",IF(B241="BUY",'Australian MTransaction'!C241,-'Australian MTransaction'!C241))</f>
        <v/>
      </c>
      <c r="D241" s="28" t="str">
        <f>IF('Australian MTransaction'!D241 = "","",IF($B241 = "BUY", 'Australian MTransaction'!D241,-'Australian MTransaction'!D241))</f>
        <v/>
      </c>
      <c r="E241" s="28" t="str">
        <f>IF('Australian MTransaction'!E241= "","",'Australian MTransaction'!E241)</f>
        <v/>
      </c>
      <c r="F241" s="23"/>
      <c r="G241" s="28" t="str">
        <f t="shared" si="20"/>
        <v/>
      </c>
      <c r="H241" s="28" t="str">
        <f>IF(A241="","",COUNTIF($G$2:G241,G241))</f>
        <v/>
      </c>
      <c r="I241" s="28" t="str">
        <f t="shared" si="21"/>
        <v/>
      </c>
      <c r="J241" s="28" t="str">
        <f>IF(G241="","",IF(COUNTIF($G$2:G241,G241)&gt;1,SUMIF($A$2:A241,G241,$C$2:C241),C241))</f>
        <v/>
      </c>
      <c r="K241" s="45" t="str">
        <f>IF(G241="","",IF(COUNTIF($G$2:G241,G241)&gt;1,SUMIF($A$2:A241,G241,$D$2:D241),D241) +SUMIF($G$2:G241,G241,$M$2:M241))</f>
        <v/>
      </c>
      <c r="L241" s="45" t="str">
        <f t="shared" si="22"/>
        <v/>
      </c>
      <c r="M241" s="46" t="str">
        <f>IF(G241="","",IF(B241 = "BUY", 0,(E241-VLOOKUP(CONCATENATE(G241,(H241-1)),$I$2:L240,4,FALSE))*-C241))</f>
        <v/>
      </c>
    </row>
    <row r="242" spans="1:13" ht="15" thickBot="1" x14ac:dyDescent="0.35">
      <c r="A242" s="27" t="str">
        <f>IF('Australian MTransaction'!A242= "","",'Australian MTransaction'!A242)</f>
        <v/>
      </c>
      <c r="B242" s="28" t="str">
        <f>IF('Australian MTransaction'!B242= "","",'Australian MTransaction'!B242)</f>
        <v/>
      </c>
      <c r="C242" s="28" t="str">
        <f>IF('Australian MTransaction'!C242= "","",IF(B242="BUY",'Australian MTransaction'!C242,-'Australian MTransaction'!C242))</f>
        <v/>
      </c>
      <c r="D242" s="28" t="str">
        <f>IF('Australian MTransaction'!D242 = "","",IF($B242 = "BUY", 'Australian MTransaction'!D242,-'Australian MTransaction'!D242))</f>
        <v/>
      </c>
      <c r="E242" s="28" t="str">
        <f>IF('Australian MTransaction'!E242= "","",'Australian MTransaction'!E242)</f>
        <v/>
      </c>
      <c r="F242" s="23"/>
      <c r="G242" s="28" t="str">
        <f t="shared" si="20"/>
        <v/>
      </c>
      <c r="H242" s="28" t="str">
        <f>IF(A242="","",COUNTIF($G$2:G242,G242))</f>
        <v/>
      </c>
      <c r="I242" s="28" t="str">
        <f t="shared" si="21"/>
        <v/>
      </c>
      <c r="J242" s="28" t="str">
        <f>IF(G242="","",IF(COUNTIF($G$2:G242,G242)&gt;1,SUMIF($A$2:A242,G242,$C$2:C242),C242))</f>
        <v/>
      </c>
      <c r="K242" s="45" t="str">
        <f>IF(G242="","",IF(COUNTIF($G$2:G242,G242)&gt;1,SUMIF($A$2:A242,G242,$D$2:D242),D242) +SUMIF($G$2:G242,G242,$M$2:M242))</f>
        <v/>
      </c>
      <c r="L242" s="45" t="str">
        <f t="shared" si="22"/>
        <v/>
      </c>
      <c r="M242" s="46" t="str">
        <f>IF(G242="","",IF(B242 = "BUY", 0,(E242-VLOOKUP(CONCATENATE(G242,(H242-1)),$I$2:L241,4,FALSE))*-C242))</f>
        <v/>
      </c>
    </row>
    <row r="243" spans="1:13" ht="15" thickBot="1" x14ac:dyDescent="0.35">
      <c r="A243" s="27" t="str">
        <f>IF('Australian MTransaction'!A243= "","",'Australian MTransaction'!A243)</f>
        <v/>
      </c>
      <c r="B243" s="28" t="str">
        <f>IF('Australian MTransaction'!B243= "","",'Australian MTransaction'!B243)</f>
        <v/>
      </c>
      <c r="C243" s="28" t="str">
        <f>IF('Australian MTransaction'!C243= "","",IF(B243="BUY",'Australian MTransaction'!C243,-'Australian MTransaction'!C243))</f>
        <v/>
      </c>
      <c r="D243" s="28" t="str">
        <f>IF('Australian MTransaction'!D243 = "","",IF($B243 = "BUY", 'Australian MTransaction'!D243,-'Australian MTransaction'!D243))</f>
        <v/>
      </c>
      <c r="E243" s="28" t="str">
        <f>IF('Australian MTransaction'!E243= "","",'Australian MTransaction'!E243)</f>
        <v/>
      </c>
      <c r="F243" s="23"/>
      <c r="G243" s="28" t="str">
        <f t="shared" si="20"/>
        <v/>
      </c>
      <c r="H243" s="28" t="str">
        <f>IF(A243="","",COUNTIF($G$2:G243,G243))</f>
        <v/>
      </c>
      <c r="I243" s="28" t="str">
        <f t="shared" si="21"/>
        <v/>
      </c>
      <c r="J243" s="28" t="str">
        <f>IF(G243="","",IF(COUNTIF($G$2:G243,G243)&gt;1,SUMIF($A$2:A243,G243,$C$2:C243),C243))</f>
        <v/>
      </c>
      <c r="K243" s="45" t="str">
        <f>IF(G243="","",IF(COUNTIF($G$2:G243,G243)&gt;1,SUMIF($A$2:A243,G243,$D$2:D243),D243) +SUMIF($G$2:G243,G243,$M$2:M243))</f>
        <v/>
      </c>
      <c r="L243" s="45" t="str">
        <f t="shared" si="22"/>
        <v/>
      </c>
      <c r="M243" s="46" t="str">
        <f>IF(G243="","",IF(B243 = "BUY", 0,(E243-VLOOKUP(CONCATENATE(G243,(H243-1)),$I$2:L242,4,FALSE))*-C243))</f>
        <v/>
      </c>
    </row>
    <row r="244" spans="1:13" ht="15" thickBot="1" x14ac:dyDescent="0.35">
      <c r="A244" s="27" t="str">
        <f>IF('Australian MTransaction'!A244= "","",'Australian MTransaction'!A244)</f>
        <v/>
      </c>
      <c r="B244" s="28" t="str">
        <f>IF('Australian MTransaction'!B244= "","",'Australian MTransaction'!B244)</f>
        <v/>
      </c>
      <c r="C244" s="28" t="str">
        <f>IF('Australian MTransaction'!C244= "","",IF(B244="BUY",'Australian MTransaction'!C244,-'Australian MTransaction'!C244))</f>
        <v/>
      </c>
      <c r="D244" s="28" t="str">
        <f>IF('Australian MTransaction'!D244 = "","",IF($B244 = "BUY", 'Australian MTransaction'!D244,-'Australian MTransaction'!D244))</f>
        <v/>
      </c>
      <c r="E244" s="28" t="str">
        <f>IF('Australian MTransaction'!E244= "","",'Australian MTransaction'!E244)</f>
        <v/>
      </c>
      <c r="F244" s="23"/>
      <c r="G244" s="28" t="str">
        <f t="shared" si="20"/>
        <v/>
      </c>
      <c r="H244" s="28" t="str">
        <f>IF(A244="","",COUNTIF($G$2:G244,G244))</f>
        <v/>
      </c>
      <c r="I244" s="28" t="str">
        <f t="shared" si="21"/>
        <v/>
      </c>
      <c r="J244" s="28" t="str">
        <f>IF(G244="","",IF(COUNTIF($G$2:G244,G244)&gt;1,SUMIF($A$2:A244,G244,$C$2:C244),C244))</f>
        <v/>
      </c>
      <c r="K244" s="45" t="str">
        <f>IF(G244="","",IF(COUNTIF($G$2:G244,G244)&gt;1,SUMIF($A$2:A244,G244,$D$2:D244),D244) +SUMIF($G$2:G244,G244,$M$2:M244))</f>
        <v/>
      </c>
      <c r="L244" s="45" t="str">
        <f t="shared" si="22"/>
        <v/>
      </c>
      <c r="M244" s="46" t="str">
        <f>IF(G244="","",IF(B244 = "BUY", 0,(E244-VLOOKUP(CONCATENATE(G244,(H244-1)),$I$2:L243,4,FALSE))*-C244))</f>
        <v/>
      </c>
    </row>
    <row r="245" spans="1:13" ht="15" thickBot="1" x14ac:dyDescent="0.35">
      <c r="A245" s="27" t="str">
        <f>IF('Australian MTransaction'!A245= "","",'Australian MTransaction'!A245)</f>
        <v/>
      </c>
      <c r="B245" s="28" t="str">
        <f>IF('Australian MTransaction'!B245= "","",'Australian MTransaction'!B245)</f>
        <v/>
      </c>
      <c r="C245" s="28" t="str">
        <f>IF('Australian MTransaction'!C245= "","",IF(B245="BUY",'Australian MTransaction'!C245,-'Australian MTransaction'!C245))</f>
        <v/>
      </c>
      <c r="D245" s="28" t="str">
        <f>IF('Australian MTransaction'!D245 = "","",IF($B245 = "BUY", 'Australian MTransaction'!D245,-'Australian MTransaction'!D245))</f>
        <v/>
      </c>
      <c r="E245" s="28" t="str">
        <f>IF('Australian MTransaction'!E245= "","",'Australian MTransaction'!E245)</f>
        <v/>
      </c>
      <c r="F245" s="23"/>
      <c r="G245" s="28" t="str">
        <f t="shared" si="20"/>
        <v/>
      </c>
      <c r="H245" s="28" t="str">
        <f>IF(A245="","",COUNTIF($G$2:G245,G245))</f>
        <v/>
      </c>
      <c r="I245" s="28" t="str">
        <f t="shared" si="21"/>
        <v/>
      </c>
      <c r="J245" s="28" t="str">
        <f>IF(G245="","",IF(COUNTIF($G$2:G245,G245)&gt;1,SUMIF($A$2:A245,G245,$C$2:C245),C245))</f>
        <v/>
      </c>
      <c r="K245" s="45" t="str">
        <f>IF(G245="","",IF(COUNTIF($G$2:G245,G245)&gt;1,SUMIF($A$2:A245,G245,$D$2:D245),D245) +SUMIF($G$2:G245,G245,$M$2:M245))</f>
        <v/>
      </c>
      <c r="L245" s="45" t="str">
        <f t="shared" si="22"/>
        <v/>
      </c>
      <c r="M245" s="46" t="str">
        <f>IF(G245="","",IF(B245 = "BUY", 0,(E245-VLOOKUP(CONCATENATE(G245,(H245-1)),$I$2:L244,4,FALSE))*-C245))</f>
        <v/>
      </c>
    </row>
    <row r="246" spans="1:13" ht="15" thickBot="1" x14ac:dyDescent="0.35">
      <c r="A246" s="27" t="str">
        <f>IF('Australian MTransaction'!A246= "","",'Australian MTransaction'!A246)</f>
        <v/>
      </c>
      <c r="B246" s="28" t="str">
        <f>IF('Australian MTransaction'!B246= "","",'Australian MTransaction'!B246)</f>
        <v/>
      </c>
      <c r="C246" s="28" t="str">
        <f>IF('Australian MTransaction'!C246= "","",IF(B246="BUY",'Australian MTransaction'!C246,-'Australian MTransaction'!C246))</f>
        <v/>
      </c>
      <c r="D246" s="28" t="str">
        <f>IF('Australian MTransaction'!D246 = "","",IF($B246 = "BUY", 'Australian MTransaction'!D246,-'Australian MTransaction'!D246))</f>
        <v/>
      </c>
      <c r="E246" s="28" t="str">
        <f>IF('Australian MTransaction'!E246= "","",'Australian MTransaction'!E246)</f>
        <v/>
      </c>
      <c r="F246" s="23"/>
      <c r="G246" s="28" t="str">
        <f t="shared" si="20"/>
        <v/>
      </c>
      <c r="H246" s="28" t="str">
        <f>IF(A246="","",COUNTIF($G$2:G246,G246))</f>
        <v/>
      </c>
      <c r="I246" s="28" t="str">
        <f t="shared" si="21"/>
        <v/>
      </c>
      <c r="J246" s="28" t="str">
        <f>IF(G246="","",IF(COUNTIF($G$2:G246,G246)&gt;1,SUMIF($A$2:A246,G246,$C$2:C246),C246))</f>
        <v/>
      </c>
      <c r="K246" s="45" t="str">
        <f>IF(G246="","",IF(COUNTIF($G$2:G246,G246)&gt;1,SUMIF($A$2:A246,G246,$D$2:D246),D246) +SUMIF($G$2:G246,G246,$M$2:M246))</f>
        <v/>
      </c>
      <c r="L246" s="45" t="str">
        <f t="shared" si="22"/>
        <v/>
      </c>
      <c r="M246" s="46" t="str">
        <f>IF(G246="","",IF(B246 = "BUY", 0,(E246-VLOOKUP(CONCATENATE(G246,(H246-1)),$I$2:L245,4,FALSE))*-C246))</f>
        <v/>
      </c>
    </row>
    <row r="247" spans="1:13" ht="15" thickBot="1" x14ac:dyDescent="0.35">
      <c r="A247" s="27" t="str">
        <f>IF('Australian MTransaction'!A247= "","",'Australian MTransaction'!A247)</f>
        <v/>
      </c>
      <c r="B247" s="28" t="str">
        <f>IF('Australian MTransaction'!B247= "","",'Australian MTransaction'!B247)</f>
        <v/>
      </c>
      <c r="C247" s="28" t="str">
        <f>IF('Australian MTransaction'!C247= "","",IF(B247="BUY",'Australian MTransaction'!C247,-'Australian MTransaction'!C247))</f>
        <v/>
      </c>
      <c r="D247" s="28" t="str">
        <f>IF('Australian MTransaction'!D247 = "","",IF($B247 = "BUY", 'Australian MTransaction'!D247,-'Australian MTransaction'!D247))</f>
        <v/>
      </c>
      <c r="E247" s="28" t="str">
        <f>IF('Australian MTransaction'!E247= "","",'Australian MTransaction'!E247)</f>
        <v/>
      </c>
      <c r="F247" s="23"/>
      <c r="G247" s="28" t="str">
        <f t="shared" si="20"/>
        <v/>
      </c>
      <c r="H247" s="28" t="str">
        <f>IF(A247="","",COUNTIF($G$2:G247,G247))</f>
        <v/>
      </c>
      <c r="I247" s="28" t="str">
        <f t="shared" si="21"/>
        <v/>
      </c>
      <c r="J247" s="28" t="str">
        <f>IF(G247="","",IF(COUNTIF($G$2:G247,G247)&gt;1,SUMIF($A$2:A247,G247,$C$2:C247),C247))</f>
        <v/>
      </c>
      <c r="K247" s="45" t="str">
        <f>IF(G247="","",IF(COUNTIF($G$2:G247,G247)&gt;1,SUMIF($A$2:A247,G247,$D$2:D247),D247) +SUMIF($G$2:G247,G247,$M$2:M247))</f>
        <v/>
      </c>
      <c r="L247" s="45" t="str">
        <f t="shared" si="22"/>
        <v/>
      </c>
      <c r="M247" s="46" t="str">
        <f>IF(G247="","",IF(B247 = "BUY", 0,(E247-VLOOKUP(CONCATENATE(G247,(H247-1)),$I$2:L246,4,FALSE))*-C247))</f>
        <v/>
      </c>
    </row>
    <row r="248" spans="1:13" ht="15" thickBot="1" x14ac:dyDescent="0.35">
      <c r="A248" s="27" t="str">
        <f>IF('Australian MTransaction'!A248= "","",'Australian MTransaction'!A248)</f>
        <v/>
      </c>
      <c r="B248" s="28" t="str">
        <f>IF('Australian MTransaction'!B248= "","",'Australian MTransaction'!B248)</f>
        <v/>
      </c>
      <c r="C248" s="28" t="str">
        <f>IF('Australian MTransaction'!C248= "","",IF(B248="BUY",'Australian MTransaction'!C248,-'Australian MTransaction'!C248))</f>
        <v/>
      </c>
      <c r="D248" s="28" t="str">
        <f>IF('Australian MTransaction'!D248 = "","",IF($B248 = "BUY", 'Australian MTransaction'!D248,-'Australian MTransaction'!D248))</f>
        <v/>
      </c>
      <c r="E248" s="28" t="str">
        <f>IF('Australian MTransaction'!E248= "","",'Australian MTransaction'!E248)</f>
        <v/>
      </c>
      <c r="F248" s="23"/>
      <c r="G248" s="28" t="str">
        <f t="shared" si="20"/>
        <v/>
      </c>
      <c r="H248" s="28" t="str">
        <f>IF(A248="","",COUNTIF($G$2:G248,G248))</f>
        <v/>
      </c>
      <c r="I248" s="28" t="str">
        <f t="shared" si="21"/>
        <v/>
      </c>
      <c r="J248" s="28" t="str">
        <f>IF(G248="","",IF(COUNTIF($G$2:G248,G248)&gt;1,SUMIF($A$2:A248,G248,$C$2:C248),C248))</f>
        <v/>
      </c>
      <c r="K248" s="45" t="str">
        <f>IF(G248="","",IF(COUNTIF($G$2:G248,G248)&gt;1,SUMIF($A$2:A248,G248,$D$2:D248),D248) +SUMIF($G$2:G248,G248,$M$2:M248))</f>
        <v/>
      </c>
      <c r="L248" s="45" t="str">
        <f t="shared" si="22"/>
        <v/>
      </c>
      <c r="M248" s="46" t="str">
        <f>IF(G248="","",IF(B248 = "BUY", 0,(E248-VLOOKUP(CONCATENATE(G248,(H248-1)),$I$2:L247,4,FALSE))*-C248))</f>
        <v/>
      </c>
    </row>
    <row r="249" spans="1:13" ht="15" thickBot="1" x14ac:dyDescent="0.35">
      <c r="A249" s="27" t="str">
        <f>IF('Australian MTransaction'!A249= "","",'Australian MTransaction'!A249)</f>
        <v/>
      </c>
      <c r="B249" s="28" t="str">
        <f>IF('Australian MTransaction'!B249= "","",'Australian MTransaction'!B249)</f>
        <v/>
      </c>
      <c r="C249" s="28" t="str">
        <f>IF('Australian MTransaction'!C249= "","",IF(B249="BUY",'Australian MTransaction'!C249,-'Australian MTransaction'!C249))</f>
        <v/>
      </c>
      <c r="D249" s="28" t="str">
        <f>IF('Australian MTransaction'!D249 = "","",IF($B249 = "BUY", 'Australian MTransaction'!D249,-'Australian MTransaction'!D249))</f>
        <v/>
      </c>
      <c r="E249" s="28" t="str">
        <f>IF('Australian MTransaction'!E249= "","",'Australian MTransaction'!E249)</f>
        <v/>
      </c>
      <c r="F249" s="23"/>
      <c r="G249" s="28" t="str">
        <f t="shared" si="20"/>
        <v/>
      </c>
      <c r="H249" s="28" t="str">
        <f>IF(A249="","",COUNTIF($G$2:G249,G249))</f>
        <v/>
      </c>
      <c r="I249" s="28" t="str">
        <f t="shared" si="21"/>
        <v/>
      </c>
      <c r="J249" s="28" t="str">
        <f>IF(G249="","",IF(COUNTIF($G$2:G249,G249)&gt;1,SUMIF($A$2:A249,G249,$C$2:C249),C249))</f>
        <v/>
      </c>
      <c r="K249" s="45" t="str">
        <f>IF(G249="","",IF(COUNTIF($G$2:G249,G249)&gt;1,SUMIF($A$2:A249,G249,$D$2:D249),D249) +SUMIF($G$2:G249,G249,$M$2:M249))</f>
        <v/>
      </c>
      <c r="L249" s="45" t="str">
        <f t="shared" si="22"/>
        <v/>
      </c>
      <c r="M249" s="46" t="str">
        <f>IF(G249="","",IF(B249 = "BUY", 0,(E249-VLOOKUP(CONCATENATE(G249,(H249-1)),$I$2:L248,4,FALSE))*-C249))</f>
        <v/>
      </c>
    </row>
    <row r="250" spans="1:13" ht="15" thickBot="1" x14ac:dyDescent="0.35">
      <c r="A250" s="27" t="str">
        <f>IF('Australian MTransaction'!A250= "","",'Australian MTransaction'!A250)</f>
        <v/>
      </c>
      <c r="B250" s="28" t="str">
        <f>IF('Australian MTransaction'!B250= "","",'Australian MTransaction'!B250)</f>
        <v/>
      </c>
      <c r="C250" s="28" t="str">
        <f>IF('Australian MTransaction'!C250= "","",IF(B250="BUY",'Australian MTransaction'!C250,-'Australian MTransaction'!C250))</f>
        <v/>
      </c>
      <c r="D250" s="28" t="str">
        <f>IF('Australian MTransaction'!D250 = "","",IF($B250 = "BUY", 'Australian MTransaction'!D250,-'Australian MTransaction'!D250))</f>
        <v/>
      </c>
      <c r="E250" s="28" t="str">
        <f>IF('Australian MTransaction'!E250= "","",'Australian MTransaction'!E250)</f>
        <v/>
      </c>
      <c r="F250" s="23"/>
      <c r="G250" s="28" t="str">
        <f t="shared" si="20"/>
        <v/>
      </c>
      <c r="H250" s="28" t="str">
        <f>IF(A250="","",COUNTIF($G$2:G250,G250))</f>
        <v/>
      </c>
      <c r="I250" s="28" t="str">
        <f t="shared" si="21"/>
        <v/>
      </c>
      <c r="J250" s="28" t="str">
        <f>IF(G250="","",IF(COUNTIF($G$2:G250,G250)&gt;1,SUMIF($A$2:A250,G250,$C$2:C250),C250))</f>
        <v/>
      </c>
      <c r="K250" s="45" t="str">
        <f>IF(G250="","",IF(COUNTIF($G$2:G250,G250)&gt;1,SUMIF($A$2:A250,G250,$D$2:D250),D250) +SUMIF($G$2:G250,G250,$M$2:M250))</f>
        <v/>
      </c>
      <c r="L250" s="45" t="str">
        <f t="shared" si="22"/>
        <v/>
      </c>
      <c r="M250" s="46" t="str">
        <f>IF(G250="","",IF(B250 = "BUY", 0,(E250-VLOOKUP(CONCATENATE(G250,(H250-1)),$I$2:L249,4,FALSE))*-C250))</f>
        <v/>
      </c>
    </row>
    <row r="251" spans="1:13" ht="15" thickBot="1" x14ac:dyDescent="0.35">
      <c r="A251" s="27" t="str">
        <f>IF('Australian MTransaction'!A251= "","",'Australian MTransaction'!A251)</f>
        <v/>
      </c>
      <c r="B251" s="28" t="str">
        <f>IF('Australian MTransaction'!B251= "","",'Australian MTransaction'!B251)</f>
        <v/>
      </c>
      <c r="C251" s="28" t="str">
        <f>IF('Australian MTransaction'!C251= "","",IF(B251="BUY",'Australian MTransaction'!C251,-'Australian MTransaction'!C251))</f>
        <v/>
      </c>
      <c r="D251" s="28" t="str">
        <f>IF('Australian MTransaction'!D251 = "","",IF($B251 = "BUY", 'Australian MTransaction'!D251,-'Australian MTransaction'!D251))</f>
        <v/>
      </c>
      <c r="E251" s="28" t="str">
        <f>IF('Australian MTransaction'!E251= "","",'Australian MTransaction'!E251)</f>
        <v/>
      </c>
      <c r="F251" s="23"/>
      <c r="G251" s="28" t="str">
        <f t="shared" si="20"/>
        <v/>
      </c>
      <c r="H251" s="28" t="str">
        <f>IF(A251="","",COUNTIF($G$2:G251,G251))</f>
        <v/>
      </c>
      <c r="I251" s="28" t="str">
        <f t="shared" si="21"/>
        <v/>
      </c>
      <c r="J251" s="28" t="str">
        <f>IF(G251="","",IF(COUNTIF($G$2:G251,G251)&gt;1,SUMIF($A$2:A251,G251,$C$2:C251),C251))</f>
        <v/>
      </c>
      <c r="K251" s="45" t="str">
        <f>IF(G251="","",IF(COUNTIF($G$2:G251,G251)&gt;1,SUMIF($A$2:A251,G251,$D$2:D251),D251) +SUMIF($G$2:G251,G251,$M$2:M251))</f>
        <v/>
      </c>
      <c r="L251" s="45" t="str">
        <f t="shared" si="22"/>
        <v/>
      </c>
      <c r="M251" s="46" t="str">
        <f>IF(G251="","",IF(B251 = "BUY", 0,(E251-VLOOKUP(CONCATENATE(G251,(H251-1)),$I$2:L250,4,FALSE))*-C251))</f>
        <v/>
      </c>
    </row>
    <row r="252" spans="1:13" ht="15" thickBot="1" x14ac:dyDescent="0.35">
      <c r="A252" s="27" t="str">
        <f>IF('Australian MTransaction'!A252= "","",'Australian MTransaction'!A252)</f>
        <v/>
      </c>
      <c r="B252" s="28" t="str">
        <f>IF('Australian MTransaction'!B252= "","",'Australian MTransaction'!B252)</f>
        <v/>
      </c>
      <c r="C252" s="28" t="str">
        <f>IF('Australian MTransaction'!C252= "","",IF(B252="BUY",'Australian MTransaction'!C252,-'Australian MTransaction'!C252))</f>
        <v/>
      </c>
      <c r="D252" s="28" t="str">
        <f>IF('Australian MTransaction'!D252 = "","",IF($B252 = "BUY", 'Australian MTransaction'!D252,-'Australian MTransaction'!D252))</f>
        <v/>
      </c>
      <c r="E252" s="28" t="str">
        <f>IF('Australian MTransaction'!E252= "","",'Australian MTransaction'!E252)</f>
        <v/>
      </c>
      <c r="F252" s="23"/>
      <c r="G252" s="28" t="str">
        <f t="shared" si="20"/>
        <v/>
      </c>
      <c r="H252" s="28" t="str">
        <f>IF(A252="","",COUNTIF($G$2:G252,G252))</f>
        <v/>
      </c>
      <c r="I252" s="28" t="str">
        <f t="shared" si="21"/>
        <v/>
      </c>
      <c r="J252" s="28" t="str">
        <f>IF(G252="","",IF(COUNTIF($G$2:G252,G252)&gt;1,SUMIF($A$2:A252,G252,$C$2:C252),C252))</f>
        <v/>
      </c>
      <c r="K252" s="45" t="str">
        <f>IF(G252="","",IF(COUNTIF($G$2:G252,G252)&gt;1,SUMIF($A$2:A252,G252,$D$2:D252),D252) +SUMIF($G$2:G252,G252,$M$2:M252))</f>
        <v/>
      </c>
      <c r="L252" s="45" t="str">
        <f t="shared" si="22"/>
        <v/>
      </c>
      <c r="M252" s="46" t="str">
        <f>IF(G252="","",IF(B252 = "BUY", 0,(E252-VLOOKUP(CONCATENATE(G252,(H252-1)),$I$2:L251,4,FALSE))*-C252))</f>
        <v/>
      </c>
    </row>
    <row r="253" spans="1:13" ht="15" thickBot="1" x14ac:dyDescent="0.35">
      <c r="A253" s="27" t="str">
        <f>IF('Australian MTransaction'!A253= "","",'Australian MTransaction'!A253)</f>
        <v/>
      </c>
      <c r="B253" s="28" t="str">
        <f>IF('Australian MTransaction'!B253= "","",'Australian MTransaction'!B253)</f>
        <v/>
      </c>
      <c r="C253" s="28" t="str">
        <f>IF('Australian MTransaction'!C253= "","",IF(B253="BUY",'Australian MTransaction'!C253,-'Australian MTransaction'!C253))</f>
        <v/>
      </c>
      <c r="D253" s="28" t="str">
        <f>IF('Australian MTransaction'!D253 = "","",IF($B253 = "BUY", 'Australian MTransaction'!D253,-'Australian MTransaction'!D253))</f>
        <v/>
      </c>
      <c r="E253" s="28" t="str">
        <f>IF('Australian MTransaction'!E253= "","",'Australian MTransaction'!E253)</f>
        <v/>
      </c>
      <c r="F253" s="23"/>
      <c r="G253" s="28" t="str">
        <f t="shared" si="20"/>
        <v/>
      </c>
      <c r="H253" s="28" t="str">
        <f>IF(A253="","",COUNTIF($G$2:G253,G253))</f>
        <v/>
      </c>
      <c r="I253" s="28" t="str">
        <f t="shared" si="21"/>
        <v/>
      </c>
      <c r="J253" s="28" t="str">
        <f>IF(G253="","",IF(COUNTIF($G$2:G253,G253)&gt;1,SUMIF($A$2:A253,G253,$C$2:C253),C253))</f>
        <v/>
      </c>
      <c r="K253" s="45" t="str">
        <f>IF(G253="","",IF(COUNTIF($G$2:G253,G253)&gt;1,SUMIF($A$2:A253,G253,$D$2:D253),D253) +SUMIF($G$2:G253,G253,$M$2:M253))</f>
        <v/>
      </c>
      <c r="L253" s="45" t="str">
        <f t="shared" si="22"/>
        <v/>
      </c>
      <c r="M253" s="46" t="str">
        <f>IF(G253="","",IF(B253 = "BUY", 0,(E253-VLOOKUP(CONCATENATE(G253,(H253-1)),$I$2:L252,4,FALSE))*-C253))</f>
        <v/>
      </c>
    </row>
    <row r="254" spans="1:13" ht="15" thickBot="1" x14ac:dyDescent="0.35">
      <c r="A254" s="27" t="str">
        <f>IF('Australian MTransaction'!A254= "","",'Australian MTransaction'!A254)</f>
        <v/>
      </c>
      <c r="B254" s="28" t="str">
        <f>IF('Australian MTransaction'!B254= "","",'Australian MTransaction'!B254)</f>
        <v/>
      </c>
      <c r="C254" s="28" t="str">
        <f>IF('Australian MTransaction'!C254= "","",IF(B254="BUY",'Australian MTransaction'!C254,-'Australian MTransaction'!C254))</f>
        <v/>
      </c>
      <c r="D254" s="28" t="str">
        <f>IF('Australian MTransaction'!D254 = "","",IF($B254 = "BUY", 'Australian MTransaction'!D254,-'Australian MTransaction'!D254))</f>
        <v/>
      </c>
      <c r="E254" s="28" t="str">
        <f>IF('Australian MTransaction'!E254= "","",'Australian MTransaction'!E254)</f>
        <v/>
      </c>
      <c r="F254" s="23"/>
      <c r="G254" s="28" t="str">
        <f t="shared" si="20"/>
        <v/>
      </c>
      <c r="H254" s="28" t="str">
        <f>IF(A254="","",COUNTIF($G$2:G254,G254))</f>
        <v/>
      </c>
      <c r="I254" s="28" t="str">
        <f t="shared" si="21"/>
        <v/>
      </c>
      <c r="J254" s="28" t="str">
        <f>IF(G254="","",IF(COUNTIF($G$2:G254,G254)&gt;1,SUMIF($A$2:A254,G254,$C$2:C254),C254))</f>
        <v/>
      </c>
      <c r="K254" s="45" t="str">
        <f>IF(G254="","",IF(COUNTIF($G$2:G254,G254)&gt;1,SUMIF($A$2:A254,G254,$D$2:D254),D254) +SUMIF($G$2:G254,G254,$M$2:M254))</f>
        <v/>
      </c>
      <c r="L254" s="45" t="str">
        <f t="shared" si="22"/>
        <v/>
      </c>
      <c r="M254" s="46" t="str">
        <f>IF(G254="","",IF(B254 = "BUY", 0,(E254-VLOOKUP(CONCATENATE(G254,(H254-1)),$I$2:L253,4,FALSE))*-C254))</f>
        <v/>
      </c>
    </row>
    <row r="255" spans="1:13" ht="15" thickBot="1" x14ac:dyDescent="0.35">
      <c r="A255" s="27" t="str">
        <f>IF('Australian MTransaction'!A255= "","",'Australian MTransaction'!A255)</f>
        <v/>
      </c>
      <c r="B255" s="28" t="str">
        <f>IF('Australian MTransaction'!B255= "","",'Australian MTransaction'!B255)</f>
        <v/>
      </c>
      <c r="C255" s="28" t="str">
        <f>IF('Australian MTransaction'!C255= "","",IF(B255="BUY",'Australian MTransaction'!C255,-'Australian MTransaction'!C255))</f>
        <v/>
      </c>
      <c r="D255" s="28" t="str">
        <f>IF('Australian MTransaction'!D255 = "","",IF($B255 = "BUY", 'Australian MTransaction'!D255,-'Australian MTransaction'!D255))</f>
        <v/>
      </c>
      <c r="E255" s="28" t="str">
        <f>IF('Australian MTransaction'!E255= "","",'Australian MTransaction'!E255)</f>
        <v/>
      </c>
      <c r="F255" s="23"/>
      <c r="G255" s="28" t="str">
        <f t="shared" si="20"/>
        <v/>
      </c>
      <c r="H255" s="28" t="str">
        <f>IF(A255="","",COUNTIF($G$2:G255,G255))</f>
        <v/>
      </c>
      <c r="I255" s="28" t="str">
        <f t="shared" si="21"/>
        <v/>
      </c>
      <c r="J255" s="28" t="str">
        <f>IF(G255="","",IF(COUNTIF($G$2:G255,G255)&gt;1,SUMIF($A$2:A255,G255,$C$2:C255),C255))</f>
        <v/>
      </c>
      <c r="K255" s="45" t="str">
        <f>IF(G255="","",IF(COUNTIF($G$2:G255,G255)&gt;1,SUMIF($A$2:A255,G255,$D$2:D255),D255) +SUMIF($G$2:G255,G255,$M$2:M255))</f>
        <v/>
      </c>
      <c r="L255" s="45" t="str">
        <f t="shared" si="22"/>
        <v/>
      </c>
      <c r="M255" s="46" t="str">
        <f>IF(G255="","",IF(B255 = "BUY", 0,(E255-VLOOKUP(CONCATENATE(G255,(H255-1)),$I$2:L254,4,FALSE))*-C255))</f>
        <v/>
      </c>
    </row>
    <row r="256" spans="1:13" ht="15" thickBot="1" x14ac:dyDescent="0.35">
      <c r="A256" s="27" t="str">
        <f>IF('Australian MTransaction'!A256= "","",'Australian MTransaction'!A256)</f>
        <v/>
      </c>
      <c r="B256" s="28" t="str">
        <f>IF('Australian MTransaction'!B256= "","",'Australian MTransaction'!B256)</f>
        <v/>
      </c>
      <c r="C256" s="28" t="str">
        <f>IF('Australian MTransaction'!C256= "","",IF(B256="BUY",'Australian MTransaction'!C256,-'Australian MTransaction'!C256))</f>
        <v/>
      </c>
      <c r="D256" s="28" t="str">
        <f>IF('Australian MTransaction'!D256 = "","",IF($B256 = "BUY", 'Australian MTransaction'!D256,-'Australian MTransaction'!D256))</f>
        <v/>
      </c>
      <c r="E256" s="28" t="str">
        <f>IF('Australian MTransaction'!E256= "","",'Australian MTransaction'!E256)</f>
        <v/>
      </c>
      <c r="F256" s="23"/>
      <c r="G256" s="28" t="str">
        <f t="shared" si="20"/>
        <v/>
      </c>
      <c r="H256" s="28" t="str">
        <f>IF(A256="","",COUNTIF($G$2:G256,G256))</f>
        <v/>
      </c>
      <c r="I256" s="28" t="str">
        <f t="shared" si="21"/>
        <v/>
      </c>
      <c r="J256" s="28" t="str">
        <f>IF(G256="","",IF(COUNTIF($G$2:G256,G256)&gt;1,SUMIF($A$2:A256,G256,$C$2:C256),C256))</f>
        <v/>
      </c>
      <c r="K256" s="45" t="str">
        <f>IF(G256="","",IF(COUNTIF($G$2:G256,G256)&gt;1,SUMIF($A$2:A256,G256,$D$2:D256),D256) +SUMIF($G$2:G256,G256,$M$2:M256))</f>
        <v/>
      </c>
      <c r="L256" s="45" t="str">
        <f t="shared" si="22"/>
        <v/>
      </c>
      <c r="M256" s="46" t="str">
        <f>IF(G256="","",IF(B256 = "BUY", 0,(E256-VLOOKUP(CONCATENATE(G256,(H256-1)),$I$2:L255,4,FALSE))*-C256))</f>
        <v/>
      </c>
    </row>
    <row r="257" spans="1:13" ht="15" thickBot="1" x14ac:dyDescent="0.35">
      <c r="A257" s="27" t="str">
        <f>IF('Australian MTransaction'!A257= "","",'Australian MTransaction'!A257)</f>
        <v/>
      </c>
      <c r="B257" s="28" t="str">
        <f>IF('Australian MTransaction'!B257= "","",'Australian MTransaction'!B257)</f>
        <v/>
      </c>
      <c r="C257" s="28" t="str">
        <f>IF('Australian MTransaction'!C257= "","",IF(B257="BUY",'Australian MTransaction'!C257,-'Australian MTransaction'!C257))</f>
        <v/>
      </c>
      <c r="D257" s="28" t="str">
        <f>IF('Australian MTransaction'!D257 = "","",IF($B257 = "BUY", 'Australian MTransaction'!D257,-'Australian MTransaction'!D257))</f>
        <v/>
      </c>
      <c r="E257" s="28" t="str">
        <f>IF('Australian MTransaction'!E257= "","",'Australian MTransaction'!E257)</f>
        <v/>
      </c>
      <c r="F257" s="23"/>
      <c r="G257" s="28" t="str">
        <f t="shared" si="20"/>
        <v/>
      </c>
      <c r="H257" s="28" t="str">
        <f>IF(A257="","",COUNTIF($G$2:G257,G257))</f>
        <v/>
      </c>
      <c r="I257" s="28" t="str">
        <f t="shared" si="21"/>
        <v/>
      </c>
      <c r="J257" s="28" t="str">
        <f>IF(G257="","",IF(COUNTIF($G$2:G257,G257)&gt;1,SUMIF($A$2:A257,G257,$C$2:C257),C257))</f>
        <v/>
      </c>
      <c r="K257" s="45" t="str">
        <f>IF(G257="","",IF(COUNTIF($G$2:G257,G257)&gt;1,SUMIF($A$2:A257,G257,$D$2:D257),D257) +SUMIF($G$2:G257,G257,$M$2:M257))</f>
        <v/>
      </c>
      <c r="L257" s="45" t="str">
        <f t="shared" si="22"/>
        <v/>
      </c>
      <c r="M257" s="46" t="str">
        <f>IF(G257="","",IF(B257 = "BUY", 0,(E257-VLOOKUP(CONCATENATE(G257,(H257-1)),$I$2:L256,4,FALSE))*-C257))</f>
        <v/>
      </c>
    </row>
    <row r="258" spans="1:13" ht="15" thickBot="1" x14ac:dyDescent="0.35">
      <c r="A258" s="27" t="str">
        <f>IF('Australian MTransaction'!A258= "","",'Australian MTransaction'!A258)</f>
        <v/>
      </c>
      <c r="B258" s="28" t="str">
        <f>IF('Australian MTransaction'!B258= "","",'Australian MTransaction'!B258)</f>
        <v/>
      </c>
      <c r="C258" s="28" t="str">
        <f>IF('Australian MTransaction'!C258= "","",IF(B258="BUY",'Australian MTransaction'!C258,-'Australian MTransaction'!C258))</f>
        <v/>
      </c>
      <c r="D258" s="28" t="str">
        <f>IF('Australian MTransaction'!D258 = "","",IF($B258 = "BUY", 'Australian MTransaction'!D258,-'Australian MTransaction'!D258))</f>
        <v/>
      </c>
      <c r="E258" s="28" t="str">
        <f>IF('Australian MTransaction'!E258= "","",'Australian MTransaction'!E258)</f>
        <v/>
      </c>
      <c r="F258" s="23"/>
      <c r="G258" s="28" t="str">
        <f t="shared" si="20"/>
        <v/>
      </c>
      <c r="H258" s="28" t="str">
        <f>IF(A258="","",COUNTIF($G$2:G258,G258))</f>
        <v/>
      </c>
      <c r="I258" s="28" t="str">
        <f t="shared" si="21"/>
        <v/>
      </c>
      <c r="J258" s="28" t="str">
        <f>IF(G258="","",IF(COUNTIF($G$2:G258,G258)&gt;1,SUMIF($A$2:A258,G258,$C$2:C258),C258))</f>
        <v/>
      </c>
      <c r="K258" s="45" t="str">
        <f>IF(G258="","",IF(COUNTIF($G$2:G258,G258)&gt;1,SUMIF($A$2:A258,G258,$D$2:D258),D258) +SUMIF($G$2:G258,G258,$M$2:M258))</f>
        <v/>
      </c>
      <c r="L258" s="45" t="str">
        <f t="shared" si="22"/>
        <v/>
      </c>
      <c r="M258" s="46" t="str">
        <f>IF(G258="","",IF(B258 = "BUY", 0,(E258-VLOOKUP(CONCATENATE(G258,(H258-1)),$I$2:L257,4,FALSE))*-C258))</f>
        <v/>
      </c>
    </row>
    <row r="259" spans="1:13" ht="15" thickBot="1" x14ac:dyDescent="0.35">
      <c r="A259" s="27" t="str">
        <f>IF('Australian MTransaction'!A259= "","",'Australian MTransaction'!A259)</f>
        <v/>
      </c>
      <c r="B259" s="28" t="str">
        <f>IF('Australian MTransaction'!B259= "","",'Australian MTransaction'!B259)</f>
        <v/>
      </c>
      <c r="C259" s="28" t="str">
        <f>IF('Australian MTransaction'!C259= "","",IF(B259="BUY",'Australian MTransaction'!C259,-'Australian MTransaction'!C259))</f>
        <v/>
      </c>
      <c r="D259" s="28" t="str">
        <f>IF('Australian MTransaction'!D259 = "","",IF($B259 = "BUY", 'Australian MTransaction'!D259,-'Australian MTransaction'!D259))</f>
        <v/>
      </c>
      <c r="E259" s="28" t="str">
        <f>IF('Australian MTransaction'!E259= "","",'Australian MTransaction'!E259)</f>
        <v/>
      </c>
      <c r="F259" s="23"/>
      <c r="G259" s="28" t="str">
        <f t="shared" ref="G259:G300" si="23">A259</f>
        <v/>
      </c>
      <c r="H259" s="28" t="str">
        <f>IF(A259="","",COUNTIF($G$2:G259,G259))</f>
        <v/>
      </c>
      <c r="I259" s="28" t="str">
        <f t="shared" ref="I259:I300" si="24">_xlfn.CONCAT(G259,H259)</f>
        <v/>
      </c>
      <c r="J259" s="28" t="str">
        <f>IF(G259="","",IF(COUNTIF($G$2:G259,G259)&gt;1,SUMIF($A$2:A259,G259,$C$2:C259),C259))</f>
        <v/>
      </c>
      <c r="K259" s="45" t="str">
        <f>IF(G259="","",IF(COUNTIF($G$2:G259,G259)&gt;1,SUMIF($A$2:A259,G259,$D$2:D259),D259) +SUMIF($G$2:G259,G259,$M$2:M259))</f>
        <v/>
      </c>
      <c r="L259" s="45" t="str">
        <f t="shared" ref="L259:L300" si="25">IF(G259="","",IFERROR(K259/J259,0))</f>
        <v/>
      </c>
      <c r="M259" s="46" t="str">
        <f>IF(G259="","",IF(B259 = "BUY", 0,(E259-VLOOKUP(CONCATENATE(G259,(H259-1)),$I$2:L258,4,FALSE))*-C259))</f>
        <v/>
      </c>
    </row>
    <row r="260" spans="1:13" ht="15" thickBot="1" x14ac:dyDescent="0.35">
      <c r="A260" s="27" t="str">
        <f>IF('Australian MTransaction'!A260= "","",'Australian MTransaction'!A260)</f>
        <v/>
      </c>
      <c r="B260" s="28" t="str">
        <f>IF('Australian MTransaction'!B260= "","",'Australian MTransaction'!B260)</f>
        <v/>
      </c>
      <c r="C260" s="28" t="str">
        <f>IF('Australian MTransaction'!C260= "","",IF(B260="BUY",'Australian MTransaction'!C260,-'Australian MTransaction'!C260))</f>
        <v/>
      </c>
      <c r="D260" s="28" t="str">
        <f>IF('Australian MTransaction'!D260 = "","",IF($B260 = "BUY", 'Australian MTransaction'!D260,-'Australian MTransaction'!D260))</f>
        <v/>
      </c>
      <c r="E260" s="28" t="str">
        <f>IF('Australian MTransaction'!E260= "","",'Australian MTransaction'!E260)</f>
        <v/>
      </c>
      <c r="F260" s="23"/>
      <c r="G260" s="28" t="str">
        <f t="shared" si="23"/>
        <v/>
      </c>
      <c r="H260" s="28" t="str">
        <f>IF(A260="","",COUNTIF($G$2:G260,G260))</f>
        <v/>
      </c>
      <c r="I260" s="28" t="str">
        <f t="shared" si="24"/>
        <v/>
      </c>
      <c r="J260" s="28" t="str">
        <f>IF(G260="","",IF(COUNTIF($G$2:G260,G260)&gt;1,SUMIF($A$2:A260,G260,$C$2:C260),C260))</f>
        <v/>
      </c>
      <c r="K260" s="45" t="str">
        <f>IF(G260="","",IF(COUNTIF($G$2:G260,G260)&gt;1,SUMIF($A$2:A260,G260,$D$2:D260),D260) +SUMIF($G$2:G260,G260,$M$2:M260))</f>
        <v/>
      </c>
      <c r="L260" s="45" t="str">
        <f t="shared" si="25"/>
        <v/>
      </c>
      <c r="M260" s="46" t="str">
        <f>IF(G260="","",IF(B260 = "BUY", 0,(E260-VLOOKUP(CONCATENATE(G260,(H260-1)),$I$2:L259,4,FALSE))*-C260))</f>
        <v/>
      </c>
    </row>
    <row r="261" spans="1:13" ht="15" thickBot="1" x14ac:dyDescent="0.35">
      <c r="A261" s="27" t="str">
        <f>IF('Australian MTransaction'!A261= "","",'Australian MTransaction'!A261)</f>
        <v/>
      </c>
      <c r="B261" s="28" t="str">
        <f>IF('Australian MTransaction'!B261= "","",'Australian MTransaction'!B261)</f>
        <v/>
      </c>
      <c r="C261" s="28" t="str">
        <f>IF('Australian MTransaction'!C261= "","",IF(B261="BUY",'Australian MTransaction'!C261,-'Australian MTransaction'!C261))</f>
        <v/>
      </c>
      <c r="D261" s="28" t="str">
        <f>IF('Australian MTransaction'!D261 = "","",IF($B261 = "BUY", 'Australian MTransaction'!D261,-'Australian MTransaction'!D261))</f>
        <v/>
      </c>
      <c r="E261" s="28" t="str">
        <f>IF('Australian MTransaction'!E261= "","",'Australian MTransaction'!E261)</f>
        <v/>
      </c>
      <c r="F261" s="23"/>
      <c r="G261" s="28" t="str">
        <f t="shared" si="23"/>
        <v/>
      </c>
      <c r="H261" s="28" t="str">
        <f>IF(A261="","",COUNTIF($G$2:G261,G261))</f>
        <v/>
      </c>
      <c r="I261" s="28" t="str">
        <f t="shared" si="24"/>
        <v/>
      </c>
      <c r="J261" s="28" t="str">
        <f>IF(G261="","",IF(COUNTIF($G$2:G261,G261)&gt;1,SUMIF($A$2:A261,G261,$C$2:C261),C261))</f>
        <v/>
      </c>
      <c r="K261" s="45" t="str">
        <f>IF(G261="","",IF(COUNTIF($G$2:G261,G261)&gt;1,SUMIF($A$2:A261,G261,$D$2:D261),D261) +SUMIF($G$2:G261,G261,$M$2:M261))</f>
        <v/>
      </c>
      <c r="L261" s="45" t="str">
        <f t="shared" si="25"/>
        <v/>
      </c>
      <c r="M261" s="46" t="str">
        <f>IF(G261="","",IF(B261 = "BUY", 0,(E261-VLOOKUP(CONCATENATE(G261,(H261-1)),$I$2:L260,4,FALSE))*-C261))</f>
        <v/>
      </c>
    </row>
    <row r="262" spans="1:13" ht="15" thickBot="1" x14ac:dyDescent="0.35">
      <c r="A262" s="27" t="str">
        <f>IF('Australian MTransaction'!A262= "","",'Australian MTransaction'!A262)</f>
        <v/>
      </c>
      <c r="B262" s="28" t="str">
        <f>IF('Australian MTransaction'!B262= "","",'Australian MTransaction'!B262)</f>
        <v/>
      </c>
      <c r="C262" s="28" t="str">
        <f>IF('Australian MTransaction'!C262= "","",IF(B262="BUY",'Australian MTransaction'!C262,-'Australian MTransaction'!C262))</f>
        <v/>
      </c>
      <c r="D262" s="28" t="str">
        <f>IF('Australian MTransaction'!D262 = "","",IF($B262 = "BUY", 'Australian MTransaction'!D262,-'Australian MTransaction'!D262))</f>
        <v/>
      </c>
      <c r="E262" s="28" t="str">
        <f>IF('Australian MTransaction'!E262= "","",'Australian MTransaction'!E262)</f>
        <v/>
      </c>
      <c r="F262" s="23"/>
      <c r="G262" s="28" t="str">
        <f t="shared" si="23"/>
        <v/>
      </c>
      <c r="H262" s="28" t="str">
        <f>IF(A262="","",COUNTIF($G$2:G262,G262))</f>
        <v/>
      </c>
      <c r="I262" s="28" t="str">
        <f t="shared" si="24"/>
        <v/>
      </c>
      <c r="J262" s="28" t="str">
        <f>IF(G262="","",IF(COUNTIF($G$2:G262,G262)&gt;1,SUMIF($A$2:A262,G262,$C$2:C262),C262))</f>
        <v/>
      </c>
      <c r="K262" s="45" t="str">
        <f>IF(G262="","",IF(COUNTIF($G$2:G262,G262)&gt;1,SUMIF($A$2:A262,G262,$D$2:D262),D262) +SUMIF($G$2:G262,G262,$M$2:M262))</f>
        <v/>
      </c>
      <c r="L262" s="45" t="str">
        <f t="shared" si="25"/>
        <v/>
      </c>
      <c r="M262" s="46" t="str">
        <f>IF(G262="","",IF(B262 = "BUY", 0,(E262-VLOOKUP(CONCATENATE(G262,(H262-1)),$I$2:L261,4,FALSE))*-C262))</f>
        <v/>
      </c>
    </row>
    <row r="263" spans="1:13" ht="15" thickBot="1" x14ac:dyDescent="0.35">
      <c r="A263" s="27" t="str">
        <f>IF('Australian MTransaction'!A263= "","",'Australian MTransaction'!A263)</f>
        <v/>
      </c>
      <c r="B263" s="28" t="str">
        <f>IF('Australian MTransaction'!B263= "","",'Australian MTransaction'!B263)</f>
        <v/>
      </c>
      <c r="C263" s="28" t="str">
        <f>IF('Australian MTransaction'!C263= "","",IF(B263="BUY",'Australian MTransaction'!C263,-'Australian MTransaction'!C263))</f>
        <v/>
      </c>
      <c r="D263" s="28" t="str">
        <f>IF('Australian MTransaction'!D263 = "","",IF($B263 = "BUY", 'Australian MTransaction'!D263,-'Australian MTransaction'!D263))</f>
        <v/>
      </c>
      <c r="E263" s="28" t="str">
        <f>IF('Australian MTransaction'!E263= "","",'Australian MTransaction'!E263)</f>
        <v/>
      </c>
      <c r="F263" s="23"/>
      <c r="G263" s="28" t="str">
        <f t="shared" si="23"/>
        <v/>
      </c>
      <c r="H263" s="28" t="str">
        <f>IF(A263="","",COUNTIF($G$2:G263,G263))</f>
        <v/>
      </c>
      <c r="I263" s="28" t="str">
        <f t="shared" si="24"/>
        <v/>
      </c>
      <c r="J263" s="28" t="str">
        <f>IF(G263="","",IF(COUNTIF($G$2:G263,G263)&gt;1,SUMIF($A$2:A263,G263,$C$2:C263),C263))</f>
        <v/>
      </c>
      <c r="K263" s="45" t="str">
        <f>IF(G263="","",IF(COUNTIF($G$2:G263,G263)&gt;1,SUMIF($A$2:A263,G263,$D$2:D263),D263) +SUMIF($G$2:G263,G263,$M$2:M263))</f>
        <v/>
      </c>
      <c r="L263" s="45" t="str">
        <f t="shared" si="25"/>
        <v/>
      </c>
      <c r="M263" s="46" t="str">
        <f>IF(G263="","",IF(B263 = "BUY", 0,(E263-VLOOKUP(CONCATENATE(G263,(H263-1)),$I$2:L262,4,FALSE))*-C263))</f>
        <v/>
      </c>
    </row>
    <row r="264" spans="1:13" ht="15" thickBot="1" x14ac:dyDescent="0.35">
      <c r="A264" s="27" t="str">
        <f>IF('Australian MTransaction'!A264= "","",'Australian MTransaction'!A264)</f>
        <v/>
      </c>
      <c r="B264" s="28" t="str">
        <f>IF('Australian MTransaction'!B264= "","",'Australian MTransaction'!B264)</f>
        <v/>
      </c>
      <c r="C264" s="28" t="str">
        <f>IF('Australian MTransaction'!C264= "","",IF(B264="BUY",'Australian MTransaction'!C264,-'Australian MTransaction'!C264))</f>
        <v/>
      </c>
      <c r="D264" s="28" t="str">
        <f>IF('Australian MTransaction'!D264 = "","",IF($B264 = "BUY", 'Australian MTransaction'!D264,-'Australian MTransaction'!D264))</f>
        <v/>
      </c>
      <c r="E264" s="28" t="str">
        <f>IF('Australian MTransaction'!E264= "","",'Australian MTransaction'!E264)</f>
        <v/>
      </c>
      <c r="F264" s="23"/>
      <c r="G264" s="28" t="str">
        <f t="shared" si="23"/>
        <v/>
      </c>
      <c r="H264" s="28" t="str">
        <f>IF(A264="","",COUNTIF($G$2:G264,G264))</f>
        <v/>
      </c>
      <c r="I264" s="28" t="str">
        <f t="shared" si="24"/>
        <v/>
      </c>
      <c r="J264" s="28" t="str">
        <f>IF(G264="","",IF(COUNTIF($G$2:G264,G264)&gt;1,SUMIF($A$2:A264,G264,$C$2:C264),C264))</f>
        <v/>
      </c>
      <c r="K264" s="45" t="str">
        <f>IF(G264="","",IF(COUNTIF($G$2:G264,G264)&gt;1,SUMIF($A$2:A264,G264,$D$2:D264),D264) +SUMIF($G$2:G264,G264,$M$2:M264))</f>
        <v/>
      </c>
      <c r="L264" s="45" t="str">
        <f t="shared" si="25"/>
        <v/>
      </c>
      <c r="M264" s="46" t="str">
        <f>IF(G264="","",IF(B264 = "BUY", 0,(E264-VLOOKUP(CONCATENATE(G264,(H264-1)),$I$2:L263,4,FALSE))*-C264))</f>
        <v/>
      </c>
    </row>
    <row r="265" spans="1:13" ht="15" thickBot="1" x14ac:dyDescent="0.35">
      <c r="A265" s="27" t="str">
        <f>IF('Australian MTransaction'!A265= "","",'Australian MTransaction'!A265)</f>
        <v/>
      </c>
      <c r="B265" s="28" t="str">
        <f>IF('Australian MTransaction'!B265= "","",'Australian MTransaction'!B265)</f>
        <v/>
      </c>
      <c r="C265" s="28" t="str">
        <f>IF('Australian MTransaction'!C265= "","",IF(B265="BUY",'Australian MTransaction'!C265,-'Australian MTransaction'!C265))</f>
        <v/>
      </c>
      <c r="D265" s="28" t="str">
        <f>IF('Australian MTransaction'!D265 = "","",IF($B265 = "BUY", 'Australian MTransaction'!D265,-'Australian MTransaction'!D265))</f>
        <v/>
      </c>
      <c r="E265" s="28" t="str">
        <f>IF('Australian MTransaction'!E265= "","",'Australian MTransaction'!E265)</f>
        <v/>
      </c>
      <c r="F265" s="23"/>
      <c r="G265" s="28" t="str">
        <f t="shared" si="23"/>
        <v/>
      </c>
      <c r="H265" s="28" t="str">
        <f>IF(A265="","",COUNTIF($G$2:G265,G265))</f>
        <v/>
      </c>
      <c r="I265" s="28" t="str">
        <f t="shared" si="24"/>
        <v/>
      </c>
      <c r="J265" s="28" t="str">
        <f>IF(G265="","",IF(COUNTIF($G$2:G265,G265)&gt;1,SUMIF($A$2:A265,G265,$C$2:C265),C265))</f>
        <v/>
      </c>
      <c r="K265" s="45" t="str">
        <f>IF(G265="","",IF(COUNTIF($G$2:G265,G265)&gt;1,SUMIF($A$2:A265,G265,$D$2:D265),D265) +SUMIF($G$2:G265,G265,$M$2:M265))</f>
        <v/>
      </c>
      <c r="L265" s="45" t="str">
        <f t="shared" si="25"/>
        <v/>
      </c>
      <c r="M265" s="46" t="str">
        <f>IF(G265="","",IF(B265 = "BUY", 0,(E265-VLOOKUP(CONCATENATE(G265,(H265-1)),$I$2:L264,4,FALSE))*-C265))</f>
        <v/>
      </c>
    </row>
    <row r="266" spans="1:13" ht="15" thickBot="1" x14ac:dyDescent="0.35">
      <c r="A266" s="27" t="str">
        <f>IF('Australian MTransaction'!A266= "","",'Australian MTransaction'!A266)</f>
        <v/>
      </c>
      <c r="B266" s="28" t="str">
        <f>IF('Australian MTransaction'!B266= "","",'Australian MTransaction'!B266)</f>
        <v/>
      </c>
      <c r="C266" s="28" t="str">
        <f>IF('Australian MTransaction'!C266= "","",IF(B266="BUY",'Australian MTransaction'!C266,-'Australian MTransaction'!C266))</f>
        <v/>
      </c>
      <c r="D266" s="28" t="str">
        <f>IF('Australian MTransaction'!D266 = "","",IF($B266 = "BUY", 'Australian MTransaction'!D266,-'Australian MTransaction'!D266))</f>
        <v/>
      </c>
      <c r="E266" s="28" t="str">
        <f>IF('Australian MTransaction'!E266= "","",'Australian MTransaction'!E266)</f>
        <v/>
      </c>
      <c r="F266" s="23"/>
      <c r="G266" s="28" t="str">
        <f t="shared" si="23"/>
        <v/>
      </c>
      <c r="H266" s="28" t="str">
        <f>IF(A266="","",COUNTIF($G$2:G266,G266))</f>
        <v/>
      </c>
      <c r="I266" s="28" t="str">
        <f t="shared" si="24"/>
        <v/>
      </c>
      <c r="J266" s="28" t="str">
        <f>IF(G266="","",IF(COUNTIF($G$2:G266,G266)&gt;1,SUMIF($A$2:A266,G266,$C$2:C266),C266))</f>
        <v/>
      </c>
      <c r="K266" s="45" t="str">
        <f>IF(G266="","",IF(COUNTIF($G$2:G266,G266)&gt;1,SUMIF($A$2:A266,G266,$D$2:D266),D266) +SUMIF($G$2:G266,G266,$M$2:M266))</f>
        <v/>
      </c>
      <c r="L266" s="45" t="str">
        <f t="shared" si="25"/>
        <v/>
      </c>
      <c r="M266" s="46" t="str">
        <f>IF(G266="","",IF(B266 = "BUY", 0,(E266-VLOOKUP(CONCATENATE(G266,(H266-1)),$I$2:L265,4,FALSE))*-C266))</f>
        <v/>
      </c>
    </row>
    <row r="267" spans="1:13" ht="15" thickBot="1" x14ac:dyDescent="0.35">
      <c r="A267" s="27" t="str">
        <f>IF('Australian MTransaction'!A267= "","",'Australian MTransaction'!A267)</f>
        <v/>
      </c>
      <c r="B267" s="28" t="str">
        <f>IF('Australian MTransaction'!B267= "","",'Australian MTransaction'!B267)</f>
        <v/>
      </c>
      <c r="C267" s="28" t="str">
        <f>IF('Australian MTransaction'!C267= "","",IF(B267="BUY",'Australian MTransaction'!C267,-'Australian MTransaction'!C267))</f>
        <v/>
      </c>
      <c r="D267" s="28" t="str">
        <f>IF('Australian MTransaction'!D267 = "","",IF($B267 = "BUY", 'Australian MTransaction'!D267,-'Australian MTransaction'!D267))</f>
        <v/>
      </c>
      <c r="E267" s="28" t="str">
        <f>IF('Australian MTransaction'!E267= "","",'Australian MTransaction'!E267)</f>
        <v/>
      </c>
      <c r="F267" s="23"/>
      <c r="G267" s="28" t="str">
        <f t="shared" si="23"/>
        <v/>
      </c>
      <c r="H267" s="28" t="str">
        <f>IF(A267="","",COUNTIF($G$2:G267,G267))</f>
        <v/>
      </c>
      <c r="I267" s="28" t="str">
        <f t="shared" si="24"/>
        <v/>
      </c>
      <c r="J267" s="28" t="str">
        <f>IF(G267="","",IF(COUNTIF($G$2:G267,G267)&gt;1,SUMIF($A$2:A267,G267,$C$2:C267),C267))</f>
        <v/>
      </c>
      <c r="K267" s="45" t="str">
        <f>IF(G267="","",IF(COUNTIF($G$2:G267,G267)&gt;1,SUMIF($A$2:A267,G267,$D$2:D267),D267) +SUMIF($G$2:G267,G267,$M$2:M267))</f>
        <v/>
      </c>
      <c r="L267" s="45" t="str">
        <f t="shared" si="25"/>
        <v/>
      </c>
      <c r="M267" s="46" t="str">
        <f>IF(G267="","",IF(B267 = "BUY", 0,(E267-VLOOKUP(CONCATENATE(G267,(H267-1)),$I$2:L266,4,FALSE))*-C267))</f>
        <v/>
      </c>
    </row>
    <row r="268" spans="1:13" ht="15" thickBot="1" x14ac:dyDescent="0.35">
      <c r="A268" s="27" t="str">
        <f>IF('Australian MTransaction'!A268= "","",'Australian MTransaction'!A268)</f>
        <v/>
      </c>
      <c r="B268" s="28" t="str">
        <f>IF('Australian MTransaction'!B268= "","",'Australian MTransaction'!B268)</f>
        <v/>
      </c>
      <c r="C268" s="28" t="str">
        <f>IF('Australian MTransaction'!C268= "","",IF(B268="BUY",'Australian MTransaction'!C268,-'Australian MTransaction'!C268))</f>
        <v/>
      </c>
      <c r="D268" s="28" t="str">
        <f>IF('Australian MTransaction'!D268 = "","",IF($B268 = "BUY", 'Australian MTransaction'!D268,-'Australian MTransaction'!D268))</f>
        <v/>
      </c>
      <c r="E268" s="28" t="str">
        <f>IF('Australian MTransaction'!E268= "","",'Australian MTransaction'!E268)</f>
        <v/>
      </c>
      <c r="F268" s="23"/>
      <c r="G268" s="28" t="str">
        <f t="shared" si="23"/>
        <v/>
      </c>
      <c r="H268" s="28" t="str">
        <f>IF(A268="","",COUNTIF($G$2:G268,G268))</f>
        <v/>
      </c>
      <c r="I268" s="28" t="str">
        <f t="shared" si="24"/>
        <v/>
      </c>
      <c r="J268" s="28" t="str">
        <f>IF(G268="","",IF(COUNTIF($G$2:G268,G268)&gt;1,SUMIF($A$2:A268,G268,$C$2:C268),C268))</f>
        <v/>
      </c>
      <c r="K268" s="45" t="str">
        <f>IF(G268="","",IF(COUNTIF($G$2:G268,G268)&gt;1,SUMIF($A$2:A268,G268,$D$2:D268),D268) +SUMIF($G$2:G268,G268,$M$2:M268))</f>
        <v/>
      </c>
      <c r="L268" s="45" t="str">
        <f t="shared" si="25"/>
        <v/>
      </c>
      <c r="M268" s="46" t="str">
        <f>IF(G268="","",IF(B268 = "BUY", 0,(E268-VLOOKUP(CONCATENATE(G268,(H268-1)),$I$2:L267,4,FALSE))*-C268))</f>
        <v/>
      </c>
    </row>
    <row r="269" spans="1:13" ht="15" thickBot="1" x14ac:dyDescent="0.35">
      <c r="A269" s="27" t="str">
        <f>IF('Australian MTransaction'!A269= "","",'Australian MTransaction'!A269)</f>
        <v/>
      </c>
      <c r="B269" s="28" t="str">
        <f>IF('Australian MTransaction'!B269= "","",'Australian MTransaction'!B269)</f>
        <v/>
      </c>
      <c r="C269" s="28" t="str">
        <f>IF('Australian MTransaction'!C269= "","",IF(B269="BUY",'Australian MTransaction'!C269,-'Australian MTransaction'!C269))</f>
        <v/>
      </c>
      <c r="D269" s="28" t="str">
        <f>IF('Australian MTransaction'!D269 = "","",IF($B269 = "BUY", 'Australian MTransaction'!D269,-'Australian MTransaction'!D269))</f>
        <v/>
      </c>
      <c r="E269" s="28" t="str">
        <f>IF('Australian MTransaction'!E269= "","",'Australian MTransaction'!E269)</f>
        <v/>
      </c>
      <c r="F269" s="23"/>
      <c r="G269" s="28" t="str">
        <f t="shared" si="23"/>
        <v/>
      </c>
      <c r="H269" s="28" t="str">
        <f>IF(A269="","",COUNTIF($G$2:G269,G269))</f>
        <v/>
      </c>
      <c r="I269" s="28" t="str">
        <f t="shared" si="24"/>
        <v/>
      </c>
      <c r="J269" s="28" t="str">
        <f>IF(G269="","",IF(COUNTIF($G$2:G269,G269)&gt;1,SUMIF($A$2:A269,G269,$C$2:C269),C269))</f>
        <v/>
      </c>
      <c r="K269" s="45" t="str">
        <f>IF(G269="","",IF(COUNTIF($G$2:G269,G269)&gt;1,SUMIF($A$2:A269,G269,$D$2:D269),D269) +SUMIF($G$2:G269,G269,$M$2:M269))</f>
        <v/>
      </c>
      <c r="L269" s="45" t="str">
        <f t="shared" si="25"/>
        <v/>
      </c>
      <c r="M269" s="46" t="str">
        <f>IF(G269="","",IF(B269 = "BUY", 0,(E269-VLOOKUP(CONCATENATE(G269,(H269-1)),$I$2:L268,4,FALSE))*-C269))</f>
        <v/>
      </c>
    </row>
    <row r="270" spans="1:13" ht="15" thickBot="1" x14ac:dyDescent="0.35">
      <c r="A270" s="27" t="str">
        <f>IF('Australian MTransaction'!A270= "","",'Australian MTransaction'!A270)</f>
        <v/>
      </c>
      <c r="B270" s="28" t="str">
        <f>IF('Australian MTransaction'!B270= "","",'Australian MTransaction'!B270)</f>
        <v/>
      </c>
      <c r="C270" s="28" t="str">
        <f>IF('Australian MTransaction'!C270= "","",IF(B270="BUY",'Australian MTransaction'!C270,-'Australian MTransaction'!C270))</f>
        <v/>
      </c>
      <c r="D270" s="28" t="str">
        <f>IF('Australian MTransaction'!D270 = "","",IF($B270 = "BUY", 'Australian MTransaction'!D270,-'Australian MTransaction'!D270))</f>
        <v/>
      </c>
      <c r="E270" s="28" t="str">
        <f>IF('Australian MTransaction'!E270= "","",'Australian MTransaction'!E270)</f>
        <v/>
      </c>
      <c r="F270" s="23"/>
      <c r="G270" s="28" t="str">
        <f t="shared" si="23"/>
        <v/>
      </c>
      <c r="H270" s="28" t="str">
        <f>IF(A270="","",COUNTIF($G$2:G270,G270))</f>
        <v/>
      </c>
      <c r="I270" s="28" t="str">
        <f t="shared" si="24"/>
        <v/>
      </c>
      <c r="J270" s="28" t="str">
        <f>IF(G270="","",IF(COUNTIF($G$2:G270,G270)&gt;1,SUMIF($A$2:A270,G270,$C$2:C270),C270))</f>
        <v/>
      </c>
      <c r="K270" s="45" t="str">
        <f>IF(G270="","",IF(COUNTIF($G$2:G270,G270)&gt;1,SUMIF($A$2:A270,G270,$D$2:D270),D270) +SUMIF($G$2:G270,G270,$M$2:M270))</f>
        <v/>
      </c>
      <c r="L270" s="45" t="str">
        <f t="shared" si="25"/>
        <v/>
      </c>
      <c r="M270" s="46" t="str">
        <f>IF(G270="","",IF(B270 = "BUY", 0,(E270-VLOOKUP(CONCATENATE(G270,(H270-1)),$I$2:L269,4,FALSE))*-C270))</f>
        <v/>
      </c>
    </row>
    <row r="271" spans="1:13" ht="15" thickBot="1" x14ac:dyDescent="0.35">
      <c r="A271" s="27" t="str">
        <f>IF('Australian MTransaction'!A271= "","",'Australian MTransaction'!A271)</f>
        <v/>
      </c>
      <c r="B271" s="28" t="str">
        <f>IF('Australian MTransaction'!B271= "","",'Australian MTransaction'!B271)</f>
        <v/>
      </c>
      <c r="C271" s="28" t="str">
        <f>IF('Australian MTransaction'!C271= "","",IF(B271="BUY",'Australian MTransaction'!C271,-'Australian MTransaction'!C271))</f>
        <v/>
      </c>
      <c r="D271" s="28" t="str">
        <f>IF('Australian MTransaction'!D271 = "","",IF($B271 = "BUY", 'Australian MTransaction'!D271,-'Australian MTransaction'!D271))</f>
        <v/>
      </c>
      <c r="E271" s="28" t="str">
        <f>IF('Australian MTransaction'!E271= "","",'Australian MTransaction'!E271)</f>
        <v/>
      </c>
      <c r="F271" s="23"/>
      <c r="G271" s="28" t="str">
        <f t="shared" si="23"/>
        <v/>
      </c>
      <c r="H271" s="28" t="str">
        <f>IF(A271="","",COUNTIF($G$2:G271,G271))</f>
        <v/>
      </c>
      <c r="I271" s="28" t="str">
        <f t="shared" si="24"/>
        <v/>
      </c>
      <c r="J271" s="28" t="str">
        <f>IF(G271="","",IF(COUNTIF($G$2:G271,G271)&gt;1,SUMIF($A$2:A271,G271,$C$2:C271),C271))</f>
        <v/>
      </c>
      <c r="K271" s="45" t="str">
        <f>IF(G271="","",IF(COUNTIF($G$2:G271,G271)&gt;1,SUMIF($A$2:A271,G271,$D$2:D271),D271) +SUMIF($G$2:G271,G271,$M$2:M271))</f>
        <v/>
      </c>
      <c r="L271" s="45" t="str">
        <f t="shared" si="25"/>
        <v/>
      </c>
      <c r="M271" s="46" t="str">
        <f>IF(G271="","",IF(B271 = "BUY", 0,(E271-VLOOKUP(CONCATENATE(G271,(H271-1)),$I$2:L270,4,FALSE))*-C271))</f>
        <v/>
      </c>
    </row>
    <row r="272" spans="1:13" ht="15" thickBot="1" x14ac:dyDescent="0.35">
      <c r="A272" s="27" t="str">
        <f>IF('Australian MTransaction'!A272= "","",'Australian MTransaction'!A272)</f>
        <v/>
      </c>
      <c r="B272" s="28" t="str">
        <f>IF('Australian MTransaction'!B272= "","",'Australian MTransaction'!B272)</f>
        <v/>
      </c>
      <c r="C272" s="28" t="str">
        <f>IF('Australian MTransaction'!C272= "","",IF(B272="BUY",'Australian MTransaction'!C272,-'Australian MTransaction'!C272))</f>
        <v/>
      </c>
      <c r="D272" s="28" t="str">
        <f>IF('Australian MTransaction'!D272 = "","",IF($B272 = "BUY", 'Australian MTransaction'!D272,-'Australian MTransaction'!D272))</f>
        <v/>
      </c>
      <c r="E272" s="28" t="str">
        <f>IF('Australian MTransaction'!E272= "","",'Australian MTransaction'!E272)</f>
        <v/>
      </c>
      <c r="F272" s="23"/>
      <c r="G272" s="28" t="str">
        <f t="shared" si="23"/>
        <v/>
      </c>
      <c r="H272" s="28" t="str">
        <f>IF(A272="","",COUNTIF($G$2:G272,G272))</f>
        <v/>
      </c>
      <c r="I272" s="28" t="str">
        <f t="shared" si="24"/>
        <v/>
      </c>
      <c r="J272" s="28" t="str">
        <f>IF(G272="","",IF(COUNTIF($G$2:G272,G272)&gt;1,SUMIF($A$2:A272,G272,$C$2:C272),C272))</f>
        <v/>
      </c>
      <c r="K272" s="45" t="str">
        <f>IF(G272="","",IF(COUNTIF($G$2:G272,G272)&gt;1,SUMIF($A$2:A272,G272,$D$2:D272),D272) +SUMIF($G$2:G272,G272,$M$2:M272))</f>
        <v/>
      </c>
      <c r="L272" s="45" t="str">
        <f t="shared" si="25"/>
        <v/>
      </c>
      <c r="M272" s="46" t="str">
        <f>IF(G272="","",IF(B272 = "BUY", 0,(E272-VLOOKUP(CONCATENATE(G272,(H272-1)),$I$2:L271,4,FALSE))*-C272))</f>
        <v/>
      </c>
    </row>
    <row r="273" spans="1:13" ht="15" thickBot="1" x14ac:dyDescent="0.35">
      <c r="A273" s="27" t="str">
        <f>IF('Australian MTransaction'!A273= "","",'Australian MTransaction'!A273)</f>
        <v/>
      </c>
      <c r="B273" s="28" t="str">
        <f>IF('Australian MTransaction'!B273= "","",'Australian MTransaction'!B273)</f>
        <v/>
      </c>
      <c r="C273" s="28" t="str">
        <f>IF('Australian MTransaction'!C273= "","",IF(B273="BUY",'Australian MTransaction'!C273,-'Australian MTransaction'!C273))</f>
        <v/>
      </c>
      <c r="D273" s="28" t="str">
        <f>IF('Australian MTransaction'!D273 = "","",IF($B273 = "BUY", 'Australian MTransaction'!D273,-'Australian MTransaction'!D273))</f>
        <v/>
      </c>
      <c r="E273" s="28" t="str">
        <f>IF('Australian MTransaction'!E273= "","",'Australian MTransaction'!E273)</f>
        <v/>
      </c>
      <c r="F273" s="23"/>
      <c r="G273" s="28" t="str">
        <f t="shared" si="23"/>
        <v/>
      </c>
      <c r="H273" s="28" t="str">
        <f>IF(A273="","",COUNTIF($G$2:G273,G273))</f>
        <v/>
      </c>
      <c r="I273" s="28" t="str">
        <f t="shared" si="24"/>
        <v/>
      </c>
      <c r="J273" s="28" t="str">
        <f>IF(G273="","",IF(COUNTIF($G$2:G273,G273)&gt;1,SUMIF($A$2:A273,G273,$C$2:C273),C273))</f>
        <v/>
      </c>
      <c r="K273" s="45" t="str">
        <f>IF(G273="","",IF(COUNTIF($G$2:G273,G273)&gt;1,SUMIF($A$2:A273,G273,$D$2:D273),D273) +SUMIF($G$2:G273,G273,$M$2:M273))</f>
        <v/>
      </c>
      <c r="L273" s="45" t="str">
        <f t="shared" si="25"/>
        <v/>
      </c>
      <c r="M273" s="46" t="str">
        <f>IF(G273="","",IF(B273 = "BUY", 0,(E273-VLOOKUP(CONCATENATE(G273,(H273-1)),$I$2:L272,4,FALSE))*-C273))</f>
        <v/>
      </c>
    </row>
    <row r="274" spans="1:13" ht="15" thickBot="1" x14ac:dyDescent="0.35">
      <c r="A274" s="27" t="str">
        <f>IF('Australian MTransaction'!A274= "","",'Australian MTransaction'!A274)</f>
        <v/>
      </c>
      <c r="B274" s="28" t="str">
        <f>IF('Australian MTransaction'!B274= "","",'Australian MTransaction'!B274)</f>
        <v/>
      </c>
      <c r="C274" s="28" t="str">
        <f>IF('Australian MTransaction'!C274= "","",IF(B274="BUY",'Australian MTransaction'!C274,-'Australian MTransaction'!C274))</f>
        <v/>
      </c>
      <c r="D274" s="28" t="str">
        <f>IF('Australian MTransaction'!D274 = "","",IF($B274 = "BUY", 'Australian MTransaction'!D274,-'Australian MTransaction'!D274))</f>
        <v/>
      </c>
      <c r="E274" s="28" t="str">
        <f>IF('Australian MTransaction'!E274= "","",'Australian MTransaction'!E274)</f>
        <v/>
      </c>
      <c r="F274" s="23"/>
      <c r="G274" s="28" t="str">
        <f t="shared" si="23"/>
        <v/>
      </c>
      <c r="H274" s="28" t="str">
        <f>IF(A274="","",COUNTIF($G$2:G274,G274))</f>
        <v/>
      </c>
      <c r="I274" s="28" t="str">
        <f t="shared" si="24"/>
        <v/>
      </c>
      <c r="J274" s="28" t="str">
        <f>IF(G274="","",IF(COUNTIF($G$2:G274,G274)&gt;1,SUMIF($A$2:A274,G274,$C$2:C274),C274))</f>
        <v/>
      </c>
      <c r="K274" s="45" t="str">
        <f>IF(G274="","",IF(COUNTIF($G$2:G274,G274)&gt;1,SUMIF($A$2:A274,G274,$D$2:D274),D274) +SUMIF($G$2:G274,G274,$M$2:M274))</f>
        <v/>
      </c>
      <c r="L274" s="45" t="str">
        <f t="shared" si="25"/>
        <v/>
      </c>
      <c r="M274" s="46" t="str">
        <f>IF(G274="","",IF(B274 = "BUY", 0,(E274-VLOOKUP(CONCATENATE(G274,(H274-1)),$I$2:L273,4,FALSE))*-C274))</f>
        <v/>
      </c>
    </row>
    <row r="275" spans="1:13" ht="15" thickBot="1" x14ac:dyDescent="0.35">
      <c r="A275" s="27" t="str">
        <f>IF('Australian MTransaction'!A275= "","",'Australian MTransaction'!A275)</f>
        <v/>
      </c>
      <c r="B275" s="28" t="str">
        <f>IF('Australian MTransaction'!B275= "","",'Australian MTransaction'!B275)</f>
        <v/>
      </c>
      <c r="C275" s="28" t="str">
        <f>IF('Australian MTransaction'!C275= "","",IF(B275="BUY",'Australian MTransaction'!C275,-'Australian MTransaction'!C275))</f>
        <v/>
      </c>
      <c r="D275" s="28" t="str">
        <f>IF('Australian MTransaction'!D275 = "","",IF($B275 = "BUY", 'Australian MTransaction'!D275,-'Australian MTransaction'!D275))</f>
        <v/>
      </c>
      <c r="E275" s="28" t="str">
        <f>IF('Australian MTransaction'!E275= "","",'Australian MTransaction'!E275)</f>
        <v/>
      </c>
      <c r="F275" s="23"/>
      <c r="G275" s="28" t="str">
        <f t="shared" si="23"/>
        <v/>
      </c>
      <c r="H275" s="28" t="str">
        <f>IF(A275="","",COUNTIF($G$2:G275,G275))</f>
        <v/>
      </c>
      <c r="I275" s="28" t="str">
        <f t="shared" si="24"/>
        <v/>
      </c>
      <c r="J275" s="28" t="str">
        <f>IF(G275="","",IF(COUNTIF($G$2:G275,G275)&gt;1,SUMIF($A$2:A275,G275,$C$2:C275),C275))</f>
        <v/>
      </c>
      <c r="K275" s="45" t="str">
        <f>IF(G275="","",IF(COUNTIF($G$2:G275,G275)&gt;1,SUMIF($A$2:A275,G275,$D$2:D275),D275) +SUMIF($G$2:G275,G275,$M$2:M275))</f>
        <v/>
      </c>
      <c r="L275" s="45" t="str">
        <f t="shared" si="25"/>
        <v/>
      </c>
      <c r="M275" s="46" t="str">
        <f>IF(G275="","",IF(B275 = "BUY", 0,(E275-VLOOKUP(CONCATENATE(G275,(H275-1)),$I$2:L274,4,FALSE))*-C275))</f>
        <v/>
      </c>
    </row>
    <row r="276" spans="1:13" ht="15" thickBot="1" x14ac:dyDescent="0.35">
      <c r="A276" s="27" t="str">
        <f>IF('Australian MTransaction'!A276= "","",'Australian MTransaction'!A276)</f>
        <v/>
      </c>
      <c r="B276" s="28" t="str">
        <f>IF('Australian MTransaction'!B276= "","",'Australian MTransaction'!B276)</f>
        <v/>
      </c>
      <c r="C276" s="28" t="str">
        <f>IF('Australian MTransaction'!C276= "","",IF(B276="BUY",'Australian MTransaction'!C276,-'Australian MTransaction'!C276))</f>
        <v/>
      </c>
      <c r="D276" s="28" t="str">
        <f>IF('Australian MTransaction'!D276 = "","",IF($B276 = "BUY", 'Australian MTransaction'!D276,-'Australian MTransaction'!D276))</f>
        <v/>
      </c>
      <c r="E276" s="28" t="str">
        <f>IF('Australian MTransaction'!E276= "","",'Australian MTransaction'!E276)</f>
        <v/>
      </c>
      <c r="F276" s="23"/>
      <c r="G276" s="28" t="str">
        <f t="shared" si="23"/>
        <v/>
      </c>
      <c r="H276" s="28" t="str">
        <f>IF(A276="","",COUNTIF($G$2:G276,G276))</f>
        <v/>
      </c>
      <c r="I276" s="28" t="str">
        <f t="shared" si="24"/>
        <v/>
      </c>
      <c r="J276" s="28" t="str">
        <f>IF(G276="","",IF(COUNTIF($G$2:G276,G276)&gt;1,SUMIF($A$2:A276,G276,$C$2:C276),C276))</f>
        <v/>
      </c>
      <c r="K276" s="45" t="str">
        <f>IF(G276="","",IF(COUNTIF($G$2:G276,G276)&gt;1,SUMIF($A$2:A276,G276,$D$2:D276),D276) +SUMIF($G$2:G276,G276,$M$2:M276))</f>
        <v/>
      </c>
      <c r="L276" s="45" t="str">
        <f t="shared" si="25"/>
        <v/>
      </c>
      <c r="M276" s="46" t="str">
        <f>IF(G276="","",IF(B276 = "BUY", 0,(E276-VLOOKUP(CONCATENATE(G276,(H276-1)),$I$2:L275,4,FALSE))*-C276))</f>
        <v/>
      </c>
    </row>
    <row r="277" spans="1:13" ht="15" thickBot="1" x14ac:dyDescent="0.35">
      <c r="A277" s="27" t="str">
        <f>IF('Australian MTransaction'!A277= "","",'Australian MTransaction'!A277)</f>
        <v/>
      </c>
      <c r="B277" s="28" t="str">
        <f>IF('Australian MTransaction'!B277= "","",'Australian MTransaction'!B277)</f>
        <v/>
      </c>
      <c r="C277" s="28" t="str">
        <f>IF('Australian MTransaction'!C277= "","",IF(B277="BUY",'Australian MTransaction'!C277,-'Australian MTransaction'!C277))</f>
        <v/>
      </c>
      <c r="D277" s="28" t="str">
        <f>IF('Australian MTransaction'!D277 = "","",IF($B277 = "BUY", 'Australian MTransaction'!D277,-'Australian MTransaction'!D277))</f>
        <v/>
      </c>
      <c r="E277" s="28" t="str">
        <f>IF('Australian MTransaction'!E277= "","",'Australian MTransaction'!E277)</f>
        <v/>
      </c>
      <c r="F277" s="23"/>
      <c r="G277" s="28" t="str">
        <f t="shared" si="23"/>
        <v/>
      </c>
      <c r="H277" s="28" t="str">
        <f>IF(A277="","",COUNTIF($G$2:G277,G277))</f>
        <v/>
      </c>
      <c r="I277" s="28" t="str">
        <f t="shared" si="24"/>
        <v/>
      </c>
      <c r="J277" s="28" t="str">
        <f>IF(G277="","",IF(COUNTIF($G$2:G277,G277)&gt;1,SUMIF($A$2:A277,G277,$C$2:C277),C277))</f>
        <v/>
      </c>
      <c r="K277" s="45" t="str">
        <f>IF(G277="","",IF(COUNTIF($G$2:G277,G277)&gt;1,SUMIF($A$2:A277,G277,$D$2:D277),D277) +SUMIF($G$2:G277,G277,$M$2:M277))</f>
        <v/>
      </c>
      <c r="L277" s="45" t="str">
        <f t="shared" si="25"/>
        <v/>
      </c>
      <c r="M277" s="46" t="str">
        <f>IF(G277="","",IF(B277 = "BUY", 0,(E277-VLOOKUP(CONCATENATE(G277,(H277-1)),$I$2:L276,4,FALSE))*-C277))</f>
        <v/>
      </c>
    </row>
    <row r="278" spans="1:13" ht="15" thickBot="1" x14ac:dyDescent="0.35">
      <c r="A278" s="27" t="str">
        <f>IF('Australian MTransaction'!A278= "","",'Australian MTransaction'!A278)</f>
        <v/>
      </c>
      <c r="B278" s="28" t="str">
        <f>IF('Australian MTransaction'!B278= "","",'Australian MTransaction'!B278)</f>
        <v/>
      </c>
      <c r="C278" s="28" t="str">
        <f>IF('Australian MTransaction'!C278= "","",IF(B278="BUY",'Australian MTransaction'!C278,-'Australian MTransaction'!C278))</f>
        <v/>
      </c>
      <c r="D278" s="28" t="str">
        <f>IF('Australian MTransaction'!D278 = "","",IF($B278 = "BUY", 'Australian MTransaction'!D278,-'Australian MTransaction'!D278))</f>
        <v/>
      </c>
      <c r="E278" s="28" t="str">
        <f>IF('Australian MTransaction'!E278= "","",'Australian MTransaction'!E278)</f>
        <v/>
      </c>
      <c r="F278" s="23"/>
      <c r="G278" s="28" t="str">
        <f t="shared" si="23"/>
        <v/>
      </c>
      <c r="H278" s="28" t="str">
        <f>IF(A278="","",COUNTIF($G$2:G278,G278))</f>
        <v/>
      </c>
      <c r="I278" s="28" t="str">
        <f t="shared" si="24"/>
        <v/>
      </c>
      <c r="J278" s="28" t="str">
        <f>IF(G278="","",IF(COUNTIF($G$2:G278,G278)&gt;1,SUMIF($A$2:A278,G278,$C$2:C278),C278))</f>
        <v/>
      </c>
      <c r="K278" s="45" t="str">
        <f>IF(G278="","",IF(COUNTIF($G$2:G278,G278)&gt;1,SUMIF($A$2:A278,G278,$D$2:D278),D278) +SUMIF($G$2:G278,G278,$M$2:M278))</f>
        <v/>
      </c>
      <c r="L278" s="45" t="str">
        <f t="shared" si="25"/>
        <v/>
      </c>
      <c r="M278" s="46" t="str">
        <f>IF(G278="","",IF(B278 = "BUY", 0,(E278-VLOOKUP(CONCATENATE(G278,(H278-1)),$I$2:L277,4,FALSE))*-C278))</f>
        <v/>
      </c>
    </row>
    <row r="279" spans="1:13" ht="15" thickBot="1" x14ac:dyDescent="0.35">
      <c r="A279" s="27" t="str">
        <f>IF('Australian MTransaction'!A279= "","",'Australian MTransaction'!A279)</f>
        <v/>
      </c>
      <c r="B279" s="28" t="str">
        <f>IF('Australian MTransaction'!B279= "","",'Australian MTransaction'!B279)</f>
        <v/>
      </c>
      <c r="C279" s="28" t="str">
        <f>IF('Australian MTransaction'!C279= "","",IF(B279="BUY",'Australian MTransaction'!C279,-'Australian MTransaction'!C279))</f>
        <v/>
      </c>
      <c r="D279" s="28" t="str">
        <f>IF('Australian MTransaction'!D279 = "","",IF($B279 = "BUY", 'Australian MTransaction'!D279,-'Australian MTransaction'!D279))</f>
        <v/>
      </c>
      <c r="E279" s="28" t="str">
        <f>IF('Australian MTransaction'!E279= "","",'Australian MTransaction'!E279)</f>
        <v/>
      </c>
      <c r="F279" s="23"/>
      <c r="G279" s="28" t="str">
        <f t="shared" si="23"/>
        <v/>
      </c>
      <c r="H279" s="28" t="str">
        <f>IF(A279="","",COUNTIF($G$2:G279,G279))</f>
        <v/>
      </c>
      <c r="I279" s="28" t="str">
        <f t="shared" si="24"/>
        <v/>
      </c>
      <c r="J279" s="28" t="str">
        <f>IF(G279="","",IF(COUNTIF($G$2:G279,G279)&gt;1,SUMIF($A$2:A279,G279,$C$2:C279),C279))</f>
        <v/>
      </c>
      <c r="K279" s="45" t="str">
        <f>IF(G279="","",IF(COUNTIF($G$2:G279,G279)&gt;1,SUMIF($A$2:A279,G279,$D$2:D279),D279) +SUMIF($G$2:G279,G279,$M$2:M279))</f>
        <v/>
      </c>
      <c r="L279" s="45" t="str">
        <f t="shared" si="25"/>
        <v/>
      </c>
      <c r="M279" s="46" t="str">
        <f>IF(G279="","",IF(B279 = "BUY", 0,(E279-VLOOKUP(CONCATENATE(G279,(H279-1)),$I$2:L278,4,FALSE))*-C279))</f>
        <v/>
      </c>
    </row>
    <row r="280" spans="1:13" ht="15" thickBot="1" x14ac:dyDescent="0.35">
      <c r="A280" s="27" t="str">
        <f>IF('Australian MTransaction'!A280= "","",'Australian MTransaction'!A280)</f>
        <v/>
      </c>
      <c r="B280" s="28" t="str">
        <f>IF('Australian MTransaction'!B280= "","",'Australian MTransaction'!B280)</f>
        <v/>
      </c>
      <c r="C280" s="28" t="str">
        <f>IF('Australian MTransaction'!C280= "","",IF(B280="BUY",'Australian MTransaction'!C280,-'Australian MTransaction'!C280))</f>
        <v/>
      </c>
      <c r="D280" s="28" t="str">
        <f>IF('Australian MTransaction'!D280 = "","",IF($B280 = "BUY", 'Australian MTransaction'!D280,-'Australian MTransaction'!D280))</f>
        <v/>
      </c>
      <c r="E280" s="28" t="str">
        <f>IF('Australian MTransaction'!E280= "","",'Australian MTransaction'!E280)</f>
        <v/>
      </c>
      <c r="F280" s="23"/>
      <c r="G280" s="28" t="str">
        <f t="shared" si="23"/>
        <v/>
      </c>
      <c r="H280" s="28" t="str">
        <f>IF(A280="","",COUNTIF($G$2:G280,G280))</f>
        <v/>
      </c>
      <c r="I280" s="28" t="str">
        <f t="shared" si="24"/>
        <v/>
      </c>
      <c r="J280" s="28" t="str">
        <f>IF(G280="","",IF(COUNTIF($G$2:G280,G280)&gt;1,SUMIF($A$2:A280,G280,$C$2:C280),C280))</f>
        <v/>
      </c>
      <c r="K280" s="45" t="str">
        <f>IF(G280="","",IF(COUNTIF($G$2:G280,G280)&gt;1,SUMIF($A$2:A280,G280,$D$2:D280),D280) +SUMIF($G$2:G280,G280,$M$2:M280))</f>
        <v/>
      </c>
      <c r="L280" s="45" t="str">
        <f t="shared" si="25"/>
        <v/>
      </c>
      <c r="M280" s="46" t="str">
        <f>IF(G280="","",IF(B280 = "BUY", 0,(E280-VLOOKUP(CONCATENATE(G280,(H280-1)),$I$2:L279,4,FALSE))*-C280))</f>
        <v/>
      </c>
    </row>
    <row r="281" spans="1:13" ht="15" thickBot="1" x14ac:dyDescent="0.35">
      <c r="A281" s="27" t="str">
        <f>IF('Australian MTransaction'!A281= "","",'Australian MTransaction'!A281)</f>
        <v/>
      </c>
      <c r="B281" s="28" t="str">
        <f>IF('Australian MTransaction'!B281= "","",'Australian MTransaction'!B281)</f>
        <v/>
      </c>
      <c r="C281" s="28" t="str">
        <f>IF('Australian MTransaction'!C281= "","",IF(B281="BUY",'Australian MTransaction'!C281,-'Australian MTransaction'!C281))</f>
        <v/>
      </c>
      <c r="D281" s="28" t="str">
        <f>IF('Australian MTransaction'!D281 = "","",IF($B281 = "BUY", 'Australian MTransaction'!D281,-'Australian MTransaction'!D281))</f>
        <v/>
      </c>
      <c r="E281" s="28" t="str">
        <f>IF('Australian MTransaction'!E281= "","",'Australian MTransaction'!E281)</f>
        <v/>
      </c>
      <c r="F281" s="23"/>
      <c r="G281" s="28" t="str">
        <f t="shared" si="23"/>
        <v/>
      </c>
      <c r="H281" s="28" t="str">
        <f>IF(A281="","",COUNTIF($G$2:G281,G281))</f>
        <v/>
      </c>
      <c r="I281" s="28" t="str">
        <f t="shared" si="24"/>
        <v/>
      </c>
      <c r="J281" s="28" t="str">
        <f>IF(G281="","",IF(COUNTIF($G$2:G281,G281)&gt;1,SUMIF($A$2:A281,G281,$C$2:C281),C281))</f>
        <v/>
      </c>
      <c r="K281" s="45" t="str">
        <f>IF(G281="","",IF(COUNTIF($G$2:G281,G281)&gt;1,SUMIF($A$2:A281,G281,$D$2:D281),D281) +SUMIF($G$2:G281,G281,$M$2:M281))</f>
        <v/>
      </c>
      <c r="L281" s="45" t="str">
        <f t="shared" si="25"/>
        <v/>
      </c>
      <c r="M281" s="46" t="str">
        <f>IF(G281="","",IF(B281 = "BUY", 0,(E281-VLOOKUP(CONCATENATE(G281,(H281-1)),$I$2:L280,4,FALSE))*-C281))</f>
        <v/>
      </c>
    </row>
    <row r="282" spans="1:13" ht="15" thickBot="1" x14ac:dyDescent="0.35">
      <c r="A282" s="27" t="str">
        <f>IF('Australian MTransaction'!A282= "","",'Australian MTransaction'!A282)</f>
        <v/>
      </c>
      <c r="B282" s="28" t="str">
        <f>IF('Australian MTransaction'!B282= "","",'Australian MTransaction'!B282)</f>
        <v/>
      </c>
      <c r="C282" s="28" t="str">
        <f>IF('Australian MTransaction'!C282= "","",IF(B282="BUY",'Australian MTransaction'!C282,-'Australian MTransaction'!C282))</f>
        <v/>
      </c>
      <c r="D282" s="28" t="str">
        <f>IF('Australian MTransaction'!D282 = "","",IF($B282 = "BUY", 'Australian MTransaction'!D282,-'Australian MTransaction'!D282))</f>
        <v/>
      </c>
      <c r="E282" s="28" t="str">
        <f>IF('Australian MTransaction'!E282= "","",'Australian MTransaction'!E282)</f>
        <v/>
      </c>
      <c r="F282" s="23"/>
      <c r="G282" s="28" t="str">
        <f t="shared" si="23"/>
        <v/>
      </c>
      <c r="H282" s="28" t="str">
        <f>IF(A282="","",COUNTIF($G$2:G282,G282))</f>
        <v/>
      </c>
      <c r="I282" s="28" t="str">
        <f t="shared" si="24"/>
        <v/>
      </c>
      <c r="J282" s="28" t="str">
        <f>IF(G282="","",IF(COUNTIF($G$2:G282,G282)&gt;1,SUMIF($A$2:A282,G282,$C$2:C282),C282))</f>
        <v/>
      </c>
      <c r="K282" s="45" t="str">
        <f>IF(G282="","",IF(COUNTIF($G$2:G282,G282)&gt;1,SUMIF($A$2:A282,G282,$D$2:D282),D282) +SUMIF($G$2:G282,G282,$M$2:M282))</f>
        <v/>
      </c>
      <c r="L282" s="45" t="str">
        <f t="shared" si="25"/>
        <v/>
      </c>
      <c r="M282" s="46" t="str">
        <f>IF(G282="","",IF(B282 = "BUY", 0,(E282-VLOOKUP(CONCATENATE(G282,(H282-1)),$I$2:L281,4,FALSE))*-C282))</f>
        <v/>
      </c>
    </row>
    <row r="283" spans="1:13" ht="15" thickBot="1" x14ac:dyDescent="0.35">
      <c r="A283" s="27" t="str">
        <f>IF('Australian MTransaction'!A283= "","",'Australian MTransaction'!A283)</f>
        <v/>
      </c>
      <c r="B283" s="28" t="str">
        <f>IF('Australian MTransaction'!B283= "","",'Australian MTransaction'!B283)</f>
        <v/>
      </c>
      <c r="C283" s="28" t="str">
        <f>IF('Australian MTransaction'!C283= "","",IF(B283="BUY",'Australian MTransaction'!C283,-'Australian MTransaction'!C283))</f>
        <v/>
      </c>
      <c r="D283" s="28" t="str">
        <f>IF('Australian MTransaction'!D283 = "","",IF($B283 = "BUY", 'Australian MTransaction'!D283,-'Australian MTransaction'!D283))</f>
        <v/>
      </c>
      <c r="E283" s="28" t="str">
        <f>IF('Australian MTransaction'!E283= "","",'Australian MTransaction'!E283)</f>
        <v/>
      </c>
      <c r="F283" s="23"/>
      <c r="G283" s="28" t="str">
        <f t="shared" si="23"/>
        <v/>
      </c>
      <c r="H283" s="28" t="str">
        <f>IF(A283="","",COUNTIF($G$2:G283,G283))</f>
        <v/>
      </c>
      <c r="I283" s="28" t="str">
        <f t="shared" si="24"/>
        <v/>
      </c>
      <c r="J283" s="28" t="str">
        <f>IF(G283="","",IF(COUNTIF($G$2:G283,G283)&gt;1,SUMIF($A$2:A283,G283,$C$2:C283),C283))</f>
        <v/>
      </c>
      <c r="K283" s="45" t="str">
        <f>IF(G283="","",IF(COUNTIF($G$2:G283,G283)&gt;1,SUMIF($A$2:A283,G283,$D$2:D283),D283) +SUMIF($G$2:G283,G283,$M$2:M283))</f>
        <v/>
      </c>
      <c r="L283" s="45" t="str">
        <f t="shared" si="25"/>
        <v/>
      </c>
      <c r="M283" s="46" t="str">
        <f>IF(G283="","",IF(B283 = "BUY", 0,(E283-VLOOKUP(CONCATENATE(G283,(H283-1)),$I$2:L282,4,FALSE))*-C283))</f>
        <v/>
      </c>
    </row>
    <row r="284" spans="1:13" ht="15" thickBot="1" x14ac:dyDescent="0.35">
      <c r="A284" s="27" t="str">
        <f>IF('Australian MTransaction'!A284= "","",'Australian MTransaction'!A284)</f>
        <v/>
      </c>
      <c r="B284" s="28" t="str">
        <f>IF('Australian MTransaction'!B284= "","",'Australian MTransaction'!B284)</f>
        <v/>
      </c>
      <c r="C284" s="28" t="str">
        <f>IF('Australian MTransaction'!C284= "","",IF(B284="BUY",'Australian MTransaction'!C284,-'Australian MTransaction'!C284))</f>
        <v/>
      </c>
      <c r="D284" s="28" t="str">
        <f>IF('Australian MTransaction'!D284 = "","",IF($B284 = "BUY", 'Australian MTransaction'!D284,-'Australian MTransaction'!D284))</f>
        <v/>
      </c>
      <c r="E284" s="28" t="str">
        <f>IF('Australian MTransaction'!E284= "","",'Australian MTransaction'!E284)</f>
        <v/>
      </c>
      <c r="F284" s="23"/>
      <c r="G284" s="28" t="str">
        <f t="shared" si="23"/>
        <v/>
      </c>
      <c r="H284" s="28" t="str">
        <f>IF(A284="","",COUNTIF($G$2:G284,G284))</f>
        <v/>
      </c>
      <c r="I284" s="28" t="str">
        <f t="shared" si="24"/>
        <v/>
      </c>
      <c r="J284" s="28" t="str">
        <f>IF(G284="","",IF(COUNTIF($G$2:G284,G284)&gt;1,SUMIF($A$2:A284,G284,$C$2:C284),C284))</f>
        <v/>
      </c>
      <c r="K284" s="45" t="str">
        <f>IF(G284="","",IF(COUNTIF($G$2:G284,G284)&gt;1,SUMIF($A$2:A284,G284,$D$2:D284),D284) +SUMIF($G$2:G284,G284,$M$2:M284))</f>
        <v/>
      </c>
      <c r="L284" s="45" t="str">
        <f t="shared" si="25"/>
        <v/>
      </c>
      <c r="M284" s="46" t="str">
        <f>IF(G284="","",IF(B284 = "BUY", 0,(E284-VLOOKUP(CONCATENATE(G284,(H284-1)),$I$2:L283,4,FALSE))*-C284))</f>
        <v/>
      </c>
    </row>
    <row r="285" spans="1:13" ht="15" thickBot="1" x14ac:dyDescent="0.35">
      <c r="A285" s="27" t="str">
        <f>IF('Australian MTransaction'!A285= "","",'Australian MTransaction'!A285)</f>
        <v/>
      </c>
      <c r="B285" s="28" t="str">
        <f>IF('Australian MTransaction'!B285= "","",'Australian MTransaction'!B285)</f>
        <v/>
      </c>
      <c r="C285" s="28" t="str">
        <f>IF('Australian MTransaction'!C285= "","",IF(B285="BUY",'Australian MTransaction'!C285,-'Australian MTransaction'!C285))</f>
        <v/>
      </c>
      <c r="D285" s="28" t="str">
        <f>IF('Australian MTransaction'!D285 = "","",IF($B285 = "BUY", 'Australian MTransaction'!D285,-'Australian MTransaction'!D285))</f>
        <v/>
      </c>
      <c r="E285" s="28" t="str">
        <f>IF('Australian MTransaction'!E285= "","",'Australian MTransaction'!E285)</f>
        <v/>
      </c>
      <c r="F285" s="23"/>
      <c r="G285" s="28" t="str">
        <f t="shared" si="23"/>
        <v/>
      </c>
      <c r="H285" s="28" t="str">
        <f>IF(A285="","",COUNTIF($G$2:G285,G285))</f>
        <v/>
      </c>
      <c r="I285" s="28" t="str">
        <f t="shared" si="24"/>
        <v/>
      </c>
      <c r="J285" s="28" t="str">
        <f>IF(G285="","",IF(COUNTIF($G$2:G285,G285)&gt;1,SUMIF($A$2:A285,G285,$C$2:C285),C285))</f>
        <v/>
      </c>
      <c r="K285" s="45" t="str">
        <f>IF(G285="","",IF(COUNTIF($G$2:G285,G285)&gt;1,SUMIF($A$2:A285,G285,$D$2:D285),D285) +SUMIF($G$2:G285,G285,$M$2:M285))</f>
        <v/>
      </c>
      <c r="L285" s="45" t="str">
        <f t="shared" si="25"/>
        <v/>
      </c>
      <c r="M285" s="46" t="str">
        <f>IF(G285="","",IF(B285 = "BUY", 0,(E285-VLOOKUP(CONCATENATE(G285,(H285-1)),$I$2:L284,4,FALSE))*-C285))</f>
        <v/>
      </c>
    </row>
    <row r="286" spans="1:13" ht="15" thickBot="1" x14ac:dyDescent="0.35">
      <c r="A286" s="27" t="str">
        <f>IF('Australian MTransaction'!A286= "","",'Australian MTransaction'!A286)</f>
        <v/>
      </c>
      <c r="B286" s="28" t="str">
        <f>IF('Australian MTransaction'!B286= "","",'Australian MTransaction'!B286)</f>
        <v/>
      </c>
      <c r="C286" s="28" t="str">
        <f>IF('Australian MTransaction'!C286= "","",IF(B286="BUY",'Australian MTransaction'!C286,-'Australian MTransaction'!C286))</f>
        <v/>
      </c>
      <c r="D286" s="28" t="str">
        <f>IF('Australian MTransaction'!D286 = "","",IF($B286 = "BUY", 'Australian MTransaction'!D286,-'Australian MTransaction'!D286))</f>
        <v/>
      </c>
      <c r="E286" s="28" t="str">
        <f>IF('Australian MTransaction'!E286= "","",'Australian MTransaction'!E286)</f>
        <v/>
      </c>
      <c r="F286" s="23"/>
      <c r="G286" s="28" t="str">
        <f t="shared" si="23"/>
        <v/>
      </c>
      <c r="H286" s="28" t="str">
        <f>IF(A286="","",COUNTIF($G$2:G286,G286))</f>
        <v/>
      </c>
      <c r="I286" s="28" t="str">
        <f t="shared" si="24"/>
        <v/>
      </c>
      <c r="J286" s="28" t="str">
        <f>IF(G286="","",IF(COUNTIF($G$2:G286,G286)&gt;1,SUMIF($A$2:A286,G286,$C$2:C286),C286))</f>
        <v/>
      </c>
      <c r="K286" s="45" t="str">
        <f>IF(G286="","",IF(COUNTIF($G$2:G286,G286)&gt;1,SUMIF($A$2:A286,G286,$D$2:D286),D286) +SUMIF($G$2:G286,G286,$M$2:M286))</f>
        <v/>
      </c>
      <c r="L286" s="45" t="str">
        <f t="shared" si="25"/>
        <v/>
      </c>
      <c r="M286" s="46" t="str">
        <f>IF(G286="","",IF(B286 = "BUY", 0,(E286-VLOOKUP(CONCATENATE(G286,(H286-1)),$I$2:L285,4,FALSE))*-C286))</f>
        <v/>
      </c>
    </row>
    <row r="287" spans="1:13" ht="15" thickBot="1" x14ac:dyDescent="0.35">
      <c r="A287" s="27" t="str">
        <f>IF('Australian MTransaction'!A287= "","",'Australian MTransaction'!A287)</f>
        <v/>
      </c>
      <c r="B287" s="28" t="str">
        <f>IF('Australian MTransaction'!B287= "","",'Australian MTransaction'!B287)</f>
        <v/>
      </c>
      <c r="C287" s="28" t="str">
        <f>IF('Australian MTransaction'!C287= "","",IF(B287="BUY",'Australian MTransaction'!C287,-'Australian MTransaction'!C287))</f>
        <v/>
      </c>
      <c r="D287" s="28" t="str">
        <f>IF('Australian MTransaction'!D287 = "","",IF($B287 = "BUY", 'Australian MTransaction'!D287,-'Australian MTransaction'!D287))</f>
        <v/>
      </c>
      <c r="E287" s="28" t="str">
        <f>IF('Australian MTransaction'!E287= "","",'Australian MTransaction'!E287)</f>
        <v/>
      </c>
      <c r="F287" s="23"/>
      <c r="G287" s="28" t="str">
        <f t="shared" si="23"/>
        <v/>
      </c>
      <c r="H287" s="28" t="str">
        <f>IF(A287="","",COUNTIF($G$2:G287,G287))</f>
        <v/>
      </c>
      <c r="I287" s="28" t="str">
        <f t="shared" si="24"/>
        <v/>
      </c>
      <c r="J287" s="28" t="str">
        <f>IF(G287="","",IF(COUNTIF($G$2:G287,G287)&gt;1,SUMIF($A$2:A287,G287,$C$2:C287),C287))</f>
        <v/>
      </c>
      <c r="K287" s="45" t="str">
        <f>IF(G287="","",IF(COUNTIF($G$2:G287,G287)&gt;1,SUMIF($A$2:A287,G287,$D$2:D287),D287) +SUMIF($G$2:G287,G287,$M$2:M287))</f>
        <v/>
      </c>
      <c r="L287" s="45" t="str">
        <f t="shared" si="25"/>
        <v/>
      </c>
      <c r="M287" s="46" t="str">
        <f>IF(G287="","",IF(B287 = "BUY", 0,(E287-VLOOKUP(CONCATENATE(G287,(H287-1)),$I$2:L286,4,FALSE))*-C287))</f>
        <v/>
      </c>
    </row>
    <row r="288" spans="1:13" ht="15" thickBot="1" x14ac:dyDescent="0.35">
      <c r="A288" s="27" t="str">
        <f>IF('Australian MTransaction'!A288= "","",'Australian MTransaction'!A288)</f>
        <v/>
      </c>
      <c r="B288" s="28" t="str">
        <f>IF('Australian MTransaction'!B288= "","",'Australian MTransaction'!B288)</f>
        <v/>
      </c>
      <c r="C288" s="28" t="str">
        <f>IF('Australian MTransaction'!C288= "","",IF(B288="BUY",'Australian MTransaction'!C288,-'Australian MTransaction'!C288))</f>
        <v/>
      </c>
      <c r="D288" s="28" t="str">
        <f>IF('Australian MTransaction'!D288 = "","",IF($B288 = "BUY", 'Australian MTransaction'!D288,-'Australian MTransaction'!D288))</f>
        <v/>
      </c>
      <c r="E288" s="28" t="str">
        <f>IF('Australian MTransaction'!E288= "","",'Australian MTransaction'!E288)</f>
        <v/>
      </c>
      <c r="F288" s="23"/>
      <c r="G288" s="28" t="str">
        <f t="shared" si="23"/>
        <v/>
      </c>
      <c r="H288" s="28" t="str">
        <f>IF(A288="","",COUNTIF($G$2:G288,G288))</f>
        <v/>
      </c>
      <c r="I288" s="28" t="str">
        <f t="shared" si="24"/>
        <v/>
      </c>
      <c r="J288" s="28" t="str">
        <f>IF(G288="","",IF(COUNTIF($G$2:G288,G288)&gt;1,SUMIF($A$2:A288,G288,$C$2:C288),C288))</f>
        <v/>
      </c>
      <c r="K288" s="45" t="str">
        <f>IF(G288="","",IF(COUNTIF($G$2:G288,G288)&gt;1,SUMIF($A$2:A288,G288,$D$2:D288),D288) +SUMIF($G$2:G288,G288,$M$2:M288))</f>
        <v/>
      </c>
      <c r="L288" s="45" t="str">
        <f t="shared" si="25"/>
        <v/>
      </c>
      <c r="M288" s="46" t="str">
        <f>IF(G288="","",IF(B288 = "BUY", 0,(E288-VLOOKUP(CONCATENATE(G288,(H288-1)),$I$2:L287,4,FALSE))*-C288))</f>
        <v/>
      </c>
    </row>
    <row r="289" spans="1:13" ht="15" thickBot="1" x14ac:dyDescent="0.35">
      <c r="A289" s="27" t="str">
        <f>IF('Australian MTransaction'!A289= "","",'Australian MTransaction'!A289)</f>
        <v/>
      </c>
      <c r="B289" s="28" t="str">
        <f>IF('Australian MTransaction'!B289= "","",'Australian MTransaction'!B289)</f>
        <v/>
      </c>
      <c r="C289" s="28" t="str">
        <f>IF('Australian MTransaction'!C289= "","",IF(B289="BUY",'Australian MTransaction'!C289,-'Australian MTransaction'!C289))</f>
        <v/>
      </c>
      <c r="D289" s="28" t="str">
        <f>IF('Australian MTransaction'!D289 = "","",IF($B289 = "BUY", 'Australian MTransaction'!D289,-'Australian MTransaction'!D289))</f>
        <v/>
      </c>
      <c r="E289" s="28" t="str">
        <f>IF('Australian MTransaction'!E289= "","",'Australian MTransaction'!E289)</f>
        <v/>
      </c>
      <c r="F289" s="23"/>
      <c r="G289" s="28" t="str">
        <f t="shared" si="23"/>
        <v/>
      </c>
      <c r="H289" s="28" t="str">
        <f>IF(A289="","",COUNTIF($G$2:G289,G289))</f>
        <v/>
      </c>
      <c r="I289" s="28" t="str">
        <f t="shared" si="24"/>
        <v/>
      </c>
      <c r="J289" s="28" t="str">
        <f>IF(G289="","",IF(COUNTIF($G$2:G289,G289)&gt;1,SUMIF($A$2:A289,G289,$C$2:C289),C289))</f>
        <v/>
      </c>
      <c r="K289" s="45" t="str">
        <f>IF(G289="","",IF(COUNTIF($G$2:G289,G289)&gt;1,SUMIF($A$2:A289,G289,$D$2:D289),D289) +SUMIF($G$2:G289,G289,$M$2:M289))</f>
        <v/>
      </c>
      <c r="L289" s="45" t="str">
        <f t="shared" si="25"/>
        <v/>
      </c>
      <c r="M289" s="46" t="str">
        <f>IF(G289="","",IF(B289 = "BUY", 0,(E289-VLOOKUP(CONCATENATE(G289,(H289-1)),$I$2:L288,4,FALSE))*-C289))</f>
        <v/>
      </c>
    </row>
    <row r="290" spans="1:13" ht="15" thickBot="1" x14ac:dyDescent="0.35">
      <c r="A290" s="27" t="str">
        <f>IF('Australian MTransaction'!A290= "","",'Australian MTransaction'!A290)</f>
        <v/>
      </c>
      <c r="B290" s="28" t="str">
        <f>IF('Australian MTransaction'!B290= "","",'Australian MTransaction'!B290)</f>
        <v/>
      </c>
      <c r="C290" s="28" t="str">
        <f>IF('Australian MTransaction'!C290= "","",IF(B290="BUY",'Australian MTransaction'!C290,-'Australian MTransaction'!C290))</f>
        <v/>
      </c>
      <c r="D290" s="28" t="str">
        <f>IF('Australian MTransaction'!D290 = "","",IF($B290 = "BUY", 'Australian MTransaction'!D290,-'Australian MTransaction'!D290))</f>
        <v/>
      </c>
      <c r="E290" s="28" t="str">
        <f>IF('Australian MTransaction'!E290= "","",'Australian MTransaction'!E290)</f>
        <v/>
      </c>
      <c r="F290" s="23"/>
      <c r="G290" s="28" t="str">
        <f t="shared" si="23"/>
        <v/>
      </c>
      <c r="H290" s="28" t="str">
        <f>IF(A290="","",COUNTIF($G$2:G290,G290))</f>
        <v/>
      </c>
      <c r="I290" s="28" t="str">
        <f t="shared" si="24"/>
        <v/>
      </c>
      <c r="J290" s="28" t="str">
        <f>IF(G290="","",IF(COUNTIF($G$2:G290,G290)&gt;1,SUMIF($A$2:A290,G290,$C$2:C290),C290))</f>
        <v/>
      </c>
      <c r="K290" s="45" t="str">
        <f>IF(G290="","",IF(COUNTIF($G$2:G290,G290)&gt;1,SUMIF($A$2:A290,G290,$D$2:D290),D290) +SUMIF($G$2:G290,G290,$M$2:M290))</f>
        <v/>
      </c>
      <c r="L290" s="45" t="str">
        <f t="shared" si="25"/>
        <v/>
      </c>
      <c r="M290" s="46" t="str">
        <f>IF(G290="","",IF(B290 = "BUY", 0,(E290-VLOOKUP(CONCATENATE(G290,(H290-1)),$I$2:L289,4,FALSE))*-C290))</f>
        <v/>
      </c>
    </row>
    <row r="291" spans="1:13" ht="15" thickBot="1" x14ac:dyDescent="0.35">
      <c r="A291" s="27" t="str">
        <f>IF('Australian MTransaction'!A291= "","",'Australian MTransaction'!A291)</f>
        <v/>
      </c>
      <c r="B291" s="28" t="str">
        <f>IF('Australian MTransaction'!B291= "","",'Australian MTransaction'!B291)</f>
        <v/>
      </c>
      <c r="C291" s="28" t="str">
        <f>IF('Australian MTransaction'!C291= "","",IF(B291="BUY",'Australian MTransaction'!C291,-'Australian MTransaction'!C291))</f>
        <v/>
      </c>
      <c r="D291" s="28" t="str">
        <f>IF('Australian MTransaction'!D291 = "","",IF($B291 = "BUY", 'Australian MTransaction'!D291,-'Australian MTransaction'!D291))</f>
        <v/>
      </c>
      <c r="E291" s="28" t="str">
        <f>IF('Australian MTransaction'!E291= "","",'Australian MTransaction'!E291)</f>
        <v/>
      </c>
      <c r="F291" s="23"/>
      <c r="G291" s="28" t="str">
        <f t="shared" si="23"/>
        <v/>
      </c>
      <c r="H291" s="28" t="str">
        <f>IF(A291="","",COUNTIF($G$2:G291,G291))</f>
        <v/>
      </c>
      <c r="I291" s="28" t="str">
        <f t="shared" si="24"/>
        <v/>
      </c>
      <c r="J291" s="28" t="str">
        <f>IF(G291="","",IF(COUNTIF($G$2:G291,G291)&gt;1,SUMIF($A$2:A291,G291,$C$2:C291),C291))</f>
        <v/>
      </c>
      <c r="K291" s="45" t="str">
        <f>IF(G291="","",IF(COUNTIF($G$2:G291,G291)&gt;1,SUMIF($A$2:A291,G291,$D$2:D291),D291) +SUMIF($G$2:G291,G291,$M$2:M291))</f>
        <v/>
      </c>
      <c r="L291" s="45" t="str">
        <f t="shared" si="25"/>
        <v/>
      </c>
      <c r="M291" s="46" t="str">
        <f>IF(G291="","",IF(B291 = "BUY", 0,(E291-VLOOKUP(CONCATENATE(G291,(H291-1)),$I$2:L290,4,FALSE))*-C291))</f>
        <v/>
      </c>
    </row>
    <row r="292" spans="1:13" ht="15" thickBot="1" x14ac:dyDescent="0.35">
      <c r="A292" s="27" t="str">
        <f>IF('Australian MTransaction'!A292= "","",'Australian MTransaction'!A292)</f>
        <v/>
      </c>
      <c r="B292" s="28" t="str">
        <f>IF('Australian MTransaction'!B292= "","",'Australian MTransaction'!B292)</f>
        <v/>
      </c>
      <c r="C292" s="28" t="str">
        <f>IF('Australian MTransaction'!C292= "","",IF(B292="BUY",'Australian MTransaction'!C292,-'Australian MTransaction'!C292))</f>
        <v/>
      </c>
      <c r="D292" s="28" t="str">
        <f>IF('Australian MTransaction'!D292 = "","",IF($B292 = "BUY", 'Australian MTransaction'!D292,-'Australian MTransaction'!D292))</f>
        <v/>
      </c>
      <c r="E292" s="28" t="str">
        <f>IF('Australian MTransaction'!E292= "","",'Australian MTransaction'!E292)</f>
        <v/>
      </c>
      <c r="F292" s="23"/>
      <c r="G292" s="28" t="str">
        <f t="shared" si="23"/>
        <v/>
      </c>
      <c r="H292" s="28" t="str">
        <f>IF(A292="","",COUNTIF($G$2:G292,G292))</f>
        <v/>
      </c>
      <c r="I292" s="28" t="str">
        <f t="shared" si="24"/>
        <v/>
      </c>
      <c r="J292" s="28" t="str">
        <f>IF(G292="","",IF(COUNTIF($G$2:G292,G292)&gt;1,SUMIF($A$2:A292,G292,$C$2:C292),C292))</f>
        <v/>
      </c>
      <c r="K292" s="45" t="str">
        <f>IF(G292="","",IF(COUNTIF($G$2:G292,G292)&gt;1,SUMIF($A$2:A292,G292,$D$2:D292),D292) +SUMIF($G$2:G292,G292,$M$2:M292))</f>
        <v/>
      </c>
      <c r="L292" s="45" t="str">
        <f t="shared" si="25"/>
        <v/>
      </c>
      <c r="M292" s="46" t="str">
        <f>IF(G292="","",IF(B292 = "BUY", 0,(E292-VLOOKUP(CONCATENATE(G292,(H292-1)),$I$2:L291,4,FALSE))*-C292))</f>
        <v/>
      </c>
    </row>
    <row r="293" spans="1:13" ht="15" thickBot="1" x14ac:dyDescent="0.35">
      <c r="A293" s="27" t="str">
        <f>IF('Australian MTransaction'!A293= "","",'Australian MTransaction'!A293)</f>
        <v/>
      </c>
      <c r="B293" s="28" t="str">
        <f>IF('Australian MTransaction'!B293= "","",'Australian MTransaction'!B293)</f>
        <v/>
      </c>
      <c r="C293" s="28" t="str">
        <f>IF('Australian MTransaction'!C293= "","",IF(B293="BUY",'Australian MTransaction'!C293,-'Australian MTransaction'!C293))</f>
        <v/>
      </c>
      <c r="D293" s="28" t="str">
        <f>IF('Australian MTransaction'!D293 = "","",IF($B293 = "BUY", 'Australian MTransaction'!D293,-'Australian MTransaction'!D293))</f>
        <v/>
      </c>
      <c r="E293" s="28" t="str">
        <f>IF('Australian MTransaction'!E293= "","",'Australian MTransaction'!E293)</f>
        <v/>
      </c>
      <c r="F293" s="23"/>
      <c r="G293" s="28" t="str">
        <f t="shared" si="23"/>
        <v/>
      </c>
      <c r="H293" s="28" t="str">
        <f>IF(A293="","",COUNTIF($G$2:G293,G293))</f>
        <v/>
      </c>
      <c r="I293" s="28" t="str">
        <f t="shared" si="24"/>
        <v/>
      </c>
      <c r="J293" s="28" t="str">
        <f>IF(G293="","",IF(COUNTIF($G$2:G293,G293)&gt;1,SUMIF($A$2:A293,G293,$C$2:C293),C293))</f>
        <v/>
      </c>
      <c r="K293" s="45" t="str">
        <f>IF(G293="","",IF(COUNTIF($G$2:G293,G293)&gt;1,SUMIF($A$2:A293,G293,$D$2:D293),D293) +SUMIF($G$2:G293,G293,$M$2:M293))</f>
        <v/>
      </c>
      <c r="L293" s="45" t="str">
        <f t="shared" si="25"/>
        <v/>
      </c>
      <c r="M293" s="46" t="str">
        <f>IF(G293="","",IF(B293 = "BUY", 0,(E293-VLOOKUP(CONCATENATE(G293,(H293-1)),$I$2:L292,4,FALSE))*-C293))</f>
        <v/>
      </c>
    </row>
    <row r="294" spans="1:13" ht="15" thickBot="1" x14ac:dyDescent="0.35">
      <c r="A294" s="27" t="str">
        <f>IF('Australian MTransaction'!A294= "","",'Australian MTransaction'!A294)</f>
        <v/>
      </c>
      <c r="B294" s="28" t="str">
        <f>IF('Australian MTransaction'!B294= "","",'Australian MTransaction'!B294)</f>
        <v/>
      </c>
      <c r="C294" s="28" t="str">
        <f>IF('Australian MTransaction'!C294= "","",IF(B294="BUY",'Australian MTransaction'!C294,-'Australian MTransaction'!C294))</f>
        <v/>
      </c>
      <c r="D294" s="28" t="str">
        <f>IF('Australian MTransaction'!D294 = "","",IF($B294 = "BUY", 'Australian MTransaction'!D294,-'Australian MTransaction'!D294))</f>
        <v/>
      </c>
      <c r="E294" s="28" t="str">
        <f>IF('Australian MTransaction'!E294= "","",'Australian MTransaction'!E294)</f>
        <v/>
      </c>
      <c r="F294" s="23"/>
      <c r="G294" s="28" t="str">
        <f t="shared" si="23"/>
        <v/>
      </c>
      <c r="H294" s="28" t="str">
        <f>IF(A294="","",COUNTIF($G$2:G294,G294))</f>
        <v/>
      </c>
      <c r="I294" s="28" t="str">
        <f t="shared" si="24"/>
        <v/>
      </c>
      <c r="J294" s="28" t="str">
        <f>IF(G294="","",IF(COUNTIF($G$2:G294,G294)&gt;1,SUMIF($A$2:A294,G294,$C$2:C294),C294))</f>
        <v/>
      </c>
      <c r="K294" s="45" t="str">
        <f>IF(G294="","",IF(COUNTIF($G$2:G294,G294)&gt;1,SUMIF($A$2:A294,G294,$D$2:D294),D294) +SUMIF($G$2:G294,G294,$M$2:M294))</f>
        <v/>
      </c>
      <c r="L294" s="45" t="str">
        <f t="shared" si="25"/>
        <v/>
      </c>
      <c r="M294" s="46" t="str">
        <f>IF(G294="","",IF(B294 = "BUY", 0,(E294-VLOOKUP(CONCATENATE(G294,(H294-1)),$I$2:L293,4,FALSE))*-C294))</f>
        <v/>
      </c>
    </row>
    <row r="295" spans="1:13" ht="15" thickBot="1" x14ac:dyDescent="0.35">
      <c r="A295" s="27" t="str">
        <f>IF('Australian MTransaction'!A295= "","",'Australian MTransaction'!A295)</f>
        <v/>
      </c>
      <c r="B295" s="28" t="str">
        <f>IF('Australian MTransaction'!B295= "","",'Australian MTransaction'!B295)</f>
        <v/>
      </c>
      <c r="C295" s="28" t="str">
        <f>IF('Australian MTransaction'!C295= "","",IF(B295="BUY",'Australian MTransaction'!C295,-'Australian MTransaction'!C295))</f>
        <v/>
      </c>
      <c r="D295" s="28" t="str">
        <f>IF('Australian MTransaction'!D295 = "","",IF($B295 = "BUY", 'Australian MTransaction'!D295,-'Australian MTransaction'!D295))</f>
        <v/>
      </c>
      <c r="E295" s="28" t="str">
        <f>IF('Australian MTransaction'!E295= "","",'Australian MTransaction'!E295)</f>
        <v/>
      </c>
      <c r="F295" s="23"/>
      <c r="G295" s="28" t="str">
        <f t="shared" si="23"/>
        <v/>
      </c>
      <c r="H295" s="28" t="str">
        <f>IF(A295="","",COUNTIF($G$2:G295,G295))</f>
        <v/>
      </c>
      <c r="I295" s="28" t="str">
        <f t="shared" si="24"/>
        <v/>
      </c>
      <c r="J295" s="28" t="str">
        <f>IF(G295="","",IF(COUNTIF($G$2:G295,G295)&gt;1,SUMIF($A$2:A295,G295,$C$2:C295),C295))</f>
        <v/>
      </c>
      <c r="K295" s="45" t="str">
        <f>IF(G295="","",IF(COUNTIF($G$2:G295,G295)&gt;1,SUMIF($A$2:A295,G295,$D$2:D295),D295) +SUMIF($G$2:G295,G295,$M$2:M295))</f>
        <v/>
      </c>
      <c r="L295" s="45" t="str">
        <f t="shared" si="25"/>
        <v/>
      </c>
      <c r="M295" s="46" t="str">
        <f>IF(G295="","",IF(B295 = "BUY", 0,(E295-VLOOKUP(CONCATENATE(G295,(H295-1)),$I$2:L294,4,FALSE))*-C295))</f>
        <v/>
      </c>
    </row>
    <row r="296" spans="1:13" ht="15" thickBot="1" x14ac:dyDescent="0.35">
      <c r="A296" s="27" t="str">
        <f>IF('Australian MTransaction'!A296= "","",'Australian MTransaction'!A296)</f>
        <v/>
      </c>
      <c r="B296" s="28" t="str">
        <f>IF('Australian MTransaction'!B296= "","",'Australian MTransaction'!B296)</f>
        <v/>
      </c>
      <c r="C296" s="28" t="str">
        <f>IF('Australian MTransaction'!C296= "","",IF(B296="BUY",'Australian MTransaction'!C296,-'Australian MTransaction'!C296))</f>
        <v/>
      </c>
      <c r="D296" s="28" t="str">
        <f>IF('Australian MTransaction'!D296 = "","",IF($B296 = "BUY", 'Australian MTransaction'!D296,-'Australian MTransaction'!D296))</f>
        <v/>
      </c>
      <c r="E296" s="28" t="str">
        <f>IF('Australian MTransaction'!E296= "","",'Australian MTransaction'!E296)</f>
        <v/>
      </c>
      <c r="F296" s="23"/>
      <c r="G296" s="28" t="str">
        <f t="shared" si="23"/>
        <v/>
      </c>
      <c r="H296" s="28" t="str">
        <f>IF(A296="","",COUNTIF($G$2:G296,G296))</f>
        <v/>
      </c>
      <c r="I296" s="28" t="str">
        <f t="shared" si="24"/>
        <v/>
      </c>
      <c r="J296" s="28" t="str">
        <f>IF(G296="","",IF(COUNTIF($G$2:G296,G296)&gt;1,SUMIF($A$2:A296,G296,$C$2:C296),C296))</f>
        <v/>
      </c>
      <c r="K296" s="45" t="str">
        <f>IF(G296="","",IF(COUNTIF($G$2:G296,G296)&gt;1,SUMIF($A$2:A296,G296,$D$2:D296),D296) +SUMIF($G$2:G296,G296,$M$2:M296))</f>
        <v/>
      </c>
      <c r="L296" s="45" t="str">
        <f t="shared" si="25"/>
        <v/>
      </c>
      <c r="M296" s="46" t="str">
        <f>IF(G296="","",IF(B296 = "BUY", 0,(E296-VLOOKUP(CONCATENATE(G296,(H296-1)),$I$2:L295,4,FALSE))*-C296))</f>
        <v/>
      </c>
    </row>
    <row r="297" spans="1:13" ht="15" thickBot="1" x14ac:dyDescent="0.35">
      <c r="A297" s="27" t="str">
        <f>IF('Australian MTransaction'!A297= "","",'Australian MTransaction'!A297)</f>
        <v/>
      </c>
      <c r="B297" s="28" t="str">
        <f>IF('Australian MTransaction'!B297= "","",'Australian MTransaction'!B297)</f>
        <v/>
      </c>
      <c r="C297" s="28" t="str">
        <f>IF('Australian MTransaction'!C297= "","",IF(B297="BUY",'Australian MTransaction'!C297,-'Australian MTransaction'!C297))</f>
        <v/>
      </c>
      <c r="D297" s="28" t="str">
        <f>IF('Australian MTransaction'!D297 = "","",IF($B297 = "BUY", 'Australian MTransaction'!D297,-'Australian MTransaction'!D297))</f>
        <v/>
      </c>
      <c r="E297" s="28" t="str">
        <f>IF('Australian MTransaction'!E297= "","",'Australian MTransaction'!E297)</f>
        <v/>
      </c>
      <c r="F297" s="23"/>
      <c r="G297" s="28" t="str">
        <f t="shared" si="23"/>
        <v/>
      </c>
      <c r="H297" s="28" t="str">
        <f>IF(A297="","",COUNTIF($G$2:G297,G297))</f>
        <v/>
      </c>
      <c r="I297" s="28" t="str">
        <f t="shared" si="24"/>
        <v/>
      </c>
      <c r="J297" s="28" t="str">
        <f>IF(G297="","",IF(COUNTIF($G$2:G297,G297)&gt;1,SUMIF($A$2:A297,G297,$C$2:C297),C297))</f>
        <v/>
      </c>
      <c r="K297" s="45" t="str">
        <f>IF(G297="","",IF(COUNTIF($G$2:G297,G297)&gt;1,SUMIF($A$2:A297,G297,$D$2:D297),D297) +SUMIF($G$2:G297,G297,$M$2:M297))</f>
        <v/>
      </c>
      <c r="L297" s="45" t="str">
        <f t="shared" si="25"/>
        <v/>
      </c>
      <c r="M297" s="46" t="str">
        <f>IF(G297="","",IF(B297 = "BUY", 0,(E297-VLOOKUP(CONCATENATE(G297,(H297-1)),$I$2:L296,4,FALSE))*-C297))</f>
        <v/>
      </c>
    </row>
    <row r="298" spans="1:13" ht="15" thickBot="1" x14ac:dyDescent="0.35">
      <c r="A298" s="27" t="str">
        <f>IF('Australian MTransaction'!A298= "","",'Australian MTransaction'!A298)</f>
        <v/>
      </c>
      <c r="B298" s="28" t="str">
        <f>IF('Australian MTransaction'!B298= "","",'Australian MTransaction'!B298)</f>
        <v/>
      </c>
      <c r="C298" s="28" t="str">
        <f>IF('Australian MTransaction'!C298= "","",IF(B298="BUY",'Australian MTransaction'!C298,-'Australian MTransaction'!C298))</f>
        <v/>
      </c>
      <c r="D298" s="28" t="str">
        <f>IF('Australian MTransaction'!D298 = "","",IF($B298 = "BUY", 'Australian MTransaction'!D298,-'Australian MTransaction'!D298))</f>
        <v/>
      </c>
      <c r="E298" s="28" t="str">
        <f>IF('Australian MTransaction'!E298= "","",'Australian MTransaction'!E298)</f>
        <v/>
      </c>
      <c r="F298" s="23"/>
      <c r="G298" s="28" t="str">
        <f t="shared" si="23"/>
        <v/>
      </c>
      <c r="H298" s="28" t="str">
        <f>IF(A298="","",COUNTIF($G$2:G298,G298))</f>
        <v/>
      </c>
      <c r="I298" s="28" t="str">
        <f t="shared" si="24"/>
        <v/>
      </c>
      <c r="J298" s="28" t="str">
        <f>IF(G298="","",IF(COUNTIF($G$2:G298,G298)&gt;1,SUMIF($A$2:A298,G298,$C$2:C298),C298))</f>
        <v/>
      </c>
      <c r="K298" s="45" t="str">
        <f>IF(G298="","",IF(COUNTIF($G$2:G298,G298)&gt;1,SUMIF($A$2:A298,G298,$D$2:D298),D298) +SUMIF($G$2:G298,G298,$M$2:M298))</f>
        <v/>
      </c>
      <c r="L298" s="45" t="str">
        <f t="shared" si="25"/>
        <v/>
      </c>
      <c r="M298" s="46" t="str">
        <f>IF(G298="","",IF(B298 = "BUY", 0,(E298-VLOOKUP(CONCATENATE(G298,(H298-1)),$I$2:L297,4,FALSE))*-C298))</f>
        <v/>
      </c>
    </row>
    <row r="299" spans="1:13" ht="15" thickBot="1" x14ac:dyDescent="0.35">
      <c r="A299" s="27" t="str">
        <f>IF('Australian MTransaction'!A299= "","",'Australian MTransaction'!A299)</f>
        <v/>
      </c>
      <c r="B299" s="28" t="str">
        <f>IF('Australian MTransaction'!B299= "","",'Australian MTransaction'!B299)</f>
        <v/>
      </c>
      <c r="C299" s="28" t="str">
        <f>IF('Australian MTransaction'!C299= "","",IF(B299="BUY",'Australian MTransaction'!C299,-'Australian MTransaction'!C299))</f>
        <v/>
      </c>
      <c r="D299" s="28" t="str">
        <f>IF('Australian MTransaction'!D299 = "","",IF($B299 = "BUY", 'Australian MTransaction'!D299,-'Australian MTransaction'!D299))</f>
        <v/>
      </c>
      <c r="E299" s="28" t="str">
        <f>IF('Australian MTransaction'!E299= "","",'Australian MTransaction'!E299)</f>
        <v/>
      </c>
      <c r="F299" s="23"/>
      <c r="G299" s="28" t="str">
        <f t="shared" si="23"/>
        <v/>
      </c>
      <c r="H299" s="28" t="str">
        <f>IF(A299="","",COUNTIF($G$2:G299,G299))</f>
        <v/>
      </c>
      <c r="I299" s="28" t="str">
        <f t="shared" si="24"/>
        <v/>
      </c>
      <c r="J299" s="28" t="str">
        <f>IF(G299="","",IF(COUNTIF($G$2:G299,G299)&gt;1,SUMIF($A$2:A299,G299,$C$2:C299),C299))</f>
        <v/>
      </c>
      <c r="K299" s="45" t="str">
        <f>IF(G299="","",IF(COUNTIF($G$2:G299,G299)&gt;1,SUMIF($A$2:A299,G299,$D$2:D299),D299) +SUMIF($G$2:G299,G299,$M$2:M299))</f>
        <v/>
      </c>
      <c r="L299" s="45" t="str">
        <f t="shared" si="25"/>
        <v/>
      </c>
      <c r="M299" s="46" t="str">
        <f>IF(G299="","",IF(B299 = "BUY", 0,(E299-VLOOKUP(CONCATENATE(G299,(H299-1)),$I$2:L298,4,FALSE))*-C299))</f>
        <v/>
      </c>
    </row>
    <row r="300" spans="1:13" ht="15" thickBot="1" x14ac:dyDescent="0.35">
      <c r="A300" s="27" t="str">
        <f>IF('Australian MTransaction'!A300= "","",'Australian MTransaction'!A300)</f>
        <v/>
      </c>
      <c r="B300" s="28" t="str">
        <f>IF('Australian MTransaction'!B300= "","",'Australian MTransaction'!B300)</f>
        <v/>
      </c>
      <c r="C300" s="28" t="str">
        <f>IF('Australian MTransaction'!C300= "","",IF(B300="BUY",'Australian MTransaction'!C300,-'Australian MTransaction'!C300))</f>
        <v/>
      </c>
      <c r="D300" s="28" t="str">
        <f>IF('Australian MTransaction'!D300 = "","",IF($B300 = "BUY", 'Australian MTransaction'!D300,-'Australian MTransaction'!D300))</f>
        <v/>
      </c>
      <c r="E300" s="28" t="str">
        <f>IF('Australian MTransaction'!E300= "","",'Australian MTransaction'!E300)</f>
        <v/>
      </c>
      <c r="F300" s="23"/>
      <c r="G300" s="31" t="str">
        <f t="shared" si="23"/>
        <v/>
      </c>
      <c r="H300" s="31"/>
      <c r="I300" s="31" t="str">
        <f t="shared" si="24"/>
        <v/>
      </c>
      <c r="J300" s="31" t="str">
        <f>IF(G300="","",IF(COUNTIF($G$2:G300,G300)&gt;1,SUMIF($A$2:A300,G300,$C$2:C300),C300))</f>
        <v/>
      </c>
      <c r="K300" s="50" t="str">
        <f>IF(G300="","",IF(COUNTIF($G$2:G300,G300)&gt;1,SUMIF($A$2:A300,G300,$D$2:D300),D300) +SUMIF($G$2:G300,G300,$M$2:M300))</f>
        <v/>
      </c>
      <c r="L300" s="50" t="str">
        <f t="shared" si="25"/>
        <v/>
      </c>
      <c r="M300" s="48" t="str">
        <f>IF(G300="","",IF(B300 = "BUY", 0,(E300-VLOOKUP(CONCATENATE(G300,(H300-1)),$I$2:L299,4,FALSE))*-C300))</f>
        <v/>
      </c>
    </row>
    <row r="301" spans="1:13" x14ac:dyDescent="0.3">
      <c r="M301" s="45" t="str">
        <f>IF(G301="","",IF(B301 = "BUY", 0,(E301-VLOOKUP(CONCATENATE(G301,(H301-1)),$I$2:L300,4,FALSE))*-C301))</f>
        <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CE10B-5219-4176-AF9B-58D18FE73928}">
  <sheetPr codeName="Sheet14"/>
  <dimension ref="A1:N28"/>
  <sheetViews>
    <sheetView workbookViewId="0">
      <selection activeCell="G14" sqref="G14"/>
    </sheetView>
  </sheetViews>
  <sheetFormatPr defaultColWidth="8.88671875" defaultRowHeight="14.4" x14ac:dyDescent="0.3"/>
  <cols>
    <col min="1" max="1" width="20.88671875" style="1" bestFit="1" customWidth="1"/>
    <col min="2" max="2" width="22.33203125" style="1" customWidth="1"/>
    <col min="3" max="3" width="8.33203125" style="1" bestFit="1" customWidth="1"/>
    <col min="4" max="4" width="13.5546875" style="1" bestFit="1" customWidth="1"/>
    <col min="5" max="5" width="12.33203125" style="1" customWidth="1"/>
    <col min="6" max="6" width="11.88671875" style="1" bestFit="1" customWidth="1"/>
    <col min="7" max="7" width="14.6640625" style="1" bestFit="1" customWidth="1"/>
    <col min="8" max="8" width="11.44140625" style="1" customWidth="1"/>
    <col min="9" max="9" width="12.33203125" style="1" bestFit="1" customWidth="1"/>
    <col min="10" max="10" width="21" style="1" bestFit="1" customWidth="1"/>
    <col min="11" max="11" width="15.6640625" style="1" bestFit="1" customWidth="1"/>
    <col min="12" max="12" width="13.33203125" style="1" bestFit="1" customWidth="1"/>
    <col min="13" max="13" width="11.33203125" style="1" bestFit="1" customWidth="1"/>
    <col min="14" max="14" width="10.6640625" style="1" customWidth="1"/>
    <col min="15" max="16384" width="8.88671875" style="1"/>
  </cols>
  <sheetData>
    <row r="1" spans="1:14" ht="15" thickBot="1" x14ac:dyDescent="0.35">
      <c r="A1" s="37" t="s">
        <v>45</v>
      </c>
      <c r="B1" s="38" t="s">
        <v>67</v>
      </c>
      <c r="C1" s="38" t="s">
        <v>47</v>
      </c>
      <c r="D1" s="38" t="s">
        <v>68</v>
      </c>
      <c r="E1" s="38" t="s">
        <v>69</v>
      </c>
      <c r="F1" s="38" t="s">
        <v>70</v>
      </c>
      <c r="G1" s="38" t="s">
        <v>71</v>
      </c>
      <c r="H1" s="38" t="s">
        <v>72</v>
      </c>
      <c r="I1" s="38" t="s">
        <v>73</v>
      </c>
      <c r="J1" s="38" t="s">
        <v>526</v>
      </c>
      <c r="K1" s="38" t="s">
        <v>527</v>
      </c>
      <c r="L1" s="38" t="s">
        <v>74</v>
      </c>
      <c r="M1" s="38" t="s">
        <v>65</v>
      </c>
      <c r="N1" s="39" t="s">
        <v>75</v>
      </c>
    </row>
    <row r="2" spans="1:14" x14ac:dyDescent="0.3">
      <c r="A2" s="40" t="str" cm="1">
        <f t="array" ref="A2:A6">_xlfn.UNIQUE('AUS MCalculations'!U2:U21,FALSE,TRUE)</f>
        <v>IOZ</v>
      </c>
      <c r="B2" s="41" t="e" vm="10">
        <v>#VALUE!</v>
      </c>
      <c r="C2" s="42">
        <f>IF(A2="","",SUMIF('AUS MCalculations'!$U$2:$U$21,'AUS Margin Portfolio'!A2,'AUS MCalculations'!$W$2:$W$21))</f>
        <v>75</v>
      </c>
      <c r="D2" s="51">
        <f>IF(A2="","",SUMIF('AUS MCalculations'!$U$2:$U$21,'AUS Margin Portfolio'!A2,'AUS MCalculations'!$Y$2:$Y$21))</f>
        <v>22.373066666666666</v>
      </c>
      <c r="E2" s="52" cm="1">
        <f t="array" ref="E2">IF(A2="","",_FV(B2,"Price"))</f>
        <v>31.31</v>
      </c>
      <c r="F2" s="53" cm="1">
        <f t="array" ref="F2">IF(A2="","",_FV(B2,"Change"))</f>
        <v>0.19</v>
      </c>
      <c r="G2" s="53">
        <f>IFERROR(F2*C2,"")</f>
        <v>14.25</v>
      </c>
      <c r="H2" s="42">
        <f>IF(A2="","",SUMIF('AUS MCalculations'!$U$2:$U$21,'AUS Margin Portfolio'!A2,'AUS MCalculations'!$X$2:$X$21))-10</f>
        <v>1667.98</v>
      </c>
      <c r="I2" s="52">
        <f>IFERROR(E2*C2,"")</f>
        <v>2348.25</v>
      </c>
      <c r="J2" s="82">
        <f>IF(SUMIF('Securities List'!$A:$A,'AUS Margin Portfolio'!A2,'Securities List'!$B:$B)=0,"",SUMIF('Securities List'!$A:$A,'AUS Margin Portfolio'!A2,'Securities List'!$B:$B))</f>
        <v>0.75</v>
      </c>
      <c r="K2" s="53">
        <f>IFERROR(J2*I2,"")</f>
        <v>1761.1875</v>
      </c>
      <c r="L2" s="52">
        <f>IFERROR(I2-H2,"")</f>
        <v>680.27</v>
      </c>
      <c r="M2" s="53">
        <f>IF(A2="","",SUMIF('AUS MCalculations'!$U$2:$U$21,'AUS Margin Portfolio'!A2,'AUS MCalculations'!$V$2:$V$21))</f>
        <v>0</v>
      </c>
      <c r="N2" s="92" t="s">
        <v>565</v>
      </c>
    </row>
    <row r="3" spans="1:14" x14ac:dyDescent="0.3">
      <c r="A3" s="27" t="str">
        <v>VEU</v>
      </c>
      <c r="B3" s="28" t="e" vm="11">
        <v>#VALUE!</v>
      </c>
      <c r="C3" s="45">
        <f>IF(A3="","",SUMIF('AUS MCalculations'!$U$2:$U$21,'AUS Margin Portfolio'!A3,'AUS MCalculations'!$W$2:$W$21))</f>
        <v>15</v>
      </c>
      <c r="D3" s="55">
        <f>IF(A3="","",SUMIF('AUS MCalculations'!$U$2:$U$21,'AUS Margin Portfolio'!A3,'AUS MCalculations'!$Y$2:$Y$21))</f>
        <v>68.226666666666659</v>
      </c>
      <c r="E3" s="56" cm="1">
        <f t="array" ref="E3">IF(A3="","",_FV(B3,"Price"))</f>
        <v>86.14</v>
      </c>
      <c r="F3" s="14" cm="1">
        <f t="array" ref="F3">IF(A3="","",_FV(B3,"Change"))</f>
        <v>0.04</v>
      </c>
      <c r="G3" s="14">
        <f t="shared" ref="G3:G9" si="0">IFERROR(F3*C3,"")</f>
        <v>0.6</v>
      </c>
      <c r="H3" s="45">
        <f>IF(A3="","",SUMIF('AUS MCalculations'!$U$2:$U$21,'AUS Margin Portfolio'!A3,'AUS MCalculations'!$X$2:$X$21))-10</f>
        <v>1013.4</v>
      </c>
      <c r="I3" s="56">
        <f t="shared" ref="I3:I9" si="1">IFERROR(E3*C3,"")</f>
        <v>1292.0999999999999</v>
      </c>
      <c r="J3" s="79">
        <f>IF(SUMIF('Securities List'!$A:$A,'AUS Margin Portfolio'!A3,'Securities List'!$B:$B)=0,"",SUMIF('Securities List'!$A:$A,'AUS Margin Portfolio'!A3,'Securities List'!$B:$B))</f>
        <v>0.6</v>
      </c>
      <c r="K3" s="14">
        <f t="shared" ref="K3:K9" si="2">IFERROR(J3*I3,"")</f>
        <v>775.25999999999988</v>
      </c>
      <c r="L3" s="56">
        <f t="shared" ref="L3:L9" si="3">IFERROR(I3-H3,"")</f>
        <v>278.69999999999993</v>
      </c>
      <c r="M3" s="14">
        <f>IF(A3="","",SUMIF('AUS MCalculations'!$U$2:$U$21,'AUS Margin Portfolio'!A3,'AUS MCalculations'!$V$2:$V$21))</f>
        <v>0</v>
      </c>
      <c r="N3" s="93" t="s">
        <v>565</v>
      </c>
    </row>
    <row r="4" spans="1:14" x14ac:dyDescent="0.3">
      <c r="A4" s="27" t="str">
        <v>VDHG</v>
      </c>
      <c r="B4" s="28" t="e" vm="12">
        <v>#VALUE!</v>
      </c>
      <c r="C4" s="45">
        <f>IF(A4="","",SUMIF('AUS MCalculations'!$U$2:$U$21,'AUS Margin Portfolio'!A4,'AUS MCalculations'!$W$2:$W$21))</f>
        <v>40</v>
      </c>
      <c r="D4" s="55">
        <f>IF(A4="","",SUMIF('AUS MCalculations'!$U$2:$U$21,'AUS Margin Portfolio'!A4,'AUS MCalculations'!$Y$2:$Y$21))</f>
        <v>49.84075</v>
      </c>
      <c r="E4" s="56" cm="1">
        <f t="array" ref="E4">IF(A4="","",_FV(B4,"Price"))</f>
        <v>61.79</v>
      </c>
      <c r="F4" s="14" cm="1">
        <f t="array" ref="F4">IF(A4="","",_FV(B4,"Change"))</f>
        <v>0.17</v>
      </c>
      <c r="G4" s="14">
        <f t="shared" si="0"/>
        <v>6.8000000000000007</v>
      </c>
      <c r="H4" s="45">
        <f>IF(A4="","",SUMIF('AUS MCalculations'!$U$2:$U$21,'AUS Margin Portfolio'!A4,'AUS MCalculations'!$X$2:$X$21))-10</f>
        <v>1983.63</v>
      </c>
      <c r="I4" s="56">
        <f t="shared" si="1"/>
        <v>2471.6</v>
      </c>
      <c r="J4" s="79">
        <f>IF(SUMIF('Securities List'!$A:$A,'AUS Margin Portfolio'!A4,'Securities List'!$B:$B)=0,"",SUMIF('Securities List'!$A:$A,'AUS Margin Portfolio'!A4,'Securities List'!$B:$B))</f>
        <v>0.7</v>
      </c>
      <c r="K4" s="14">
        <f t="shared" si="2"/>
        <v>1730.12</v>
      </c>
      <c r="L4" s="56">
        <f t="shared" si="3"/>
        <v>487.9699999999998</v>
      </c>
      <c r="M4" s="14">
        <f>IF(A4="","",SUMIF('AUS MCalculations'!$U$2:$U$21,'AUS Margin Portfolio'!A4,'AUS MCalculations'!$V$2:$V$21))</f>
        <v>0</v>
      </c>
      <c r="N4" s="93" t="s">
        <v>565</v>
      </c>
    </row>
    <row r="5" spans="1:14" x14ac:dyDescent="0.3">
      <c r="A5" s="27" t="str">
        <v>VHY</v>
      </c>
      <c r="B5" s="28" t="e" vm="13">
        <v>#VALUE!</v>
      </c>
      <c r="C5" s="45">
        <f>IF(A5="","",SUMIF('AUS MCalculations'!$U$2:$U$21,'AUS Margin Portfolio'!A5,'AUS MCalculations'!$W$2:$W$21))</f>
        <v>33</v>
      </c>
      <c r="D5" s="55">
        <f>IF(A5="","",SUMIF('AUS MCalculations'!$U$2:$U$21,'AUS Margin Portfolio'!A5,'AUS MCalculations'!$Y$2:$Y$21))</f>
        <v>61.348484848484851</v>
      </c>
      <c r="E5" s="56" cm="1">
        <f t="array" ref="E5">IF(A5="","",_FV(B5,"Price"))</f>
        <v>69.319999999999993</v>
      </c>
      <c r="F5" s="14" cm="1">
        <f t="array" ref="F5">IF(A5="","",_FV(B5,"Change"))</f>
        <v>0.37</v>
      </c>
      <c r="G5" s="14">
        <f t="shared" si="0"/>
        <v>12.209999999999999</v>
      </c>
      <c r="H5" s="45">
        <f>IF(A5="","",SUMIF('AUS MCalculations'!$U$2:$U$21,'AUS Margin Portfolio'!A5,'AUS MCalculations'!$X$2:$X$21))-10</f>
        <v>2014.5</v>
      </c>
      <c r="I5" s="56">
        <f t="shared" si="1"/>
        <v>2287.56</v>
      </c>
      <c r="J5" s="79">
        <f>IF(SUMIF('Securities List'!$A:$A,'AUS Margin Portfolio'!A5,'Securities List'!$B:$B)=0,"",SUMIF('Securities List'!$A:$A,'AUS Margin Portfolio'!A5,'Securities List'!$B:$B))</f>
        <v>0.75</v>
      </c>
      <c r="K5" s="14">
        <f t="shared" si="2"/>
        <v>1715.67</v>
      </c>
      <c r="L5" s="56">
        <f t="shared" si="3"/>
        <v>273.05999999999995</v>
      </c>
      <c r="M5" s="14">
        <f>IF(A5="","",SUMIF('AUS MCalculations'!$U$2:$U$21,'AUS Margin Portfolio'!A5,'AUS MCalculations'!$V$2:$V$21))</f>
        <v>0</v>
      </c>
      <c r="N5" s="93" t="s">
        <v>565</v>
      </c>
    </row>
    <row r="6" spans="1:14" x14ac:dyDescent="0.3">
      <c r="A6" s="27" t="str">
        <v>ETHI</v>
      </c>
      <c r="B6" s="28" t="e" vm="14">
        <v>#VALUE!</v>
      </c>
      <c r="C6" s="45">
        <f>IF(A6="","",SUMIF('AUS MCalculations'!$U$2:$U$21,'AUS Margin Portfolio'!A6,'AUS MCalculations'!$W$2:$W$21))</f>
        <v>300</v>
      </c>
      <c r="D6" s="55">
        <f>IF(A6="","",SUMIF('AUS MCalculations'!$U$2:$U$21,'AUS Margin Portfolio'!A6,'AUS MCalculations'!$Y$2:$Y$21))</f>
        <v>10.846833333333334</v>
      </c>
      <c r="E6" s="56" cm="1">
        <f t="array" ref="E6">IF(A6="","",_FV(B6,"Price"))</f>
        <v>12.55</v>
      </c>
      <c r="F6" s="14" cm="1">
        <f t="array" ref="F6">IF(A6="","",_FV(B6,"Change"))</f>
        <v>7.0000000000000007E-2</v>
      </c>
      <c r="G6" s="14">
        <f t="shared" si="0"/>
        <v>21.000000000000004</v>
      </c>
      <c r="H6" s="45">
        <f>IF(A6="","",SUMIF('AUS MCalculations'!$U$2:$U$21,'AUS Margin Portfolio'!A6,'AUS MCalculations'!$X$2:$X$21))-10</f>
        <v>3244.05</v>
      </c>
      <c r="I6" s="56">
        <f t="shared" si="1"/>
        <v>3765</v>
      </c>
      <c r="J6" s="79">
        <f>IF(SUMIF('Securities List'!$A:$A,'AUS Margin Portfolio'!A6,'Securities List'!$B:$B)=0,"",SUMIF('Securities List'!$A:$A,'AUS Margin Portfolio'!A6,'Securities List'!$B:$B))</f>
        <v>0.7</v>
      </c>
      <c r="K6" s="14">
        <f t="shared" si="2"/>
        <v>2635.5</v>
      </c>
      <c r="L6" s="56">
        <f t="shared" si="3"/>
        <v>520.94999999999982</v>
      </c>
      <c r="M6" s="14">
        <f>IF(A6="","",SUMIF('AUS MCalculations'!$U$2:$U$21,'AUS Margin Portfolio'!A6,'AUS MCalculations'!$V$2:$V$21))</f>
        <v>0</v>
      </c>
      <c r="N6" s="93" t="s">
        <v>566</v>
      </c>
    </row>
    <row r="7" spans="1:14" x14ac:dyDescent="0.3">
      <c r="A7" s="27"/>
      <c r="B7" s="28"/>
      <c r="C7" s="45" t="str">
        <f>IF(A7="","",SUMIF('AUS MCalculations'!$U$2:$U$21,'AUS Margin Portfolio'!A7,'AUS MCalculations'!$W$2:$W$21))</f>
        <v/>
      </c>
      <c r="D7" s="55" t="str">
        <f>IF(A7="","",SUMIF('AUS MCalculations'!$U$2:$U$21,'AUS Margin Portfolio'!A7,'AUS MCalculations'!$Y$2:$Y$21))</f>
        <v/>
      </c>
      <c r="E7" s="56" t="str" cm="1">
        <f t="array" ref="E7">IF(A7="","",_FV(B7,"Price"))</f>
        <v/>
      </c>
      <c r="F7" s="14" t="str" cm="1">
        <f t="array" ref="F7">IF(A7="","",_FV(B7,"Change"))</f>
        <v/>
      </c>
      <c r="G7" s="14" t="str">
        <f t="shared" si="0"/>
        <v/>
      </c>
      <c r="H7" s="45" t="str">
        <f>IF(A7="","",SUMIF('AUS MCalculations'!$U$2:$U$21,'AUS Margin Portfolio'!A7,'AUS MCalculations'!$X$2:$X$21))</f>
        <v/>
      </c>
      <c r="I7" s="56" t="str">
        <f t="shared" si="1"/>
        <v/>
      </c>
      <c r="J7" s="79" t="str">
        <f>IF(SUMIF('Securities List'!$A:$A,'AUS Margin Portfolio'!A7,'Securities List'!$B:$B)=0,"",SUMIF('Securities List'!$A:$A,'AUS Margin Portfolio'!A7,'Securities List'!$B:$B))</f>
        <v/>
      </c>
      <c r="K7" s="14" t="str">
        <f t="shared" si="2"/>
        <v/>
      </c>
      <c r="L7" s="56" t="str">
        <f t="shared" si="3"/>
        <v/>
      </c>
      <c r="M7" s="14" t="str">
        <f>IF(A7="","",SUMIF('AUS MCalculations'!$U$2:$U$21,'AUS Margin Portfolio'!A7,'AUS MCalculations'!$V$2:$V$21))</f>
        <v/>
      </c>
      <c r="N7" s="57"/>
    </row>
    <row r="8" spans="1:14" x14ac:dyDescent="0.3">
      <c r="A8" s="27"/>
      <c r="B8" s="28"/>
      <c r="C8" s="45" t="str">
        <f>IF(A8="","",SUMIF('AUS MCalculations'!$U$2:$U$21,'AUS Margin Portfolio'!A8,'AUS MCalculations'!$W$2:$W$21))</f>
        <v/>
      </c>
      <c r="D8" s="55" t="str">
        <f>IF(A8="","",SUMIF('AUS MCalculations'!$U$2:$U$21,'AUS Margin Portfolio'!A8,'AUS MCalculations'!$Y$2:$Y$21))</f>
        <v/>
      </c>
      <c r="E8" s="56" t="str" cm="1">
        <f t="array" ref="E8">IF(A8="","",_FV(B8,"Price"))</f>
        <v/>
      </c>
      <c r="F8" s="14" t="str" cm="1">
        <f t="array" ref="F8">IF(A8="","",_FV(B8,"Change"))</f>
        <v/>
      </c>
      <c r="G8" s="14" t="str">
        <f t="shared" si="0"/>
        <v/>
      </c>
      <c r="H8" s="45" t="str">
        <f>IF(A8="","",SUMIF('AUS MCalculations'!$U$2:$U$21,'AUS Margin Portfolio'!A8,'AUS MCalculations'!$X$2:$X$21))</f>
        <v/>
      </c>
      <c r="I8" s="56" t="str">
        <f t="shared" si="1"/>
        <v/>
      </c>
      <c r="J8" s="79" t="str">
        <f>IF(SUMIF('Securities List'!$A:$A,'AUS Margin Portfolio'!A8,'Securities List'!$B:$B)=0,"",SUMIF('Securities List'!$A:$A,'AUS Margin Portfolio'!A8,'Securities List'!$B:$B))</f>
        <v/>
      </c>
      <c r="K8" s="14" t="str">
        <f t="shared" si="2"/>
        <v/>
      </c>
      <c r="L8" s="56" t="str">
        <f t="shared" si="3"/>
        <v/>
      </c>
      <c r="M8" s="14" t="str">
        <f>IF(A8="","",SUMIF('AUS MCalculations'!$U$2:$U$21,'AUS Margin Portfolio'!A8,'AUS MCalculations'!$V$2:$V$21))</f>
        <v/>
      </c>
      <c r="N8" s="57"/>
    </row>
    <row r="9" spans="1:14" x14ac:dyDescent="0.3">
      <c r="A9" s="27"/>
      <c r="B9" s="28"/>
      <c r="C9" s="45" t="str">
        <f>IF(A9="","",SUMIF('AUS MCalculations'!$U$2:$U$21,'AUS Margin Portfolio'!A9,'AUS MCalculations'!$W$2:$W$21))</f>
        <v/>
      </c>
      <c r="D9" s="55" t="str">
        <f>IF(A9="","",SUMIF('AUS MCalculations'!$U$2:$U$21,'AUS Margin Portfolio'!A9,'AUS MCalculations'!$Y$2:$Y$21))</f>
        <v/>
      </c>
      <c r="E9" s="56" t="str" cm="1">
        <f t="array" ref="E9">IF(A9="","",_FV(B9,"Price"))</f>
        <v/>
      </c>
      <c r="F9" s="14" t="str" cm="1">
        <f t="array" ref="F9">IF(A9="","",_FV(B9,"Change"))</f>
        <v/>
      </c>
      <c r="G9" s="14" t="str">
        <f t="shared" si="0"/>
        <v/>
      </c>
      <c r="H9" s="45" t="str">
        <f>IF(A9="","",SUMIF('AUS MCalculations'!$U$2:$U$21,'AUS Margin Portfolio'!A9,'AUS MCalculations'!$X$2:$X$21))</f>
        <v/>
      </c>
      <c r="I9" s="56" t="str">
        <f t="shared" si="1"/>
        <v/>
      </c>
      <c r="J9" s="79" t="str">
        <f>IF(SUMIF('Securities List'!$A:$A,'AUS Margin Portfolio'!A9,'Securities List'!$B:$B)=0,"",SUMIF('Securities List'!$A:$A,'AUS Margin Portfolio'!A9,'Securities List'!$B:$B))</f>
        <v/>
      </c>
      <c r="K9" s="14" t="str">
        <f t="shared" si="2"/>
        <v/>
      </c>
      <c r="L9" s="56" t="str">
        <f t="shared" si="3"/>
        <v/>
      </c>
      <c r="M9" s="14" t="str">
        <f>IF(A9="","",SUMIF('AUS MCalculations'!$U$2:$U$21,'AUS Margin Portfolio'!A9,'AUS MCalculations'!$V$2:$V$21))</f>
        <v/>
      </c>
      <c r="N9" s="57"/>
    </row>
    <row r="10" spans="1:14" ht="15" thickBot="1" x14ac:dyDescent="0.35">
      <c r="A10" s="30"/>
      <c r="B10" s="31"/>
      <c r="C10" s="50" t="str">
        <f>IF(A10="","",SUMIF('AUS Calculations'!$U$2:$U$21,'AUS Portfolio'!A10,'AUS Calculations'!$W$2:$W$21))</f>
        <v/>
      </c>
      <c r="D10" s="58" t="str">
        <f>IF(A10="","",SUMIF('AUS Calculations'!$U$2:$U$21,'AUS Portfolio'!A10,'AUS Calculations'!$Y$2:$Y$21))</f>
        <v/>
      </c>
      <c r="E10" s="59" t="str" cm="1">
        <f t="array" ref="E10">IF(A10="","",_FV(B10,"Price"))</f>
        <v/>
      </c>
      <c r="F10" s="60" t="str" cm="1">
        <f t="array" ref="F10">IF(A10="","",_FV(B10,"Change"))</f>
        <v/>
      </c>
      <c r="G10" s="60"/>
      <c r="H10" s="83" t="s">
        <v>531</v>
      </c>
      <c r="I10" s="84" t="s">
        <v>73</v>
      </c>
      <c r="J10" s="85" t="s">
        <v>532</v>
      </c>
      <c r="K10" s="86" t="s">
        <v>533</v>
      </c>
      <c r="L10" s="59" t="str">
        <f t="shared" ref="L10" si="4">IFERROR(I10-H10,"")</f>
        <v/>
      </c>
      <c r="M10" s="60" t="str">
        <f>IF(A10="","",SUMIF('AUS Calculations'!$U$2:$U$21,'AUS Portfolio'!A10,'AUS Calculations'!$V$2:$V$21))</f>
        <v/>
      </c>
      <c r="N10" s="61"/>
    </row>
    <row r="11" spans="1:14" x14ac:dyDescent="0.3">
      <c r="G11" s="15" t="s">
        <v>530</v>
      </c>
      <c r="H11" s="3">
        <f>SUM(H2:H9)</f>
        <v>9923.5600000000013</v>
      </c>
      <c r="I11" s="80">
        <f>SUM(I2:I9)</f>
        <v>12164.51</v>
      </c>
      <c r="K11" s="3">
        <f>SUM(K2:K9)</f>
        <v>8617.7374999999993</v>
      </c>
    </row>
    <row r="12" spans="1:14" x14ac:dyDescent="0.3">
      <c r="A12" s="1" t="s">
        <v>528</v>
      </c>
      <c r="B12" s="3">
        <v>761.68</v>
      </c>
      <c r="J12" s="81" t="s">
        <v>546</v>
      </c>
      <c r="K12" s="8" t="s">
        <v>547</v>
      </c>
    </row>
    <row r="13" spans="1:14" x14ac:dyDescent="0.3">
      <c r="A13" s="1" t="s">
        <v>529</v>
      </c>
      <c r="B13" s="3">
        <v>4225.96</v>
      </c>
      <c r="K13" s="3">
        <f>SUMPRODUCT(I2:I9,J2:J9)*0.75</f>
        <v>6463.3031249999995</v>
      </c>
    </row>
    <row r="14" spans="1:14" x14ac:dyDescent="0.3">
      <c r="A14" s="1" t="s">
        <v>549</v>
      </c>
      <c r="B14" s="3">
        <f>IF(B16=0,B12+B13-H11,0)</f>
        <v>0</v>
      </c>
      <c r="K14" s="3"/>
    </row>
    <row r="15" spans="1:14" x14ac:dyDescent="0.3">
      <c r="B15" s="3"/>
    </row>
    <row r="16" spans="1:14" x14ac:dyDescent="0.3">
      <c r="A16" s="1" t="s">
        <v>538</v>
      </c>
      <c r="B16" s="3">
        <f>IF(H11-B12-B13+F17&gt;0,H11-B12-B13+F17,0)</f>
        <v>4945.920000000001</v>
      </c>
      <c r="D16" s="1" t="s">
        <v>542</v>
      </c>
      <c r="F16" s="1" t="s">
        <v>623</v>
      </c>
    </row>
    <row r="17" spans="1:10" x14ac:dyDescent="0.3">
      <c r="A17" s="1" t="s">
        <v>539</v>
      </c>
      <c r="B17" s="3">
        <f>K11-B16</f>
        <v>3671.8174999999983</v>
      </c>
      <c r="D17" s="3">
        <f>MIN(K13+B14,B18)</f>
        <v>3671.8174999999983</v>
      </c>
      <c r="F17" s="1">
        <v>10</v>
      </c>
    </row>
    <row r="18" spans="1:10" x14ac:dyDescent="0.3">
      <c r="A18" s="1" t="s">
        <v>542</v>
      </c>
      <c r="B18" s="3">
        <f>B17+B14</f>
        <v>3671.8174999999983</v>
      </c>
    </row>
    <row r="19" spans="1:10" x14ac:dyDescent="0.3">
      <c r="A19" s="1" t="s">
        <v>540</v>
      </c>
      <c r="B19" s="3">
        <v>5000</v>
      </c>
      <c r="D19" s="1" t="s">
        <v>536</v>
      </c>
      <c r="E19" s="3">
        <f>MIN(B18/(1-70%),B20*100/70)</f>
        <v>77.25714285714146</v>
      </c>
    </row>
    <row r="20" spans="1:10" x14ac:dyDescent="0.3">
      <c r="A20" s="15" t="s">
        <v>541</v>
      </c>
      <c r="B20" s="73">
        <f>B19-B16</f>
        <v>54.079999999999018</v>
      </c>
      <c r="D20" s="1" t="s">
        <v>557</v>
      </c>
    </row>
    <row r="21" spans="1:10" x14ac:dyDescent="0.3">
      <c r="A21" s="1" t="s">
        <v>543</v>
      </c>
      <c r="B21" s="3">
        <f>I11-K11+B17</f>
        <v>7218.5899999999992</v>
      </c>
    </row>
    <row r="22" spans="1:10" x14ac:dyDescent="0.3">
      <c r="A22" s="15" t="s">
        <v>534</v>
      </c>
      <c r="B22" s="87">
        <f>B16/I11</f>
        <v>0.40658604415632038</v>
      </c>
      <c r="D22" s="1" t="s">
        <v>548</v>
      </c>
      <c r="F22" s="1" t="s">
        <v>561</v>
      </c>
      <c r="J22" s="80"/>
    </row>
    <row r="23" spans="1:10" x14ac:dyDescent="0.3">
      <c r="A23" s="1" t="s">
        <v>134</v>
      </c>
      <c r="B23" s="18">
        <f>B16/K11</f>
        <v>0.57392326002039418</v>
      </c>
      <c r="D23" s="17">
        <f>B16*(B28/365)</f>
        <v>0.4945920000000002</v>
      </c>
      <c r="F23" s="15" t="s">
        <v>564</v>
      </c>
      <c r="J23" s="80"/>
    </row>
    <row r="24" spans="1:10" x14ac:dyDescent="0.3">
      <c r="A24" s="1" t="s">
        <v>544</v>
      </c>
      <c r="B24" s="3">
        <f>10%*K11</f>
        <v>861.77374999999995</v>
      </c>
      <c r="F24" s="1" t="s">
        <v>562</v>
      </c>
      <c r="J24" s="18"/>
    </row>
    <row r="25" spans="1:10" x14ac:dyDescent="0.3">
      <c r="A25" s="15" t="s">
        <v>552</v>
      </c>
      <c r="B25" s="87">
        <f>ABS(((B16/110%)-K11)/K11)</f>
        <v>0.47825158179964172</v>
      </c>
      <c r="D25" s="1" t="s">
        <v>567</v>
      </c>
      <c r="F25" s="15" t="s">
        <v>563</v>
      </c>
    </row>
    <row r="26" spans="1:10" x14ac:dyDescent="0.3">
      <c r="A26" s="1" t="s">
        <v>535</v>
      </c>
      <c r="B26" s="18">
        <v>5.6500000000000002E-2</v>
      </c>
      <c r="D26" s="78">
        <v>0.05</v>
      </c>
      <c r="J26" s="80"/>
    </row>
    <row r="27" spans="1:10" x14ac:dyDescent="0.3">
      <c r="A27" s="1" t="s">
        <v>537</v>
      </c>
      <c r="B27" s="18">
        <v>0.02</v>
      </c>
      <c r="D27" s="3"/>
      <c r="J27" s="80"/>
    </row>
    <row r="28" spans="1:10" x14ac:dyDescent="0.3">
      <c r="A28" s="1" t="s">
        <v>545</v>
      </c>
      <c r="B28" s="18">
        <f>B26-B27</f>
        <v>3.6500000000000005E-2</v>
      </c>
      <c r="D28" s="80"/>
      <c r="J28" s="80"/>
    </row>
  </sheetData>
  <conditionalFormatting sqref="L2:L10">
    <cfRule type="cellIs" dxfId="7" priority="3" operator="greaterThan">
      <formula>0</formula>
    </cfRule>
    <cfRule type="cellIs" dxfId="6" priority="4" operator="lessThan">
      <formula>0</formula>
    </cfRule>
  </conditionalFormatting>
  <conditionalFormatting sqref="G2:G10">
    <cfRule type="cellIs" dxfId="5" priority="7" operator="greaterThan">
      <formula>0</formula>
    </cfRule>
    <cfRule type="cellIs" dxfId="4" priority="8" operator="lessThan">
      <formula>0</formula>
    </cfRule>
  </conditionalFormatting>
  <conditionalFormatting sqref="M2:M10">
    <cfRule type="cellIs" dxfId="3" priority="5" operator="greaterThan">
      <formula>0</formula>
    </cfRule>
    <cfRule type="cellIs" dxfId="2" priority="6" operator="lessThan">
      <formula>0</formula>
    </cfRule>
  </conditionalFormatting>
  <conditionalFormatting sqref="B22">
    <cfRule type="cellIs" dxfId="1" priority="2" operator="greaterThan">
      <formula>0.6</formula>
    </cfRule>
  </conditionalFormatting>
  <conditionalFormatting sqref="B23">
    <cfRule type="cellIs" dxfId="0" priority="1" operator="greaterThan">
      <formula>0.75</formula>
    </cfRule>
  </conditionalFormatting>
  <pageMargins left="0.7" right="0.7" top="0.75" bottom="0.75" header="0.3" footer="0.3"/>
  <drawing r:id="rId1"/>
  <legacyDrawing r:id="rId2"/>
  <controls>
    <mc:AlternateContent xmlns:mc="http://schemas.openxmlformats.org/markup-compatibility/2006">
      <mc:Choice Requires="x14">
        <control shapeId="43010" r:id="rId3" name="CommandButton2">
          <controlPr defaultSize="0" autoLine="0" r:id="rId4">
            <anchor moveWithCells="1">
              <from>
                <xdr:col>9</xdr:col>
                <xdr:colOff>266700</xdr:colOff>
                <xdr:row>13</xdr:row>
                <xdr:rowOff>175260</xdr:rowOff>
              </from>
              <to>
                <xdr:col>10</xdr:col>
                <xdr:colOff>175260</xdr:colOff>
                <xdr:row>18</xdr:row>
                <xdr:rowOff>7620</xdr:rowOff>
              </to>
            </anchor>
          </controlPr>
        </control>
      </mc:Choice>
      <mc:Fallback>
        <control shapeId="43010" r:id="rId3" name="CommandButton2"/>
      </mc:Fallback>
    </mc:AlternateContent>
    <mc:AlternateContent xmlns:mc="http://schemas.openxmlformats.org/markup-compatibility/2006">
      <mc:Choice Requires="x14">
        <control shapeId="43009" r:id="rId5" name="CommandButton1">
          <controlPr defaultSize="0" autoLine="0" autoPict="0" r:id="rId6">
            <anchor moveWithCells="1">
              <from>
                <xdr:col>7</xdr:col>
                <xdr:colOff>297180</xdr:colOff>
                <xdr:row>13</xdr:row>
                <xdr:rowOff>152400</xdr:rowOff>
              </from>
              <to>
                <xdr:col>9</xdr:col>
                <xdr:colOff>22860</xdr:colOff>
                <xdr:row>17</xdr:row>
                <xdr:rowOff>175260</xdr:rowOff>
              </to>
            </anchor>
          </controlPr>
        </control>
      </mc:Choice>
      <mc:Fallback>
        <control shapeId="43009" r:id="rId5" name="CommandButton1"/>
      </mc:Fallback>
    </mc:AlternateContent>
  </control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268BA-355F-4452-B992-1FCAB7DFA57E}">
  <sheetPr codeName="Sheet15"/>
  <dimension ref="A1:E398"/>
  <sheetViews>
    <sheetView topLeftCell="A371" workbookViewId="0">
      <selection activeCell="J386" sqref="J386"/>
    </sheetView>
  </sheetViews>
  <sheetFormatPr defaultColWidth="8.88671875" defaultRowHeight="14.4" x14ac:dyDescent="0.3"/>
  <cols>
    <col min="1" max="1" width="14.109375" style="1" bestFit="1" customWidth="1"/>
    <col min="2" max="2" width="15.88671875" style="1" bestFit="1" customWidth="1"/>
    <col min="3" max="16384" width="8.88671875" style="1"/>
  </cols>
  <sheetData>
    <row r="1" spans="1:5" x14ac:dyDescent="0.3">
      <c r="A1" s="1" t="s">
        <v>67</v>
      </c>
      <c r="B1" s="1" t="s">
        <v>134</v>
      </c>
    </row>
    <row r="2" spans="1:5" x14ac:dyDescent="0.3">
      <c r="A2" s="1" t="s">
        <v>135</v>
      </c>
      <c r="B2" s="1">
        <v>0.4</v>
      </c>
    </row>
    <row r="3" spans="1:5" x14ac:dyDescent="0.3">
      <c r="A3" s="1" t="s">
        <v>136</v>
      </c>
      <c r="B3" s="1">
        <v>0.75</v>
      </c>
      <c r="E3" s="78"/>
    </row>
    <row r="4" spans="1:5" x14ac:dyDescent="0.3">
      <c r="A4" s="1" t="s">
        <v>137</v>
      </c>
      <c r="B4" s="1">
        <v>0.4</v>
      </c>
    </row>
    <row r="5" spans="1:5" x14ac:dyDescent="0.3">
      <c r="A5" s="1" t="s">
        <v>138</v>
      </c>
      <c r="B5" s="1">
        <v>0.5</v>
      </c>
    </row>
    <row r="6" spans="1:5" x14ac:dyDescent="0.3">
      <c r="A6" s="1" t="s">
        <v>139</v>
      </c>
      <c r="B6" s="1">
        <v>0.4</v>
      </c>
    </row>
    <row r="7" spans="1:5" x14ac:dyDescent="0.3">
      <c r="A7" s="1" t="s">
        <v>140</v>
      </c>
      <c r="B7" s="1">
        <v>0.65</v>
      </c>
      <c r="E7" s="78"/>
    </row>
    <row r="8" spans="1:5" x14ac:dyDescent="0.3">
      <c r="A8" s="1" t="s">
        <v>141</v>
      </c>
      <c r="B8" s="1">
        <v>0.5</v>
      </c>
    </row>
    <row r="9" spans="1:5" x14ac:dyDescent="0.3">
      <c r="A9" s="1" t="s">
        <v>142</v>
      </c>
      <c r="B9" s="1">
        <v>0.4</v>
      </c>
    </row>
    <row r="10" spans="1:5" x14ac:dyDescent="0.3">
      <c r="A10" s="1" t="s">
        <v>143</v>
      </c>
      <c r="B10" s="1">
        <v>0.75</v>
      </c>
      <c r="E10" s="78"/>
    </row>
    <row r="11" spans="1:5" x14ac:dyDescent="0.3">
      <c r="A11" s="1" t="s">
        <v>144</v>
      </c>
      <c r="B11" s="1">
        <v>0.55000000000000004</v>
      </c>
    </row>
    <row r="12" spans="1:5" x14ac:dyDescent="0.3">
      <c r="A12" s="1" t="s">
        <v>145</v>
      </c>
      <c r="B12" s="1">
        <v>0.7</v>
      </c>
    </row>
    <row r="13" spans="1:5" x14ac:dyDescent="0.3">
      <c r="A13" s="1" t="s">
        <v>146</v>
      </c>
      <c r="B13" s="1">
        <v>0.7</v>
      </c>
    </row>
    <row r="14" spans="1:5" x14ac:dyDescent="0.3">
      <c r="A14" s="1" t="s">
        <v>147</v>
      </c>
      <c r="B14" s="1">
        <v>0.7</v>
      </c>
      <c r="E14" s="78"/>
    </row>
    <row r="15" spans="1:5" x14ac:dyDescent="0.3">
      <c r="A15" s="1" t="s">
        <v>148</v>
      </c>
      <c r="B15" s="1">
        <v>0.55000000000000004</v>
      </c>
    </row>
    <row r="16" spans="1:5" x14ac:dyDescent="0.3">
      <c r="A16" s="1" t="s">
        <v>149</v>
      </c>
      <c r="B16" s="1">
        <v>0.6</v>
      </c>
    </row>
    <row r="17" spans="1:5" x14ac:dyDescent="0.3">
      <c r="A17" s="1" t="s">
        <v>150</v>
      </c>
      <c r="B17" s="1">
        <v>0.7</v>
      </c>
      <c r="E17" s="78"/>
    </row>
    <row r="18" spans="1:5" x14ac:dyDescent="0.3">
      <c r="A18" s="1" t="s">
        <v>151</v>
      </c>
      <c r="B18" s="1">
        <v>0.65</v>
      </c>
    </row>
    <row r="19" spans="1:5" x14ac:dyDescent="0.3">
      <c r="A19" s="1" t="s">
        <v>152</v>
      </c>
      <c r="B19" s="1">
        <v>0.6</v>
      </c>
    </row>
    <row r="20" spans="1:5" x14ac:dyDescent="0.3">
      <c r="A20" s="1" t="s">
        <v>153</v>
      </c>
      <c r="B20" s="1">
        <v>0.7</v>
      </c>
      <c r="E20" s="78"/>
    </row>
    <row r="21" spans="1:5" x14ac:dyDescent="0.3">
      <c r="A21" s="1" t="s">
        <v>154</v>
      </c>
      <c r="B21" s="1">
        <v>0.4</v>
      </c>
    </row>
    <row r="22" spans="1:5" x14ac:dyDescent="0.3">
      <c r="A22" s="1" t="s">
        <v>155</v>
      </c>
      <c r="B22" s="1">
        <v>0.75</v>
      </c>
    </row>
    <row r="23" spans="1:5" x14ac:dyDescent="0.3">
      <c r="A23" s="1" t="s">
        <v>156</v>
      </c>
      <c r="B23" s="1">
        <v>0.75</v>
      </c>
    </row>
    <row r="24" spans="1:5" x14ac:dyDescent="0.3">
      <c r="A24" s="1" t="s">
        <v>157</v>
      </c>
      <c r="B24" s="1">
        <v>0.75</v>
      </c>
      <c r="E24" s="78"/>
    </row>
    <row r="25" spans="1:5" x14ac:dyDescent="0.3">
      <c r="A25" s="1" t="s">
        <v>158</v>
      </c>
      <c r="B25" s="1">
        <v>0.7</v>
      </c>
    </row>
    <row r="26" spans="1:5" x14ac:dyDescent="0.3">
      <c r="A26" s="1" t="s">
        <v>159</v>
      </c>
      <c r="B26" s="1">
        <v>0.75</v>
      </c>
    </row>
    <row r="27" spans="1:5" x14ac:dyDescent="0.3">
      <c r="A27" s="1" t="s">
        <v>160</v>
      </c>
      <c r="B27" s="1">
        <v>0.75</v>
      </c>
      <c r="E27" s="78"/>
    </row>
    <row r="28" spans="1:5" x14ac:dyDescent="0.3">
      <c r="A28" s="1" t="s">
        <v>161</v>
      </c>
      <c r="B28" s="1">
        <v>0.75</v>
      </c>
    </row>
    <row r="29" spans="1:5" x14ac:dyDescent="0.3">
      <c r="A29" s="1" t="s">
        <v>162</v>
      </c>
      <c r="B29" s="1">
        <v>0.75</v>
      </c>
    </row>
    <row r="30" spans="1:5" x14ac:dyDescent="0.3">
      <c r="A30" s="1" t="s">
        <v>163</v>
      </c>
      <c r="B30" s="1">
        <v>0.75</v>
      </c>
    </row>
    <row r="31" spans="1:5" x14ac:dyDescent="0.3">
      <c r="A31" s="1" t="s">
        <v>164</v>
      </c>
      <c r="B31" s="1">
        <v>0.7</v>
      </c>
      <c r="E31" s="78"/>
    </row>
    <row r="32" spans="1:5" x14ac:dyDescent="0.3">
      <c r="A32" s="1" t="s">
        <v>165</v>
      </c>
      <c r="B32" s="1">
        <v>0.4</v>
      </c>
    </row>
    <row r="33" spans="1:5" x14ac:dyDescent="0.3">
      <c r="A33" s="1" t="s">
        <v>166</v>
      </c>
      <c r="B33" s="1">
        <v>0.4</v>
      </c>
    </row>
    <row r="34" spans="1:5" x14ac:dyDescent="0.3">
      <c r="A34" s="1" t="s">
        <v>167</v>
      </c>
      <c r="B34" s="1">
        <v>0.4</v>
      </c>
    </row>
    <row r="35" spans="1:5" x14ac:dyDescent="0.3">
      <c r="A35" s="1" t="s">
        <v>168</v>
      </c>
      <c r="B35" s="1">
        <v>0.4</v>
      </c>
      <c r="E35" s="78"/>
    </row>
    <row r="36" spans="1:5" x14ac:dyDescent="0.3">
      <c r="A36" s="1" t="s">
        <v>169</v>
      </c>
      <c r="B36" s="1">
        <v>0.4</v>
      </c>
    </row>
    <row r="37" spans="1:5" x14ac:dyDescent="0.3">
      <c r="A37" s="1" t="s">
        <v>170</v>
      </c>
      <c r="B37" s="1">
        <v>0.6</v>
      </c>
    </row>
    <row r="38" spans="1:5" x14ac:dyDescent="0.3">
      <c r="A38" s="1" t="s">
        <v>171</v>
      </c>
      <c r="B38" s="1">
        <v>0.75</v>
      </c>
      <c r="E38" s="78"/>
    </row>
    <row r="39" spans="1:5" x14ac:dyDescent="0.3">
      <c r="A39" s="1" t="s">
        <v>172</v>
      </c>
      <c r="B39" s="1">
        <v>0.5</v>
      </c>
    </row>
    <row r="40" spans="1:5" x14ac:dyDescent="0.3">
      <c r="A40" s="1" t="s">
        <v>173</v>
      </c>
      <c r="B40" s="1">
        <v>0.6</v>
      </c>
    </row>
    <row r="41" spans="1:5" x14ac:dyDescent="0.3">
      <c r="A41" s="1" t="s">
        <v>174</v>
      </c>
      <c r="B41" s="1">
        <v>0.65</v>
      </c>
    </row>
    <row r="42" spans="1:5" x14ac:dyDescent="0.3">
      <c r="A42" s="1" t="s">
        <v>175</v>
      </c>
      <c r="B42" s="1">
        <v>0.7</v>
      </c>
    </row>
    <row r="43" spans="1:5" x14ac:dyDescent="0.3">
      <c r="A43" s="1" t="s">
        <v>176</v>
      </c>
      <c r="B43" s="1">
        <v>0.4</v>
      </c>
      <c r="E43" s="78"/>
    </row>
    <row r="44" spans="1:5" x14ac:dyDescent="0.3">
      <c r="A44" s="1" t="s">
        <v>177</v>
      </c>
      <c r="B44" s="1">
        <v>0.4</v>
      </c>
    </row>
    <row r="45" spans="1:5" x14ac:dyDescent="0.3">
      <c r="A45" s="1" t="s">
        <v>178</v>
      </c>
      <c r="B45" s="1">
        <v>0.6</v>
      </c>
    </row>
    <row r="46" spans="1:5" x14ac:dyDescent="0.3">
      <c r="A46" s="1" t="s">
        <v>179</v>
      </c>
      <c r="B46" s="1">
        <v>0.7</v>
      </c>
      <c r="E46" s="78"/>
    </row>
    <row r="47" spans="1:5" x14ac:dyDescent="0.3">
      <c r="A47" s="1" t="s">
        <v>180</v>
      </c>
      <c r="B47" s="1">
        <v>0.5</v>
      </c>
    </row>
    <row r="48" spans="1:5" x14ac:dyDescent="0.3">
      <c r="A48" s="1" t="s">
        <v>181</v>
      </c>
      <c r="B48" s="1">
        <v>0.7</v>
      </c>
    </row>
    <row r="49" spans="1:5" x14ac:dyDescent="0.3">
      <c r="A49" s="1" t="s">
        <v>182</v>
      </c>
      <c r="B49" s="1">
        <v>0.6</v>
      </c>
      <c r="E49" s="78"/>
    </row>
    <row r="50" spans="1:5" x14ac:dyDescent="0.3">
      <c r="A50" s="1" t="s">
        <v>183</v>
      </c>
      <c r="B50" s="1">
        <v>0.5</v>
      </c>
    </row>
    <row r="51" spans="1:5" x14ac:dyDescent="0.3">
      <c r="A51" s="1" t="s">
        <v>184</v>
      </c>
      <c r="B51" s="1">
        <v>0.7</v>
      </c>
    </row>
    <row r="52" spans="1:5" x14ac:dyDescent="0.3">
      <c r="A52" s="1" t="s">
        <v>185</v>
      </c>
      <c r="B52" s="1">
        <v>0.7</v>
      </c>
    </row>
    <row r="53" spans="1:5" x14ac:dyDescent="0.3">
      <c r="A53" s="1" t="s">
        <v>186</v>
      </c>
      <c r="B53" s="1">
        <v>0.7</v>
      </c>
      <c r="E53" s="78"/>
    </row>
    <row r="54" spans="1:5" x14ac:dyDescent="0.3">
      <c r="A54" s="1" t="s">
        <v>187</v>
      </c>
      <c r="B54" s="1">
        <v>0.7</v>
      </c>
    </row>
    <row r="55" spans="1:5" x14ac:dyDescent="0.3">
      <c r="A55" s="1" t="s">
        <v>188</v>
      </c>
      <c r="B55" s="1">
        <v>0.6</v>
      </c>
    </row>
    <row r="56" spans="1:5" x14ac:dyDescent="0.3">
      <c r="A56" s="1" t="s">
        <v>189</v>
      </c>
      <c r="B56" s="1">
        <v>0.75</v>
      </c>
      <c r="E56" s="78"/>
    </row>
    <row r="57" spans="1:5" x14ac:dyDescent="0.3">
      <c r="A57" s="1" t="s">
        <v>190</v>
      </c>
      <c r="B57" s="1">
        <v>0.5</v>
      </c>
    </row>
    <row r="58" spans="1:5" x14ac:dyDescent="0.3">
      <c r="A58" s="1" t="s">
        <v>191</v>
      </c>
      <c r="B58" s="1">
        <v>0.6</v>
      </c>
    </row>
    <row r="59" spans="1:5" x14ac:dyDescent="0.3">
      <c r="A59" s="1" t="s">
        <v>192</v>
      </c>
      <c r="B59" s="1">
        <v>0.6</v>
      </c>
      <c r="E59" s="78"/>
    </row>
    <row r="60" spans="1:5" x14ac:dyDescent="0.3">
      <c r="A60" s="1" t="s">
        <v>193</v>
      </c>
      <c r="B60" s="1">
        <v>0.7</v>
      </c>
    </row>
    <row r="61" spans="1:5" x14ac:dyDescent="0.3">
      <c r="A61" s="1" t="s">
        <v>194</v>
      </c>
      <c r="B61" s="1">
        <v>0.6</v>
      </c>
    </row>
    <row r="62" spans="1:5" x14ac:dyDescent="0.3">
      <c r="A62" s="1" t="s">
        <v>195</v>
      </c>
      <c r="B62" s="1">
        <v>0.7</v>
      </c>
      <c r="E62" s="78"/>
    </row>
    <row r="63" spans="1:5" x14ac:dyDescent="0.3">
      <c r="A63" s="1" t="s">
        <v>196</v>
      </c>
      <c r="B63" s="1">
        <v>0.6</v>
      </c>
    </row>
    <row r="64" spans="1:5" x14ac:dyDescent="0.3">
      <c r="A64" s="1" t="s">
        <v>197</v>
      </c>
      <c r="B64" s="1">
        <v>0.6</v>
      </c>
    </row>
    <row r="65" spans="1:5" x14ac:dyDescent="0.3">
      <c r="A65" s="1" t="s">
        <v>198</v>
      </c>
      <c r="B65" s="1">
        <v>0.7</v>
      </c>
    </row>
    <row r="66" spans="1:5" x14ac:dyDescent="0.3">
      <c r="A66" s="1" t="s">
        <v>199</v>
      </c>
      <c r="B66" s="1">
        <v>0.4</v>
      </c>
      <c r="E66" s="78"/>
    </row>
    <row r="67" spans="1:5" x14ac:dyDescent="0.3">
      <c r="A67" s="1" t="s">
        <v>200</v>
      </c>
      <c r="B67" s="1">
        <v>0.7</v>
      </c>
    </row>
    <row r="68" spans="1:5" x14ac:dyDescent="0.3">
      <c r="A68" s="1" t="s">
        <v>201</v>
      </c>
      <c r="B68" s="1">
        <v>0.4</v>
      </c>
    </row>
    <row r="69" spans="1:5" x14ac:dyDescent="0.3">
      <c r="A69" s="1" t="s">
        <v>202</v>
      </c>
      <c r="B69" s="1">
        <v>0.75</v>
      </c>
      <c r="E69" s="78"/>
    </row>
    <row r="70" spans="1:5" x14ac:dyDescent="0.3">
      <c r="A70" s="1" t="s">
        <v>203</v>
      </c>
      <c r="B70" s="1">
        <v>0.55000000000000004</v>
      </c>
    </row>
    <row r="71" spans="1:5" x14ac:dyDescent="0.3">
      <c r="A71" s="1" t="s">
        <v>204</v>
      </c>
      <c r="B71" s="1">
        <v>0.65</v>
      </c>
    </row>
    <row r="72" spans="1:5" x14ac:dyDescent="0.3">
      <c r="A72" s="1" t="s">
        <v>50</v>
      </c>
      <c r="B72" s="1">
        <v>0.75</v>
      </c>
      <c r="E72" s="78"/>
    </row>
    <row r="73" spans="1:5" x14ac:dyDescent="0.3">
      <c r="A73" s="1" t="s">
        <v>205</v>
      </c>
      <c r="B73" s="1">
        <v>0.75</v>
      </c>
    </row>
    <row r="74" spans="1:5" x14ac:dyDescent="0.3">
      <c r="A74" s="1" t="s">
        <v>206</v>
      </c>
      <c r="B74" s="1">
        <v>0.75</v>
      </c>
    </row>
    <row r="75" spans="1:5" x14ac:dyDescent="0.3">
      <c r="A75" s="1" t="s">
        <v>207</v>
      </c>
      <c r="B75" s="1">
        <v>0.75</v>
      </c>
      <c r="E75" s="78"/>
    </row>
    <row r="76" spans="1:5" x14ac:dyDescent="0.3">
      <c r="A76" s="1" t="s">
        <v>208</v>
      </c>
      <c r="B76" s="1">
        <v>0.75</v>
      </c>
    </row>
    <row r="77" spans="1:5" x14ac:dyDescent="0.3">
      <c r="A77" s="1" t="s">
        <v>209</v>
      </c>
      <c r="B77" s="1">
        <v>0.75</v>
      </c>
    </row>
    <row r="78" spans="1:5" x14ac:dyDescent="0.3">
      <c r="A78" s="1" t="s">
        <v>210</v>
      </c>
      <c r="B78" s="1">
        <v>0.4</v>
      </c>
    </row>
    <row r="79" spans="1:5" x14ac:dyDescent="0.3">
      <c r="A79" s="1" t="s">
        <v>211</v>
      </c>
      <c r="B79" s="1">
        <v>0.4</v>
      </c>
      <c r="E79" s="78"/>
    </row>
    <row r="80" spans="1:5" x14ac:dyDescent="0.3">
      <c r="A80" s="1" t="s">
        <v>212</v>
      </c>
      <c r="B80" s="1">
        <v>0.4</v>
      </c>
    </row>
    <row r="81" spans="1:5" x14ac:dyDescent="0.3">
      <c r="A81" s="1" t="s">
        <v>213</v>
      </c>
      <c r="B81" s="1">
        <v>0.6</v>
      </c>
    </row>
    <row r="82" spans="1:5" x14ac:dyDescent="0.3">
      <c r="A82" s="1" t="s">
        <v>214</v>
      </c>
      <c r="B82" s="1">
        <v>0.5</v>
      </c>
      <c r="E82" s="78"/>
    </row>
    <row r="83" spans="1:5" x14ac:dyDescent="0.3">
      <c r="A83" s="1" t="s">
        <v>215</v>
      </c>
      <c r="B83" s="1">
        <v>0.5</v>
      </c>
    </row>
    <row r="84" spans="1:5" x14ac:dyDescent="0.3">
      <c r="A84" s="1" t="s">
        <v>216</v>
      </c>
      <c r="B84" s="1">
        <v>0.7</v>
      </c>
    </row>
    <row r="85" spans="1:5" x14ac:dyDescent="0.3">
      <c r="A85" s="1" t="s">
        <v>217</v>
      </c>
      <c r="B85" s="1">
        <v>0.7</v>
      </c>
    </row>
    <row r="86" spans="1:5" x14ac:dyDescent="0.3">
      <c r="A86" s="1" t="s">
        <v>218</v>
      </c>
      <c r="B86" s="1">
        <v>0.7</v>
      </c>
      <c r="E86" s="78"/>
    </row>
    <row r="87" spans="1:5" x14ac:dyDescent="0.3">
      <c r="A87" s="1" t="s">
        <v>219</v>
      </c>
      <c r="B87" s="1">
        <v>0.7</v>
      </c>
    </row>
    <row r="88" spans="1:5" x14ac:dyDescent="0.3">
      <c r="A88" s="1" t="s">
        <v>220</v>
      </c>
      <c r="B88" s="1">
        <v>0.5</v>
      </c>
    </row>
    <row r="89" spans="1:5" x14ac:dyDescent="0.3">
      <c r="A89" s="1" t="s">
        <v>221</v>
      </c>
      <c r="B89" s="1">
        <v>0.7</v>
      </c>
    </row>
    <row r="90" spans="1:5" x14ac:dyDescent="0.3">
      <c r="A90" s="1" t="s">
        <v>222</v>
      </c>
      <c r="B90" s="1">
        <v>0.5</v>
      </c>
    </row>
    <row r="91" spans="1:5" x14ac:dyDescent="0.3">
      <c r="A91" s="1" t="s">
        <v>223</v>
      </c>
      <c r="B91" s="1">
        <v>0.5</v>
      </c>
      <c r="E91" s="78"/>
    </row>
    <row r="92" spans="1:5" x14ac:dyDescent="0.3">
      <c r="A92" s="1" t="s">
        <v>224</v>
      </c>
      <c r="B92" s="1">
        <v>0.4</v>
      </c>
    </row>
    <row r="93" spans="1:5" x14ac:dyDescent="0.3">
      <c r="A93" s="1" t="s">
        <v>225</v>
      </c>
      <c r="B93" s="1">
        <v>0.65</v>
      </c>
    </row>
    <row r="94" spans="1:5" x14ac:dyDescent="0.3">
      <c r="A94" s="1" t="s">
        <v>226</v>
      </c>
      <c r="B94" s="1">
        <v>0.6</v>
      </c>
    </row>
    <row r="95" spans="1:5" x14ac:dyDescent="0.3">
      <c r="A95" s="1" t="s">
        <v>227</v>
      </c>
      <c r="B95" s="1">
        <v>0.6</v>
      </c>
    </row>
    <row r="96" spans="1:5" x14ac:dyDescent="0.3">
      <c r="A96" s="1" t="s">
        <v>228</v>
      </c>
      <c r="B96" s="1">
        <v>0.5</v>
      </c>
      <c r="E96" s="78"/>
    </row>
    <row r="97" spans="1:5" x14ac:dyDescent="0.3">
      <c r="A97" s="1" t="s">
        <v>229</v>
      </c>
      <c r="B97" s="1">
        <v>0.4</v>
      </c>
    </row>
    <row r="98" spans="1:5" x14ac:dyDescent="0.3">
      <c r="A98" s="1" t="s">
        <v>230</v>
      </c>
      <c r="B98" s="1">
        <v>0.7</v>
      </c>
    </row>
    <row r="99" spans="1:5" x14ac:dyDescent="0.3">
      <c r="A99" s="1" t="s">
        <v>231</v>
      </c>
      <c r="B99" s="1">
        <v>0.75</v>
      </c>
    </row>
    <row r="100" spans="1:5" x14ac:dyDescent="0.3">
      <c r="A100" s="1" t="s">
        <v>232</v>
      </c>
      <c r="B100" s="1">
        <v>0.7</v>
      </c>
    </row>
    <row r="101" spans="1:5" x14ac:dyDescent="0.3">
      <c r="A101" s="1" t="s">
        <v>233</v>
      </c>
      <c r="B101" s="1">
        <v>0.5</v>
      </c>
      <c r="E101" s="78"/>
    </row>
    <row r="102" spans="1:5" x14ac:dyDescent="0.3">
      <c r="A102" s="1" t="s">
        <v>234</v>
      </c>
      <c r="B102" s="1">
        <v>0.6</v>
      </c>
    </row>
    <row r="103" spans="1:5" x14ac:dyDescent="0.3">
      <c r="A103" s="1" t="s">
        <v>235</v>
      </c>
      <c r="B103" s="1">
        <v>0.6</v>
      </c>
    </row>
    <row r="104" spans="1:5" x14ac:dyDescent="0.3">
      <c r="A104" s="1" t="s">
        <v>236</v>
      </c>
      <c r="B104" s="1">
        <v>0.75</v>
      </c>
    </row>
    <row r="105" spans="1:5" x14ac:dyDescent="0.3">
      <c r="A105" s="1" t="s">
        <v>237</v>
      </c>
      <c r="B105" s="1">
        <v>0.7</v>
      </c>
    </row>
    <row r="106" spans="1:5" x14ac:dyDescent="0.3">
      <c r="A106" s="1" t="s">
        <v>238</v>
      </c>
      <c r="B106" s="1">
        <v>0.6</v>
      </c>
      <c r="E106" s="78"/>
    </row>
    <row r="107" spans="1:5" x14ac:dyDescent="0.3">
      <c r="A107" s="1" t="s">
        <v>239</v>
      </c>
      <c r="B107" s="1">
        <v>0.7</v>
      </c>
    </row>
    <row r="108" spans="1:5" x14ac:dyDescent="0.3">
      <c r="A108" s="1" t="s">
        <v>240</v>
      </c>
      <c r="B108" s="1">
        <v>0.7</v>
      </c>
    </row>
    <row r="109" spans="1:5" x14ac:dyDescent="0.3">
      <c r="A109" s="1" t="s">
        <v>241</v>
      </c>
      <c r="B109" s="1">
        <v>0.5</v>
      </c>
      <c r="E109" s="78"/>
    </row>
    <row r="110" spans="1:5" x14ac:dyDescent="0.3">
      <c r="A110" s="1" t="s">
        <v>242</v>
      </c>
      <c r="B110" s="1">
        <v>0.6</v>
      </c>
    </row>
    <row r="111" spans="1:5" x14ac:dyDescent="0.3">
      <c r="A111" s="1" t="s">
        <v>243</v>
      </c>
      <c r="B111" s="1">
        <v>0.65</v>
      </c>
    </row>
    <row r="112" spans="1:5" x14ac:dyDescent="0.3">
      <c r="A112" s="1" t="s">
        <v>244</v>
      </c>
      <c r="B112" s="1">
        <v>0.6</v>
      </c>
      <c r="E112" s="78"/>
    </row>
    <row r="113" spans="1:5" x14ac:dyDescent="0.3">
      <c r="A113" s="1" t="s">
        <v>245</v>
      </c>
      <c r="B113" s="1">
        <v>0.7</v>
      </c>
    </row>
    <row r="114" spans="1:5" x14ac:dyDescent="0.3">
      <c r="A114" s="1" t="s">
        <v>246</v>
      </c>
      <c r="B114" s="1">
        <v>0.65</v>
      </c>
    </row>
    <row r="115" spans="1:5" x14ac:dyDescent="0.3">
      <c r="A115" s="1" t="s">
        <v>247</v>
      </c>
      <c r="B115" s="1">
        <v>0.65</v>
      </c>
    </row>
    <row r="116" spans="1:5" x14ac:dyDescent="0.3">
      <c r="A116" s="1" t="s">
        <v>248</v>
      </c>
      <c r="B116" s="1">
        <v>0.7</v>
      </c>
    </row>
    <row r="117" spans="1:5" x14ac:dyDescent="0.3">
      <c r="A117" s="1" t="s">
        <v>249</v>
      </c>
      <c r="B117" s="1">
        <v>0.6</v>
      </c>
      <c r="E117" s="78"/>
    </row>
    <row r="118" spans="1:5" x14ac:dyDescent="0.3">
      <c r="A118" s="1" t="s">
        <v>250</v>
      </c>
      <c r="B118" s="1">
        <v>0.7</v>
      </c>
    </row>
    <row r="119" spans="1:5" x14ac:dyDescent="0.3">
      <c r="A119" s="1" t="s">
        <v>251</v>
      </c>
      <c r="B119" s="1">
        <v>0.6</v>
      </c>
    </row>
    <row r="120" spans="1:5" x14ac:dyDescent="0.3">
      <c r="A120" s="1" t="s">
        <v>252</v>
      </c>
      <c r="B120" s="1">
        <v>0.6</v>
      </c>
      <c r="E120" s="78"/>
    </row>
    <row r="121" spans="1:5" x14ac:dyDescent="0.3">
      <c r="A121" s="1" t="s">
        <v>253</v>
      </c>
      <c r="B121" s="1">
        <v>0.6</v>
      </c>
    </row>
    <row r="122" spans="1:5" x14ac:dyDescent="0.3">
      <c r="A122" s="1" t="s">
        <v>254</v>
      </c>
      <c r="B122" s="1">
        <v>0.5</v>
      </c>
    </row>
    <row r="123" spans="1:5" x14ac:dyDescent="0.3">
      <c r="A123" s="1" t="s">
        <v>255</v>
      </c>
      <c r="B123" s="1">
        <v>0.4</v>
      </c>
      <c r="E123" s="78"/>
    </row>
    <row r="124" spans="1:5" x14ac:dyDescent="0.3">
      <c r="A124" s="1" t="s">
        <v>256</v>
      </c>
      <c r="B124" s="1">
        <v>0.5</v>
      </c>
    </row>
    <row r="125" spans="1:5" x14ac:dyDescent="0.3">
      <c r="A125" s="1" t="s">
        <v>257</v>
      </c>
      <c r="B125" s="1">
        <v>0.7</v>
      </c>
    </row>
    <row r="126" spans="1:5" x14ac:dyDescent="0.3">
      <c r="A126" s="1" t="s">
        <v>258</v>
      </c>
      <c r="B126" s="1">
        <v>0.6</v>
      </c>
    </row>
    <row r="127" spans="1:5" x14ac:dyDescent="0.3">
      <c r="A127" s="1" t="s">
        <v>259</v>
      </c>
      <c r="B127" s="1">
        <v>0.6</v>
      </c>
      <c r="E127" s="78"/>
    </row>
    <row r="128" spans="1:5" x14ac:dyDescent="0.3">
      <c r="A128" s="1" t="s">
        <v>260</v>
      </c>
      <c r="B128" s="1">
        <v>0.7</v>
      </c>
    </row>
    <row r="129" spans="1:2" x14ac:dyDescent="0.3">
      <c r="A129" s="1" t="s">
        <v>261</v>
      </c>
      <c r="B129" s="1">
        <v>0.7</v>
      </c>
    </row>
    <row r="130" spans="1:2" x14ac:dyDescent="0.3">
      <c r="A130" s="1" t="s">
        <v>262</v>
      </c>
      <c r="B130" s="1">
        <v>0.5</v>
      </c>
    </row>
    <row r="131" spans="1:2" x14ac:dyDescent="0.3">
      <c r="A131" s="1" t="s">
        <v>263</v>
      </c>
      <c r="B131" s="1">
        <v>0.5</v>
      </c>
    </row>
    <row r="132" spans="1:2" x14ac:dyDescent="0.3">
      <c r="A132" s="1" t="s">
        <v>264</v>
      </c>
      <c r="B132" s="1">
        <v>0.65</v>
      </c>
    </row>
    <row r="133" spans="1:2" x14ac:dyDescent="0.3">
      <c r="A133" s="1" t="s">
        <v>265</v>
      </c>
      <c r="B133" s="1">
        <v>0.6</v>
      </c>
    </row>
    <row r="134" spans="1:2" x14ac:dyDescent="0.3">
      <c r="A134" s="1" t="s">
        <v>266</v>
      </c>
      <c r="B134" s="1">
        <v>0.6</v>
      </c>
    </row>
    <row r="135" spans="1:2" x14ac:dyDescent="0.3">
      <c r="A135" s="1" t="s">
        <v>267</v>
      </c>
      <c r="B135" s="1">
        <v>0.4</v>
      </c>
    </row>
    <row r="136" spans="1:2" x14ac:dyDescent="0.3">
      <c r="A136" s="1" t="s">
        <v>268</v>
      </c>
      <c r="B136" s="1">
        <v>0.45</v>
      </c>
    </row>
    <row r="137" spans="1:2" x14ac:dyDescent="0.3">
      <c r="A137" s="1" t="s">
        <v>269</v>
      </c>
      <c r="B137" s="1">
        <v>0.6</v>
      </c>
    </row>
    <row r="138" spans="1:2" x14ac:dyDescent="0.3">
      <c r="A138" s="1" t="s">
        <v>270</v>
      </c>
      <c r="B138" s="1">
        <v>0.5</v>
      </c>
    </row>
    <row r="139" spans="1:2" x14ac:dyDescent="0.3">
      <c r="A139" s="1" t="s">
        <v>271</v>
      </c>
      <c r="B139" s="1">
        <v>0.55000000000000004</v>
      </c>
    </row>
    <row r="140" spans="1:2" x14ac:dyDescent="0.3">
      <c r="A140" s="1" t="s">
        <v>272</v>
      </c>
      <c r="B140" s="1">
        <v>0.7</v>
      </c>
    </row>
    <row r="141" spans="1:2" x14ac:dyDescent="0.3">
      <c r="A141" s="1" t="s">
        <v>273</v>
      </c>
      <c r="B141" s="1">
        <v>0.6</v>
      </c>
    </row>
    <row r="142" spans="1:2" x14ac:dyDescent="0.3">
      <c r="A142" s="1" t="s">
        <v>274</v>
      </c>
      <c r="B142" s="1">
        <v>0.5</v>
      </c>
    </row>
    <row r="143" spans="1:2" x14ac:dyDescent="0.3">
      <c r="A143" s="1" t="s">
        <v>275</v>
      </c>
      <c r="B143" s="1">
        <v>0.7</v>
      </c>
    </row>
    <row r="144" spans="1:2" x14ac:dyDescent="0.3">
      <c r="A144" s="1" t="s">
        <v>276</v>
      </c>
      <c r="B144" s="1">
        <v>0.5</v>
      </c>
    </row>
    <row r="145" spans="1:2" x14ac:dyDescent="0.3">
      <c r="A145" s="1" t="s">
        <v>277</v>
      </c>
      <c r="B145" s="1">
        <v>0.6</v>
      </c>
    </row>
    <row r="146" spans="1:2" x14ac:dyDescent="0.3">
      <c r="A146" s="1" t="s">
        <v>278</v>
      </c>
      <c r="B146" s="1">
        <v>0.5</v>
      </c>
    </row>
    <row r="147" spans="1:2" x14ac:dyDescent="0.3">
      <c r="A147" s="1" t="s">
        <v>279</v>
      </c>
      <c r="B147" s="1">
        <v>0.4</v>
      </c>
    </row>
    <row r="148" spans="1:2" x14ac:dyDescent="0.3">
      <c r="A148" s="1" t="s">
        <v>280</v>
      </c>
      <c r="B148" s="1">
        <v>0.5</v>
      </c>
    </row>
    <row r="149" spans="1:2" x14ac:dyDescent="0.3">
      <c r="A149" s="1" t="s">
        <v>281</v>
      </c>
      <c r="B149" s="1">
        <v>0.5</v>
      </c>
    </row>
    <row r="150" spans="1:2" x14ac:dyDescent="0.3">
      <c r="A150" s="1" t="s">
        <v>282</v>
      </c>
      <c r="B150" s="1">
        <v>0.65</v>
      </c>
    </row>
    <row r="151" spans="1:2" x14ac:dyDescent="0.3">
      <c r="A151" s="1" t="s">
        <v>283</v>
      </c>
      <c r="B151" s="1">
        <v>0.55000000000000004</v>
      </c>
    </row>
    <row r="152" spans="1:2" x14ac:dyDescent="0.3">
      <c r="A152" s="1" t="s">
        <v>284</v>
      </c>
      <c r="B152" s="1">
        <v>0.4</v>
      </c>
    </row>
    <row r="153" spans="1:2" x14ac:dyDescent="0.3">
      <c r="A153" s="1" t="s">
        <v>285</v>
      </c>
      <c r="B153" s="1">
        <v>0.45</v>
      </c>
    </row>
    <row r="154" spans="1:2" x14ac:dyDescent="0.3">
      <c r="A154" s="1" t="s">
        <v>286</v>
      </c>
      <c r="B154" s="1">
        <v>0.4</v>
      </c>
    </row>
    <row r="155" spans="1:2" x14ac:dyDescent="0.3">
      <c r="A155" s="1" t="s">
        <v>287</v>
      </c>
      <c r="B155" s="1">
        <v>0.6</v>
      </c>
    </row>
    <row r="156" spans="1:2" x14ac:dyDescent="0.3">
      <c r="A156" s="1" t="s">
        <v>288</v>
      </c>
      <c r="B156" s="1">
        <v>0.4</v>
      </c>
    </row>
    <row r="157" spans="1:2" x14ac:dyDescent="0.3">
      <c r="A157" s="1" t="s">
        <v>289</v>
      </c>
      <c r="B157" s="1">
        <v>0.55000000000000004</v>
      </c>
    </row>
    <row r="158" spans="1:2" x14ac:dyDescent="0.3">
      <c r="A158" s="1" t="s">
        <v>290</v>
      </c>
      <c r="B158" s="1">
        <v>0.4</v>
      </c>
    </row>
    <row r="159" spans="1:2" x14ac:dyDescent="0.3">
      <c r="A159" s="1" t="s">
        <v>291</v>
      </c>
      <c r="B159" s="1">
        <v>0.7</v>
      </c>
    </row>
    <row r="160" spans="1:2" x14ac:dyDescent="0.3">
      <c r="A160" s="1" t="s">
        <v>292</v>
      </c>
      <c r="B160" s="1">
        <v>0.7</v>
      </c>
    </row>
    <row r="161" spans="1:2" x14ac:dyDescent="0.3">
      <c r="A161" s="1" t="s">
        <v>293</v>
      </c>
      <c r="B161" s="1">
        <v>0.7</v>
      </c>
    </row>
    <row r="162" spans="1:2" x14ac:dyDescent="0.3">
      <c r="A162" s="1" t="s">
        <v>294</v>
      </c>
      <c r="B162" s="1">
        <v>0.6</v>
      </c>
    </row>
    <row r="163" spans="1:2" x14ac:dyDescent="0.3">
      <c r="A163" s="1" t="s">
        <v>295</v>
      </c>
      <c r="B163" s="1">
        <v>0.7</v>
      </c>
    </row>
    <row r="164" spans="1:2" x14ac:dyDescent="0.3">
      <c r="A164" s="1" t="s">
        <v>296</v>
      </c>
      <c r="B164" s="1">
        <v>0.75</v>
      </c>
    </row>
    <row r="165" spans="1:2" x14ac:dyDescent="0.3">
      <c r="A165" s="1" t="s">
        <v>297</v>
      </c>
      <c r="B165" s="1">
        <v>0.4</v>
      </c>
    </row>
    <row r="166" spans="1:2" x14ac:dyDescent="0.3">
      <c r="A166" s="1" t="s">
        <v>298</v>
      </c>
      <c r="B166" s="1">
        <v>0.5</v>
      </c>
    </row>
    <row r="167" spans="1:2" x14ac:dyDescent="0.3">
      <c r="A167" s="1" t="s">
        <v>299</v>
      </c>
      <c r="B167" s="1">
        <v>0.6</v>
      </c>
    </row>
    <row r="168" spans="1:2" x14ac:dyDescent="0.3">
      <c r="A168" s="1" t="s">
        <v>300</v>
      </c>
      <c r="B168" s="1">
        <v>0.7</v>
      </c>
    </row>
    <row r="169" spans="1:2" x14ac:dyDescent="0.3">
      <c r="A169" s="1" t="s">
        <v>301</v>
      </c>
      <c r="B169" s="1">
        <v>0.6</v>
      </c>
    </row>
    <row r="170" spans="1:2" x14ac:dyDescent="0.3">
      <c r="A170" s="1" t="s">
        <v>302</v>
      </c>
      <c r="B170" s="1">
        <v>0.4</v>
      </c>
    </row>
    <row r="171" spans="1:2" x14ac:dyDescent="0.3">
      <c r="A171" s="1" t="s">
        <v>303</v>
      </c>
      <c r="B171" s="1">
        <v>0.4</v>
      </c>
    </row>
    <row r="172" spans="1:2" x14ac:dyDescent="0.3">
      <c r="A172" s="1" t="s">
        <v>304</v>
      </c>
      <c r="B172" s="1">
        <v>0.5</v>
      </c>
    </row>
    <row r="173" spans="1:2" x14ac:dyDescent="0.3">
      <c r="A173" s="1" t="s">
        <v>305</v>
      </c>
      <c r="B173" s="1">
        <v>0.75</v>
      </c>
    </row>
    <row r="174" spans="1:2" x14ac:dyDescent="0.3">
      <c r="A174" s="1" t="s">
        <v>306</v>
      </c>
      <c r="B174" s="1">
        <v>0.7</v>
      </c>
    </row>
    <row r="175" spans="1:2" x14ac:dyDescent="0.3">
      <c r="A175" s="1" t="s">
        <v>307</v>
      </c>
      <c r="B175" s="1">
        <v>0.7</v>
      </c>
    </row>
    <row r="176" spans="1:2" x14ac:dyDescent="0.3">
      <c r="A176" s="1" t="s">
        <v>308</v>
      </c>
      <c r="B176" s="1">
        <v>0.5</v>
      </c>
    </row>
    <row r="177" spans="1:2" x14ac:dyDescent="0.3">
      <c r="A177" s="1" t="s">
        <v>309</v>
      </c>
      <c r="B177" s="1">
        <v>0.7</v>
      </c>
    </row>
    <row r="178" spans="1:2" x14ac:dyDescent="0.3">
      <c r="A178" s="1" t="s">
        <v>310</v>
      </c>
      <c r="B178" s="1">
        <v>0.5</v>
      </c>
    </row>
    <row r="179" spans="1:2" x14ac:dyDescent="0.3">
      <c r="A179" s="1" t="s">
        <v>311</v>
      </c>
      <c r="B179" s="1">
        <v>0.7</v>
      </c>
    </row>
    <row r="180" spans="1:2" x14ac:dyDescent="0.3">
      <c r="A180" s="1" t="s">
        <v>312</v>
      </c>
      <c r="B180" s="1">
        <v>0.75</v>
      </c>
    </row>
    <row r="181" spans="1:2" x14ac:dyDescent="0.3">
      <c r="A181" s="1" t="s">
        <v>313</v>
      </c>
      <c r="B181" s="1">
        <v>0.7</v>
      </c>
    </row>
    <row r="182" spans="1:2" x14ac:dyDescent="0.3">
      <c r="A182" s="1" t="s">
        <v>314</v>
      </c>
      <c r="B182" s="1">
        <v>0.4</v>
      </c>
    </row>
    <row r="183" spans="1:2" x14ac:dyDescent="0.3">
      <c r="A183" s="1" t="s">
        <v>315</v>
      </c>
      <c r="B183" s="1">
        <v>0.6</v>
      </c>
    </row>
    <row r="184" spans="1:2" x14ac:dyDescent="0.3">
      <c r="A184" s="1" t="s">
        <v>316</v>
      </c>
      <c r="B184" s="1">
        <v>0.7</v>
      </c>
    </row>
    <row r="185" spans="1:2" x14ac:dyDescent="0.3">
      <c r="A185" s="1" t="s">
        <v>52</v>
      </c>
      <c r="B185" s="1">
        <v>0.75</v>
      </c>
    </row>
    <row r="186" spans="1:2" x14ac:dyDescent="0.3">
      <c r="A186" s="1" t="s">
        <v>317</v>
      </c>
      <c r="B186" s="1">
        <v>0.6</v>
      </c>
    </row>
    <row r="187" spans="1:2" x14ac:dyDescent="0.3">
      <c r="A187" s="1" t="s">
        <v>318</v>
      </c>
      <c r="B187" s="1">
        <v>0.7</v>
      </c>
    </row>
    <row r="188" spans="1:2" x14ac:dyDescent="0.3">
      <c r="A188" s="1" t="s">
        <v>319</v>
      </c>
      <c r="B188" s="1">
        <v>0.6</v>
      </c>
    </row>
    <row r="189" spans="1:2" x14ac:dyDescent="0.3">
      <c r="A189" s="1" t="s">
        <v>320</v>
      </c>
      <c r="B189" s="1">
        <v>0.4</v>
      </c>
    </row>
    <row r="190" spans="1:2" x14ac:dyDescent="0.3">
      <c r="A190" s="1" t="s">
        <v>321</v>
      </c>
      <c r="B190" s="1">
        <v>0.6</v>
      </c>
    </row>
    <row r="191" spans="1:2" x14ac:dyDescent="0.3">
      <c r="A191" s="1" t="s">
        <v>322</v>
      </c>
      <c r="B191" s="1">
        <v>0.7</v>
      </c>
    </row>
    <row r="192" spans="1:2" x14ac:dyDescent="0.3">
      <c r="A192" s="1" t="s">
        <v>323</v>
      </c>
      <c r="B192" s="1">
        <v>0.7</v>
      </c>
    </row>
    <row r="193" spans="1:2" x14ac:dyDescent="0.3">
      <c r="A193" s="1" t="s">
        <v>324</v>
      </c>
      <c r="B193" s="1">
        <v>0.7</v>
      </c>
    </row>
    <row r="194" spans="1:2" x14ac:dyDescent="0.3">
      <c r="A194" s="1" t="s">
        <v>325</v>
      </c>
      <c r="B194" s="1">
        <v>0.65</v>
      </c>
    </row>
    <row r="195" spans="1:2" x14ac:dyDescent="0.3">
      <c r="A195" s="1" t="s">
        <v>326</v>
      </c>
      <c r="B195" s="1">
        <v>0.7</v>
      </c>
    </row>
    <row r="196" spans="1:2" x14ac:dyDescent="0.3">
      <c r="A196" s="1" t="s">
        <v>327</v>
      </c>
      <c r="B196" s="1">
        <v>0.7</v>
      </c>
    </row>
    <row r="197" spans="1:2" x14ac:dyDescent="0.3">
      <c r="A197" s="1" t="s">
        <v>328</v>
      </c>
      <c r="B197" s="1">
        <v>0.65</v>
      </c>
    </row>
    <row r="198" spans="1:2" x14ac:dyDescent="0.3">
      <c r="A198" s="1" t="s">
        <v>329</v>
      </c>
      <c r="B198" s="1">
        <v>0.5</v>
      </c>
    </row>
    <row r="199" spans="1:2" x14ac:dyDescent="0.3">
      <c r="A199" s="1" t="s">
        <v>330</v>
      </c>
      <c r="B199" s="1">
        <v>0.7</v>
      </c>
    </row>
    <row r="200" spans="1:2" x14ac:dyDescent="0.3">
      <c r="A200" s="1" t="s">
        <v>331</v>
      </c>
      <c r="B200" s="1">
        <v>0.65</v>
      </c>
    </row>
    <row r="201" spans="1:2" x14ac:dyDescent="0.3">
      <c r="A201" s="1" t="s">
        <v>332</v>
      </c>
      <c r="B201" s="1">
        <v>0.6</v>
      </c>
    </row>
    <row r="202" spans="1:2" x14ac:dyDescent="0.3">
      <c r="A202" s="1" t="s">
        <v>333</v>
      </c>
      <c r="B202" s="1">
        <v>0.5</v>
      </c>
    </row>
    <row r="203" spans="1:2" x14ac:dyDescent="0.3">
      <c r="A203" s="1" t="s">
        <v>334</v>
      </c>
      <c r="B203" s="1">
        <v>0.6</v>
      </c>
    </row>
    <row r="204" spans="1:2" x14ac:dyDescent="0.3">
      <c r="A204" s="1" t="s">
        <v>335</v>
      </c>
      <c r="B204" s="1">
        <v>0.7</v>
      </c>
    </row>
    <row r="205" spans="1:2" x14ac:dyDescent="0.3">
      <c r="A205" s="1" t="s">
        <v>336</v>
      </c>
      <c r="B205" s="1">
        <v>0.7</v>
      </c>
    </row>
    <row r="206" spans="1:2" x14ac:dyDescent="0.3">
      <c r="A206" s="1" t="s">
        <v>337</v>
      </c>
      <c r="B206" s="1">
        <v>0.4</v>
      </c>
    </row>
    <row r="207" spans="1:2" x14ac:dyDescent="0.3">
      <c r="A207" s="1" t="s">
        <v>338</v>
      </c>
      <c r="B207" s="1">
        <v>0.75</v>
      </c>
    </row>
    <row r="208" spans="1:2" x14ac:dyDescent="0.3">
      <c r="A208" s="1" t="s">
        <v>339</v>
      </c>
      <c r="B208" s="1">
        <v>0.55000000000000004</v>
      </c>
    </row>
    <row r="209" spans="1:2" x14ac:dyDescent="0.3">
      <c r="A209" s="1" t="s">
        <v>340</v>
      </c>
      <c r="B209" s="1">
        <v>0.7</v>
      </c>
    </row>
    <row r="210" spans="1:2" x14ac:dyDescent="0.3">
      <c r="A210" s="1" t="s">
        <v>341</v>
      </c>
      <c r="B210" s="1">
        <v>0.6</v>
      </c>
    </row>
    <row r="211" spans="1:2" x14ac:dyDescent="0.3">
      <c r="A211" s="1" t="s">
        <v>342</v>
      </c>
      <c r="B211" s="1">
        <v>0.7</v>
      </c>
    </row>
    <row r="212" spans="1:2" x14ac:dyDescent="0.3">
      <c r="A212" s="1" t="s">
        <v>343</v>
      </c>
      <c r="B212" s="1">
        <v>0.65</v>
      </c>
    </row>
    <row r="213" spans="1:2" x14ac:dyDescent="0.3">
      <c r="A213" s="1" t="s">
        <v>344</v>
      </c>
      <c r="B213" s="1">
        <v>0.5</v>
      </c>
    </row>
    <row r="214" spans="1:2" x14ac:dyDescent="0.3">
      <c r="A214" s="1" t="s">
        <v>345</v>
      </c>
      <c r="B214" s="1">
        <v>0.7</v>
      </c>
    </row>
    <row r="215" spans="1:2" x14ac:dyDescent="0.3">
      <c r="A215" s="1" t="s">
        <v>346</v>
      </c>
      <c r="B215" s="1">
        <v>0.65</v>
      </c>
    </row>
    <row r="216" spans="1:2" x14ac:dyDescent="0.3">
      <c r="A216" s="1" t="s">
        <v>347</v>
      </c>
      <c r="B216" s="1">
        <v>0.5</v>
      </c>
    </row>
    <row r="217" spans="1:2" x14ac:dyDescent="0.3">
      <c r="A217" s="1" t="s">
        <v>348</v>
      </c>
      <c r="B217" s="1">
        <v>0.6</v>
      </c>
    </row>
    <row r="218" spans="1:2" x14ac:dyDescent="0.3">
      <c r="A218" s="1" t="s">
        <v>349</v>
      </c>
      <c r="B218" s="1">
        <v>0.5</v>
      </c>
    </row>
    <row r="219" spans="1:2" x14ac:dyDescent="0.3">
      <c r="A219" s="1" t="s">
        <v>350</v>
      </c>
      <c r="B219" s="1">
        <v>0.7</v>
      </c>
    </row>
    <row r="220" spans="1:2" x14ac:dyDescent="0.3">
      <c r="A220" s="1" t="s">
        <v>351</v>
      </c>
      <c r="B220" s="1">
        <v>0.55000000000000004</v>
      </c>
    </row>
    <row r="221" spans="1:2" x14ac:dyDescent="0.3">
      <c r="A221" s="1" t="s">
        <v>352</v>
      </c>
      <c r="B221" s="1">
        <v>0.6</v>
      </c>
    </row>
    <row r="222" spans="1:2" x14ac:dyDescent="0.3">
      <c r="A222" s="1" t="s">
        <v>353</v>
      </c>
      <c r="B222" s="1">
        <v>0.4</v>
      </c>
    </row>
    <row r="223" spans="1:2" x14ac:dyDescent="0.3">
      <c r="A223" s="1" t="s">
        <v>354</v>
      </c>
      <c r="B223" s="1">
        <v>0.4</v>
      </c>
    </row>
    <row r="224" spans="1:2" x14ac:dyDescent="0.3">
      <c r="A224" s="1" t="s">
        <v>355</v>
      </c>
      <c r="B224" s="1">
        <v>0.75</v>
      </c>
    </row>
    <row r="225" spans="1:2" x14ac:dyDescent="0.3">
      <c r="A225" s="1" t="s">
        <v>356</v>
      </c>
      <c r="B225" s="1">
        <v>0.75</v>
      </c>
    </row>
    <row r="226" spans="1:2" x14ac:dyDescent="0.3">
      <c r="A226" s="1" t="s">
        <v>357</v>
      </c>
      <c r="B226" s="1">
        <v>0.75</v>
      </c>
    </row>
    <row r="227" spans="1:2" x14ac:dyDescent="0.3">
      <c r="A227" s="1" t="s">
        <v>358</v>
      </c>
      <c r="B227" s="1">
        <v>0.75</v>
      </c>
    </row>
    <row r="228" spans="1:2" x14ac:dyDescent="0.3">
      <c r="A228" s="1" t="s">
        <v>359</v>
      </c>
      <c r="B228" s="1">
        <v>0.75</v>
      </c>
    </row>
    <row r="229" spans="1:2" x14ac:dyDescent="0.3">
      <c r="A229" s="1" t="s">
        <v>360</v>
      </c>
      <c r="B229" s="1">
        <v>0.65</v>
      </c>
    </row>
    <row r="230" spans="1:2" x14ac:dyDescent="0.3">
      <c r="A230" s="1" t="s">
        <v>361</v>
      </c>
      <c r="B230" s="1">
        <v>0.4</v>
      </c>
    </row>
    <row r="231" spans="1:2" x14ac:dyDescent="0.3">
      <c r="A231" s="1" t="s">
        <v>362</v>
      </c>
      <c r="B231" s="1">
        <v>0.7</v>
      </c>
    </row>
    <row r="232" spans="1:2" x14ac:dyDescent="0.3">
      <c r="A232" s="1" t="s">
        <v>363</v>
      </c>
      <c r="B232" s="1">
        <v>0.55000000000000004</v>
      </c>
    </row>
    <row r="233" spans="1:2" x14ac:dyDescent="0.3">
      <c r="A233" s="1" t="s">
        <v>364</v>
      </c>
      <c r="B233" s="1">
        <v>0.5</v>
      </c>
    </row>
    <row r="234" spans="1:2" x14ac:dyDescent="0.3">
      <c r="A234" s="1" t="s">
        <v>365</v>
      </c>
      <c r="B234" s="1">
        <v>0.5</v>
      </c>
    </row>
    <row r="235" spans="1:2" x14ac:dyDescent="0.3">
      <c r="A235" s="1" t="s">
        <v>366</v>
      </c>
      <c r="B235" s="1">
        <v>0.75</v>
      </c>
    </row>
    <row r="236" spans="1:2" x14ac:dyDescent="0.3">
      <c r="A236" s="1" t="s">
        <v>367</v>
      </c>
      <c r="B236" s="1">
        <v>0.75</v>
      </c>
    </row>
    <row r="237" spans="1:2" x14ac:dyDescent="0.3">
      <c r="A237" s="1" t="s">
        <v>368</v>
      </c>
      <c r="B237" s="1">
        <v>0.75</v>
      </c>
    </row>
    <row r="238" spans="1:2" x14ac:dyDescent="0.3">
      <c r="A238" s="1" t="s">
        <v>369</v>
      </c>
      <c r="B238" s="1">
        <v>0.75</v>
      </c>
    </row>
    <row r="239" spans="1:2" x14ac:dyDescent="0.3">
      <c r="A239" s="1" t="s">
        <v>370</v>
      </c>
      <c r="B239" s="1">
        <v>0.6</v>
      </c>
    </row>
    <row r="240" spans="1:2" x14ac:dyDescent="0.3">
      <c r="A240" s="1" t="s">
        <v>371</v>
      </c>
      <c r="B240" s="1">
        <v>0.4</v>
      </c>
    </row>
    <row r="241" spans="1:2" x14ac:dyDescent="0.3">
      <c r="A241" s="1" t="s">
        <v>372</v>
      </c>
      <c r="B241" s="1">
        <v>0.75</v>
      </c>
    </row>
    <row r="242" spans="1:2" x14ac:dyDescent="0.3">
      <c r="A242" s="1" t="s">
        <v>373</v>
      </c>
      <c r="B242" s="1">
        <v>0.5</v>
      </c>
    </row>
    <row r="243" spans="1:2" x14ac:dyDescent="0.3">
      <c r="A243" s="1" t="s">
        <v>374</v>
      </c>
      <c r="B243" s="1">
        <v>0.4</v>
      </c>
    </row>
    <row r="244" spans="1:2" x14ac:dyDescent="0.3">
      <c r="A244" s="1" t="s">
        <v>375</v>
      </c>
      <c r="B244" s="1">
        <v>0.65</v>
      </c>
    </row>
    <row r="245" spans="1:2" x14ac:dyDescent="0.3">
      <c r="A245" s="1" t="s">
        <v>376</v>
      </c>
      <c r="B245" s="1">
        <v>0.5</v>
      </c>
    </row>
    <row r="246" spans="1:2" x14ac:dyDescent="0.3">
      <c r="A246" s="1" t="s">
        <v>377</v>
      </c>
      <c r="B246" s="1">
        <v>0.4</v>
      </c>
    </row>
    <row r="247" spans="1:2" x14ac:dyDescent="0.3">
      <c r="A247" s="1" t="s">
        <v>378</v>
      </c>
      <c r="B247" s="1">
        <v>0.6</v>
      </c>
    </row>
    <row r="248" spans="1:2" x14ac:dyDescent="0.3">
      <c r="A248" s="1" t="s">
        <v>379</v>
      </c>
      <c r="B248" s="1">
        <v>0.6</v>
      </c>
    </row>
    <row r="249" spans="1:2" x14ac:dyDescent="0.3">
      <c r="A249" s="1" t="s">
        <v>380</v>
      </c>
      <c r="B249" s="1">
        <v>0.5</v>
      </c>
    </row>
    <row r="250" spans="1:2" x14ac:dyDescent="0.3">
      <c r="A250" s="1" t="s">
        <v>381</v>
      </c>
      <c r="B250" s="1">
        <v>0.5</v>
      </c>
    </row>
    <row r="251" spans="1:2" x14ac:dyDescent="0.3">
      <c r="A251" s="1" t="s">
        <v>382</v>
      </c>
      <c r="B251" s="1">
        <v>0.4</v>
      </c>
    </row>
    <row r="252" spans="1:2" x14ac:dyDescent="0.3">
      <c r="A252" s="1" t="s">
        <v>383</v>
      </c>
      <c r="B252" s="1">
        <v>0.65</v>
      </c>
    </row>
    <row r="253" spans="1:2" x14ac:dyDescent="0.3">
      <c r="A253" s="1" t="s">
        <v>384</v>
      </c>
      <c r="B253" s="1">
        <v>0.6</v>
      </c>
    </row>
    <row r="254" spans="1:2" x14ac:dyDescent="0.3">
      <c r="A254" s="1" t="s">
        <v>385</v>
      </c>
      <c r="B254" s="1">
        <v>0.5</v>
      </c>
    </row>
    <row r="255" spans="1:2" x14ac:dyDescent="0.3">
      <c r="A255" s="1" t="s">
        <v>386</v>
      </c>
      <c r="B255" s="1">
        <v>0.7</v>
      </c>
    </row>
    <row r="256" spans="1:2" x14ac:dyDescent="0.3">
      <c r="A256" s="1" t="s">
        <v>387</v>
      </c>
      <c r="B256" s="1">
        <v>0.7</v>
      </c>
    </row>
    <row r="257" spans="1:2" x14ac:dyDescent="0.3">
      <c r="A257" s="1" t="s">
        <v>388</v>
      </c>
      <c r="B257" s="1">
        <v>0.4</v>
      </c>
    </row>
    <row r="258" spans="1:2" x14ac:dyDescent="0.3">
      <c r="A258" s="1" t="s">
        <v>389</v>
      </c>
      <c r="B258" s="1">
        <v>0.6</v>
      </c>
    </row>
    <row r="259" spans="1:2" x14ac:dyDescent="0.3">
      <c r="A259" s="1" t="s">
        <v>390</v>
      </c>
      <c r="B259" s="1">
        <v>0.4</v>
      </c>
    </row>
    <row r="260" spans="1:2" x14ac:dyDescent="0.3">
      <c r="A260" s="1" t="s">
        <v>391</v>
      </c>
      <c r="B260" s="1">
        <v>0.5</v>
      </c>
    </row>
    <row r="261" spans="1:2" x14ac:dyDescent="0.3">
      <c r="A261" s="1" t="s">
        <v>392</v>
      </c>
      <c r="B261" s="1">
        <v>0.45</v>
      </c>
    </row>
    <row r="262" spans="1:2" x14ac:dyDescent="0.3">
      <c r="A262" s="1" t="s">
        <v>393</v>
      </c>
      <c r="B262" s="1">
        <v>0.5</v>
      </c>
    </row>
    <row r="263" spans="1:2" x14ac:dyDescent="0.3">
      <c r="A263" s="1" t="s">
        <v>394</v>
      </c>
      <c r="B263" s="1">
        <v>0.6</v>
      </c>
    </row>
    <row r="264" spans="1:2" x14ac:dyDescent="0.3">
      <c r="A264" s="1" t="s">
        <v>395</v>
      </c>
      <c r="B264" s="1">
        <v>0.7</v>
      </c>
    </row>
    <row r="265" spans="1:2" x14ac:dyDescent="0.3">
      <c r="A265" s="1" t="s">
        <v>396</v>
      </c>
      <c r="B265" s="1">
        <v>0.75</v>
      </c>
    </row>
    <row r="266" spans="1:2" x14ac:dyDescent="0.3">
      <c r="A266" s="1" t="s">
        <v>397</v>
      </c>
      <c r="B266" s="1">
        <v>0.7</v>
      </c>
    </row>
    <row r="267" spans="1:2" x14ac:dyDescent="0.3">
      <c r="A267" s="1" t="s">
        <v>398</v>
      </c>
      <c r="B267" s="1">
        <v>0.7</v>
      </c>
    </row>
    <row r="268" spans="1:2" x14ac:dyDescent="0.3">
      <c r="A268" s="1" t="s">
        <v>399</v>
      </c>
      <c r="B268" s="1">
        <v>0.5</v>
      </c>
    </row>
    <row r="269" spans="1:2" x14ac:dyDescent="0.3">
      <c r="A269" s="1" t="s">
        <v>400</v>
      </c>
      <c r="B269" s="1">
        <v>0.4</v>
      </c>
    </row>
    <row r="270" spans="1:2" x14ac:dyDescent="0.3">
      <c r="A270" s="1" t="s">
        <v>401</v>
      </c>
      <c r="B270" s="1">
        <v>0.5</v>
      </c>
    </row>
    <row r="271" spans="1:2" x14ac:dyDescent="0.3">
      <c r="A271" s="1" t="s">
        <v>402</v>
      </c>
      <c r="B271" s="1">
        <v>0.7</v>
      </c>
    </row>
    <row r="272" spans="1:2" x14ac:dyDescent="0.3">
      <c r="A272" s="1" t="s">
        <v>403</v>
      </c>
      <c r="B272" s="1">
        <v>0.4</v>
      </c>
    </row>
    <row r="273" spans="1:2" x14ac:dyDescent="0.3">
      <c r="A273" s="1" t="s">
        <v>404</v>
      </c>
      <c r="B273" s="1">
        <v>0.5</v>
      </c>
    </row>
    <row r="274" spans="1:2" x14ac:dyDescent="0.3">
      <c r="A274" s="1" t="s">
        <v>405</v>
      </c>
      <c r="B274" s="1">
        <v>0.55000000000000004</v>
      </c>
    </row>
    <row r="275" spans="1:2" x14ac:dyDescent="0.3">
      <c r="A275" s="1" t="s">
        <v>406</v>
      </c>
      <c r="B275" s="1">
        <v>0.65</v>
      </c>
    </row>
    <row r="276" spans="1:2" x14ac:dyDescent="0.3">
      <c r="A276" s="1" t="s">
        <v>407</v>
      </c>
      <c r="B276" s="1">
        <v>0.4</v>
      </c>
    </row>
    <row r="277" spans="1:2" x14ac:dyDescent="0.3">
      <c r="A277" s="1" t="s">
        <v>408</v>
      </c>
      <c r="B277" s="1">
        <v>0.7</v>
      </c>
    </row>
    <row r="278" spans="1:2" x14ac:dyDescent="0.3">
      <c r="A278" s="1" t="s">
        <v>409</v>
      </c>
      <c r="B278" s="1">
        <v>0.5</v>
      </c>
    </row>
    <row r="279" spans="1:2" x14ac:dyDescent="0.3">
      <c r="A279" s="1" t="s">
        <v>410</v>
      </c>
      <c r="B279" s="1">
        <v>0.55000000000000004</v>
      </c>
    </row>
    <row r="280" spans="1:2" x14ac:dyDescent="0.3">
      <c r="A280" s="1" t="s">
        <v>411</v>
      </c>
      <c r="B280" s="1">
        <v>0.6</v>
      </c>
    </row>
    <row r="281" spans="1:2" x14ac:dyDescent="0.3">
      <c r="A281" s="1" t="s">
        <v>412</v>
      </c>
      <c r="B281" s="1">
        <v>0.4</v>
      </c>
    </row>
    <row r="282" spans="1:2" x14ac:dyDescent="0.3">
      <c r="A282" s="1" t="s">
        <v>413</v>
      </c>
      <c r="B282" s="1">
        <v>0.5</v>
      </c>
    </row>
    <row r="283" spans="1:2" x14ac:dyDescent="0.3">
      <c r="A283" s="1" t="s">
        <v>414</v>
      </c>
      <c r="B283" s="1">
        <v>0.7</v>
      </c>
    </row>
    <row r="284" spans="1:2" x14ac:dyDescent="0.3">
      <c r="A284" s="1" t="s">
        <v>415</v>
      </c>
      <c r="B284" s="1">
        <v>0.5</v>
      </c>
    </row>
    <row r="285" spans="1:2" x14ac:dyDescent="0.3">
      <c r="A285" s="1" t="s">
        <v>416</v>
      </c>
      <c r="B285" s="1">
        <v>0.4</v>
      </c>
    </row>
    <row r="286" spans="1:2" x14ac:dyDescent="0.3">
      <c r="A286" s="1" t="s">
        <v>417</v>
      </c>
      <c r="B286" s="1">
        <v>0.7</v>
      </c>
    </row>
    <row r="287" spans="1:2" x14ac:dyDescent="0.3">
      <c r="A287" s="1" t="s">
        <v>418</v>
      </c>
      <c r="B287" s="1">
        <v>0.4</v>
      </c>
    </row>
    <row r="288" spans="1:2" x14ac:dyDescent="0.3">
      <c r="A288" s="1" t="s">
        <v>419</v>
      </c>
      <c r="B288" s="1">
        <v>0.7</v>
      </c>
    </row>
    <row r="289" spans="1:2" x14ac:dyDescent="0.3">
      <c r="A289" s="1" t="s">
        <v>420</v>
      </c>
      <c r="B289" s="1">
        <v>0.75</v>
      </c>
    </row>
    <row r="290" spans="1:2" x14ac:dyDescent="0.3">
      <c r="A290" s="1" t="s">
        <v>421</v>
      </c>
      <c r="B290" s="1">
        <v>0.7</v>
      </c>
    </row>
    <row r="291" spans="1:2" x14ac:dyDescent="0.3">
      <c r="A291" s="1" t="s">
        <v>422</v>
      </c>
      <c r="B291" s="1">
        <v>0.4</v>
      </c>
    </row>
    <row r="292" spans="1:2" x14ac:dyDescent="0.3">
      <c r="A292" s="1" t="s">
        <v>423</v>
      </c>
      <c r="B292" s="1">
        <v>0.7</v>
      </c>
    </row>
    <row r="293" spans="1:2" x14ac:dyDescent="0.3">
      <c r="A293" s="1" t="s">
        <v>424</v>
      </c>
      <c r="B293" s="1">
        <v>0.65</v>
      </c>
    </row>
    <row r="294" spans="1:2" x14ac:dyDescent="0.3">
      <c r="A294" s="1" t="s">
        <v>425</v>
      </c>
      <c r="B294" s="1">
        <v>0.65</v>
      </c>
    </row>
    <row r="295" spans="1:2" x14ac:dyDescent="0.3">
      <c r="A295" s="1" t="s">
        <v>426</v>
      </c>
      <c r="B295" s="1">
        <v>0.45</v>
      </c>
    </row>
    <row r="296" spans="1:2" x14ac:dyDescent="0.3">
      <c r="A296" s="1" t="s">
        <v>427</v>
      </c>
      <c r="B296" s="1">
        <v>0.75</v>
      </c>
    </row>
    <row r="297" spans="1:2" x14ac:dyDescent="0.3">
      <c r="A297" s="1" t="s">
        <v>428</v>
      </c>
      <c r="B297" s="1">
        <v>0.65</v>
      </c>
    </row>
    <row r="298" spans="1:2" x14ac:dyDescent="0.3">
      <c r="A298" s="1" t="s">
        <v>429</v>
      </c>
      <c r="B298" s="1">
        <v>0.6</v>
      </c>
    </row>
    <row r="299" spans="1:2" x14ac:dyDescent="0.3">
      <c r="A299" s="1" t="s">
        <v>430</v>
      </c>
      <c r="B299" s="1">
        <v>0.6</v>
      </c>
    </row>
    <row r="300" spans="1:2" x14ac:dyDescent="0.3">
      <c r="A300" s="1" t="s">
        <v>431</v>
      </c>
      <c r="B300" s="1">
        <v>0.4</v>
      </c>
    </row>
    <row r="301" spans="1:2" x14ac:dyDescent="0.3">
      <c r="A301" s="1" t="s">
        <v>432</v>
      </c>
      <c r="B301" s="1">
        <v>0.7</v>
      </c>
    </row>
    <row r="302" spans="1:2" x14ac:dyDescent="0.3">
      <c r="A302" s="1" t="s">
        <v>433</v>
      </c>
      <c r="B302" s="1">
        <v>0.7</v>
      </c>
    </row>
    <row r="303" spans="1:2" x14ac:dyDescent="0.3">
      <c r="A303" s="1" t="s">
        <v>434</v>
      </c>
      <c r="B303" s="1">
        <v>0.6</v>
      </c>
    </row>
    <row r="304" spans="1:2" x14ac:dyDescent="0.3">
      <c r="A304" s="1" t="s">
        <v>85</v>
      </c>
      <c r="B304" s="1">
        <v>0.75</v>
      </c>
    </row>
    <row r="305" spans="1:2" x14ac:dyDescent="0.3">
      <c r="A305" s="1" t="s">
        <v>435</v>
      </c>
      <c r="B305" s="1">
        <v>0.7</v>
      </c>
    </row>
    <row r="306" spans="1:2" x14ac:dyDescent="0.3">
      <c r="A306" s="1" t="s">
        <v>436</v>
      </c>
      <c r="B306" s="1">
        <v>0.4</v>
      </c>
    </row>
    <row r="307" spans="1:2" x14ac:dyDescent="0.3">
      <c r="A307" s="1" t="s">
        <v>437</v>
      </c>
      <c r="B307" s="1">
        <v>0.55000000000000004</v>
      </c>
    </row>
    <row r="308" spans="1:2" x14ac:dyDescent="0.3">
      <c r="A308" s="1" t="s">
        <v>438</v>
      </c>
      <c r="B308" s="1">
        <v>0.5</v>
      </c>
    </row>
    <row r="309" spans="1:2" x14ac:dyDescent="0.3">
      <c r="A309" s="1" t="s">
        <v>439</v>
      </c>
      <c r="B309" s="1">
        <v>0.6</v>
      </c>
    </row>
    <row r="310" spans="1:2" x14ac:dyDescent="0.3">
      <c r="A310" s="1" t="s">
        <v>440</v>
      </c>
      <c r="B310" s="1">
        <v>0.75</v>
      </c>
    </row>
    <row r="311" spans="1:2" x14ac:dyDescent="0.3">
      <c r="A311" s="1" t="s">
        <v>441</v>
      </c>
      <c r="B311" s="1">
        <v>0.7</v>
      </c>
    </row>
    <row r="312" spans="1:2" x14ac:dyDescent="0.3">
      <c r="A312" s="1" t="s">
        <v>442</v>
      </c>
      <c r="B312" s="1">
        <v>0.55000000000000004</v>
      </c>
    </row>
    <row r="313" spans="1:2" x14ac:dyDescent="0.3">
      <c r="A313" s="1" t="s">
        <v>443</v>
      </c>
      <c r="B313" s="1">
        <v>0.75</v>
      </c>
    </row>
    <row r="314" spans="1:2" x14ac:dyDescent="0.3">
      <c r="A314" s="1" t="s">
        <v>444</v>
      </c>
      <c r="B314" s="1">
        <v>0.7</v>
      </c>
    </row>
    <row r="315" spans="1:2" x14ac:dyDescent="0.3">
      <c r="A315" s="1" t="s">
        <v>445</v>
      </c>
      <c r="B315" s="1">
        <v>0.5</v>
      </c>
    </row>
    <row r="316" spans="1:2" x14ac:dyDescent="0.3">
      <c r="A316" s="1" t="s">
        <v>446</v>
      </c>
      <c r="B316" s="1">
        <v>0.65</v>
      </c>
    </row>
    <row r="317" spans="1:2" x14ac:dyDescent="0.3">
      <c r="A317" s="1" t="s">
        <v>447</v>
      </c>
      <c r="B317" s="1">
        <v>0.75</v>
      </c>
    </row>
    <row r="318" spans="1:2" x14ac:dyDescent="0.3">
      <c r="A318" s="1" t="s">
        <v>448</v>
      </c>
      <c r="B318" s="1">
        <v>0.4</v>
      </c>
    </row>
    <row r="319" spans="1:2" x14ac:dyDescent="0.3">
      <c r="A319" s="1" t="s">
        <v>449</v>
      </c>
      <c r="B319" s="1">
        <v>0.7</v>
      </c>
    </row>
    <row r="320" spans="1:2" x14ac:dyDescent="0.3">
      <c r="A320" s="1" t="s">
        <v>450</v>
      </c>
      <c r="B320" s="1">
        <v>0.7</v>
      </c>
    </row>
    <row r="321" spans="1:2" x14ac:dyDescent="0.3">
      <c r="A321" s="1" t="s">
        <v>451</v>
      </c>
      <c r="B321" s="1">
        <v>0.7</v>
      </c>
    </row>
    <row r="322" spans="1:2" x14ac:dyDescent="0.3">
      <c r="A322" s="1" t="s">
        <v>452</v>
      </c>
      <c r="B322" s="1">
        <v>0.7</v>
      </c>
    </row>
    <row r="323" spans="1:2" x14ac:dyDescent="0.3">
      <c r="A323" s="1" t="s">
        <v>453</v>
      </c>
      <c r="B323" s="1">
        <v>0.4</v>
      </c>
    </row>
    <row r="324" spans="1:2" x14ac:dyDescent="0.3">
      <c r="A324" s="1" t="s">
        <v>454</v>
      </c>
      <c r="B324" s="1">
        <v>0.5</v>
      </c>
    </row>
    <row r="325" spans="1:2" x14ac:dyDescent="0.3">
      <c r="A325" s="1" t="s">
        <v>455</v>
      </c>
      <c r="B325" s="1">
        <v>0.4</v>
      </c>
    </row>
    <row r="326" spans="1:2" x14ac:dyDescent="0.3">
      <c r="A326" s="1" t="s">
        <v>456</v>
      </c>
      <c r="B326" s="1">
        <v>0.65</v>
      </c>
    </row>
    <row r="327" spans="1:2" x14ac:dyDescent="0.3">
      <c r="A327" s="1" t="s">
        <v>457</v>
      </c>
      <c r="B327" s="1">
        <v>0.65</v>
      </c>
    </row>
    <row r="328" spans="1:2" x14ac:dyDescent="0.3">
      <c r="A328" s="1" t="s">
        <v>458</v>
      </c>
      <c r="B328" s="1">
        <v>0.5</v>
      </c>
    </row>
    <row r="329" spans="1:2" x14ac:dyDescent="0.3">
      <c r="A329" s="1" t="s">
        <v>459</v>
      </c>
      <c r="B329" s="1">
        <v>0.4</v>
      </c>
    </row>
    <row r="330" spans="1:2" x14ac:dyDescent="0.3">
      <c r="A330" s="1" t="s">
        <v>460</v>
      </c>
      <c r="B330" s="1">
        <v>0.65</v>
      </c>
    </row>
    <row r="331" spans="1:2" x14ac:dyDescent="0.3">
      <c r="A331" s="1" t="s">
        <v>461</v>
      </c>
      <c r="B331" s="1">
        <v>0.7</v>
      </c>
    </row>
    <row r="332" spans="1:2" x14ac:dyDescent="0.3">
      <c r="A332" s="1" t="s">
        <v>462</v>
      </c>
      <c r="B332" s="1">
        <v>0.5</v>
      </c>
    </row>
    <row r="333" spans="1:2" x14ac:dyDescent="0.3">
      <c r="A333" s="1" t="s">
        <v>463</v>
      </c>
      <c r="B333" s="1">
        <v>0.75</v>
      </c>
    </row>
    <row r="334" spans="1:2" x14ac:dyDescent="0.3">
      <c r="A334" s="1" t="s">
        <v>464</v>
      </c>
      <c r="B334" s="1">
        <v>0.75</v>
      </c>
    </row>
    <row r="335" spans="1:2" x14ac:dyDescent="0.3">
      <c r="A335" s="1" t="s">
        <v>465</v>
      </c>
      <c r="B335" s="1">
        <v>0.7</v>
      </c>
    </row>
    <row r="336" spans="1:2" x14ac:dyDescent="0.3">
      <c r="A336" s="1" t="s">
        <v>466</v>
      </c>
      <c r="B336" s="1">
        <v>0.75</v>
      </c>
    </row>
    <row r="337" spans="1:2" x14ac:dyDescent="0.3">
      <c r="A337" s="1" t="s">
        <v>467</v>
      </c>
      <c r="B337" s="1">
        <v>0.75</v>
      </c>
    </row>
    <row r="338" spans="1:2" x14ac:dyDescent="0.3">
      <c r="A338" s="1" t="s">
        <v>468</v>
      </c>
      <c r="B338" s="1">
        <v>0.75</v>
      </c>
    </row>
    <row r="339" spans="1:2" x14ac:dyDescent="0.3">
      <c r="A339" s="1" t="s">
        <v>469</v>
      </c>
      <c r="B339" s="1">
        <v>0.7</v>
      </c>
    </row>
    <row r="340" spans="1:2" x14ac:dyDescent="0.3">
      <c r="A340" s="1" t="s">
        <v>470</v>
      </c>
      <c r="B340" s="1">
        <v>0.55000000000000004</v>
      </c>
    </row>
    <row r="341" spans="1:2" x14ac:dyDescent="0.3">
      <c r="A341" s="1" t="s">
        <v>471</v>
      </c>
      <c r="B341" s="1">
        <v>0.5</v>
      </c>
    </row>
    <row r="342" spans="1:2" x14ac:dyDescent="0.3">
      <c r="A342" s="1" t="s">
        <v>472</v>
      </c>
      <c r="B342" s="1">
        <v>0.7</v>
      </c>
    </row>
    <row r="343" spans="1:2" x14ac:dyDescent="0.3">
      <c r="A343" s="1" t="s">
        <v>473</v>
      </c>
      <c r="B343" s="1">
        <v>0.7</v>
      </c>
    </row>
    <row r="344" spans="1:2" x14ac:dyDescent="0.3">
      <c r="A344" s="1" t="s">
        <v>474</v>
      </c>
      <c r="B344" s="1">
        <v>0.75</v>
      </c>
    </row>
    <row r="345" spans="1:2" x14ac:dyDescent="0.3">
      <c r="A345" s="1" t="s">
        <v>475</v>
      </c>
      <c r="B345" s="1">
        <v>0.5</v>
      </c>
    </row>
    <row r="346" spans="1:2" x14ac:dyDescent="0.3">
      <c r="A346" s="1" t="s">
        <v>476</v>
      </c>
      <c r="B346" s="1">
        <v>0.4</v>
      </c>
    </row>
    <row r="347" spans="1:2" x14ac:dyDescent="0.3">
      <c r="A347" s="1" t="s">
        <v>53</v>
      </c>
      <c r="B347" s="1">
        <v>0.75</v>
      </c>
    </row>
    <row r="348" spans="1:2" x14ac:dyDescent="0.3">
      <c r="A348" s="1" t="s">
        <v>477</v>
      </c>
      <c r="B348" s="1">
        <v>0.5</v>
      </c>
    </row>
    <row r="349" spans="1:2" x14ac:dyDescent="0.3">
      <c r="A349" s="1" t="s">
        <v>478</v>
      </c>
      <c r="B349" s="1">
        <v>0.65</v>
      </c>
    </row>
    <row r="350" spans="1:2" x14ac:dyDescent="0.3">
      <c r="A350" s="1" t="s">
        <v>479</v>
      </c>
      <c r="B350" s="1">
        <v>0.7</v>
      </c>
    </row>
    <row r="351" spans="1:2" x14ac:dyDescent="0.3">
      <c r="A351" s="1" t="s">
        <v>480</v>
      </c>
      <c r="B351" s="1">
        <v>0.4</v>
      </c>
    </row>
    <row r="352" spans="1:2" x14ac:dyDescent="0.3">
      <c r="A352" s="1" t="s">
        <v>481</v>
      </c>
      <c r="B352" s="1">
        <v>0.7</v>
      </c>
    </row>
    <row r="353" spans="1:2" x14ac:dyDescent="0.3">
      <c r="A353" s="1" t="s">
        <v>482</v>
      </c>
      <c r="B353" s="1">
        <v>0.7</v>
      </c>
    </row>
    <row r="354" spans="1:2" x14ac:dyDescent="0.3">
      <c r="A354" s="1" t="s">
        <v>483</v>
      </c>
      <c r="B354" s="1">
        <v>0.7</v>
      </c>
    </row>
    <row r="355" spans="1:2" x14ac:dyDescent="0.3">
      <c r="A355" s="1" t="s">
        <v>484</v>
      </c>
      <c r="B355" s="1">
        <v>0.6</v>
      </c>
    </row>
    <row r="356" spans="1:2" x14ac:dyDescent="0.3">
      <c r="A356" s="1" t="s">
        <v>485</v>
      </c>
      <c r="B356" s="1">
        <v>0.7</v>
      </c>
    </row>
    <row r="357" spans="1:2" x14ac:dyDescent="0.3">
      <c r="A357" s="1" t="s">
        <v>486</v>
      </c>
      <c r="B357" s="1">
        <v>0.7</v>
      </c>
    </row>
    <row r="358" spans="1:2" x14ac:dyDescent="0.3">
      <c r="A358" s="1" t="s">
        <v>487</v>
      </c>
      <c r="B358" s="1">
        <v>0.7</v>
      </c>
    </row>
    <row r="359" spans="1:2" x14ac:dyDescent="0.3">
      <c r="A359" s="1" t="s">
        <v>488</v>
      </c>
      <c r="B359" s="1">
        <v>0.7</v>
      </c>
    </row>
    <row r="360" spans="1:2" x14ac:dyDescent="0.3">
      <c r="A360" s="1" t="s">
        <v>489</v>
      </c>
      <c r="B360" s="1">
        <v>0.6</v>
      </c>
    </row>
    <row r="361" spans="1:2" x14ac:dyDescent="0.3">
      <c r="A361" s="1" t="s">
        <v>490</v>
      </c>
      <c r="B361" s="1">
        <v>0.6</v>
      </c>
    </row>
    <row r="362" spans="1:2" x14ac:dyDescent="0.3">
      <c r="A362" s="1" t="s">
        <v>491</v>
      </c>
      <c r="B362" s="1">
        <v>0.7</v>
      </c>
    </row>
    <row r="363" spans="1:2" x14ac:dyDescent="0.3">
      <c r="A363" s="1" t="s">
        <v>492</v>
      </c>
      <c r="B363" s="1">
        <v>0.7</v>
      </c>
    </row>
    <row r="364" spans="1:2" x14ac:dyDescent="0.3">
      <c r="A364" s="1" t="s">
        <v>493</v>
      </c>
      <c r="B364" s="1">
        <v>0.6</v>
      </c>
    </row>
    <row r="365" spans="1:2" x14ac:dyDescent="0.3">
      <c r="A365" s="1" t="s">
        <v>494</v>
      </c>
      <c r="B365" s="1">
        <v>0.7</v>
      </c>
    </row>
    <row r="366" spans="1:2" x14ac:dyDescent="0.3">
      <c r="A366" s="1" t="s">
        <v>495</v>
      </c>
      <c r="B366" s="1">
        <v>0.75</v>
      </c>
    </row>
    <row r="367" spans="1:2" x14ac:dyDescent="0.3">
      <c r="A367" s="1" t="s">
        <v>496</v>
      </c>
      <c r="B367" s="1">
        <v>0.75</v>
      </c>
    </row>
    <row r="368" spans="1:2" x14ac:dyDescent="0.3">
      <c r="A368" s="1" t="s">
        <v>497</v>
      </c>
      <c r="B368" s="1">
        <v>0.5</v>
      </c>
    </row>
    <row r="369" spans="1:2" x14ac:dyDescent="0.3">
      <c r="A369" s="1" t="s">
        <v>498</v>
      </c>
      <c r="B369" s="1">
        <v>0.6</v>
      </c>
    </row>
    <row r="370" spans="1:2" x14ac:dyDescent="0.3">
      <c r="A370" s="1" t="s">
        <v>499</v>
      </c>
      <c r="B370" s="1">
        <v>0.4</v>
      </c>
    </row>
    <row r="371" spans="1:2" x14ac:dyDescent="0.3">
      <c r="A371" s="1" t="s">
        <v>500</v>
      </c>
      <c r="B371" s="1">
        <v>0.4</v>
      </c>
    </row>
    <row r="372" spans="1:2" x14ac:dyDescent="0.3">
      <c r="A372" s="1" t="s">
        <v>501</v>
      </c>
      <c r="B372" s="1">
        <v>0.7</v>
      </c>
    </row>
    <row r="373" spans="1:2" x14ac:dyDescent="0.3">
      <c r="A373" s="1" t="s">
        <v>502</v>
      </c>
      <c r="B373" s="1">
        <v>0.65</v>
      </c>
    </row>
    <row r="374" spans="1:2" x14ac:dyDescent="0.3">
      <c r="A374" s="1" t="s">
        <v>503</v>
      </c>
      <c r="B374" s="1">
        <v>0.55000000000000004</v>
      </c>
    </row>
    <row r="375" spans="1:2" x14ac:dyDescent="0.3">
      <c r="A375" s="1" t="s">
        <v>504</v>
      </c>
      <c r="B375" s="1">
        <v>0.5</v>
      </c>
    </row>
    <row r="376" spans="1:2" x14ac:dyDescent="0.3">
      <c r="A376" s="1" t="s">
        <v>54</v>
      </c>
      <c r="B376" s="1">
        <v>0.75</v>
      </c>
    </row>
    <row r="377" spans="1:2" x14ac:dyDescent="0.3">
      <c r="A377" s="1" t="s">
        <v>505</v>
      </c>
      <c r="B377" s="1">
        <v>0.75</v>
      </c>
    </row>
    <row r="378" spans="1:2" x14ac:dyDescent="0.3">
      <c r="A378" s="1" t="s">
        <v>506</v>
      </c>
      <c r="B378" s="1">
        <v>0.75</v>
      </c>
    </row>
    <row r="379" spans="1:2" x14ac:dyDescent="0.3">
      <c r="A379" s="1" t="s">
        <v>507</v>
      </c>
      <c r="B379" s="1">
        <v>0.75</v>
      </c>
    </row>
    <row r="380" spans="1:2" x14ac:dyDescent="0.3">
      <c r="A380" s="1" t="s">
        <v>508</v>
      </c>
      <c r="B380" s="1">
        <v>0.75</v>
      </c>
    </row>
    <row r="381" spans="1:2" x14ac:dyDescent="0.3">
      <c r="A381" s="1" t="s">
        <v>509</v>
      </c>
      <c r="B381" s="1">
        <v>0.75</v>
      </c>
    </row>
    <row r="382" spans="1:2" x14ac:dyDescent="0.3">
      <c r="A382" s="1" t="s">
        <v>510</v>
      </c>
      <c r="B382" s="1">
        <v>0.6</v>
      </c>
    </row>
    <row r="383" spans="1:2" x14ac:dyDescent="0.3">
      <c r="A383" s="1" t="s">
        <v>511</v>
      </c>
      <c r="B383" s="1">
        <v>0.55000000000000004</v>
      </c>
    </row>
    <row r="384" spans="1:2" x14ac:dyDescent="0.3">
      <c r="A384" s="1" t="s">
        <v>512</v>
      </c>
      <c r="B384" s="1">
        <v>0.75</v>
      </c>
    </row>
    <row r="385" spans="1:2" x14ac:dyDescent="0.3">
      <c r="A385" s="1" t="s">
        <v>513</v>
      </c>
      <c r="B385" s="1">
        <v>0.4</v>
      </c>
    </row>
    <row r="386" spans="1:2" x14ac:dyDescent="0.3">
      <c r="A386" s="1" t="s">
        <v>514</v>
      </c>
      <c r="B386" s="1">
        <v>0.5</v>
      </c>
    </row>
    <row r="387" spans="1:2" x14ac:dyDescent="0.3">
      <c r="A387" s="1" t="s">
        <v>515</v>
      </c>
      <c r="B387" s="1">
        <v>0.4</v>
      </c>
    </row>
    <row r="388" spans="1:2" x14ac:dyDescent="0.3">
      <c r="A388" s="1" t="s">
        <v>516</v>
      </c>
      <c r="B388" s="1">
        <v>0.4</v>
      </c>
    </row>
    <row r="389" spans="1:2" x14ac:dyDescent="0.3">
      <c r="A389" s="1" t="s">
        <v>517</v>
      </c>
      <c r="B389" s="1">
        <v>0.5</v>
      </c>
    </row>
    <row r="390" spans="1:2" x14ac:dyDescent="0.3">
      <c r="A390" s="1" t="s">
        <v>518</v>
      </c>
      <c r="B390" s="1">
        <v>0.5</v>
      </c>
    </row>
    <row r="391" spans="1:2" x14ac:dyDescent="0.3">
      <c r="A391" s="1" t="s">
        <v>519</v>
      </c>
      <c r="B391" s="1">
        <v>0.7</v>
      </c>
    </row>
    <row r="392" spans="1:2" x14ac:dyDescent="0.3">
      <c r="A392" s="1" t="s">
        <v>520</v>
      </c>
      <c r="B392" s="1">
        <v>0.45</v>
      </c>
    </row>
    <row r="393" spans="1:2" x14ac:dyDescent="0.3">
      <c r="A393" s="1" t="s">
        <v>521</v>
      </c>
      <c r="B393" s="1">
        <v>0.5</v>
      </c>
    </row>
    <row r="394" spans="1:2" x14ac:dyDescent="0.3">
      <c r="A394" s="1" t="s">
        <v>522</v>
      </c>
      <c r="B394" s="1">
        <v>0.6</v>
      </c>
    </row>
    <row r="395" spans="1:2" x14ac:dyDescent="0.3">
      <c r="A395" s="1" t="s">
        <v>523</v>
      </c>
      <c r="B395" s="1">
        <v>0.7</v>
      </c>
    </row>
    <row r="396" spans="1:2" x14ac:dyDescent="0.3">
      <c r="A396" s="1" t="s">
        <v>524</v>
      </c>
      <c r="B396" s="1">
        <v>0.6</v>
      </c>
    </row>
    <row r="397" spans="1:2" x14ac:dyDescent="0.3">
      <c r="A397" s="1" t="s">
        <v>525</v>
      </c>
      <c r="B397" s="1">
        <v>0.7</v>
      </c>
    </row>
    <row r="398" spans="1:2" x14ac:dyDescent="0.3">
      <c r="A398" s="1" t="s">
        <v>551</v>
      </c>
      <c r="B398" s="1">
        <v>0.7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59B54-AE46-406A-BF80-3CB110D5570D}">
  <sheetPr codeName="Sheet11"/>
  <dimension ref="A1:AG44"/>
  <sheetViews>
    <sheetView topLeftCell="M1" workbookViewId="0">
      <selection activeCell="AC14" sqref="AC14"/>
    </sheetView>
  </sheetViews>
  <sheetFormatPr defaultColWidth="8.88671875" defaultRowHeight="14.4" x14ac:dyDescent="0.3"/>
  <cols>
    <col min="1" max="1" width="10.5546875" style="1" customWidth="1"/>
    <col min="2" max="2" width="9.109375" style="1" bestFit="1" customWidth="1"/>
    <col min="3" max="3" width="8.44140625" style="1" bestFit="1" customWidth="1"/>
    <col min="4" max="4" width="13.5546875" style="1" bestFit="1" customWidth="1"/>
    <col min="5" max="5" width="8.88671875" style="1"/>
    <col min="6" max="6" width="11.88671875" style="1" bestFit="1" customWidth="1"/>
    <col min="7" max="7" width="14.88671875" style="1" bestFit="1" customWidth="1"/>
    <col min="8" max="8" width="9.44140625" style="1" bestFit="1" customWidth="1"/>
    <col min="9" max="9" width="12.44140625" style="1" bestFit="1" customWidth="1"/>
    <col min="10" max="10" width="13.44140625" style="1" bestFit="1" customWidth="1"/>
    <col min="11" max="11" width="11.109375" style="1" bestFit="1" customWidth="1"/>
    <col min="12" max="12" width="4" style="1" bestFit="1" customWidth="1"/>
    <col min="13" max="25" width="8.88671875" style="1"/>
    <col min="26" max="26" width="12.88671875" style="1" customWidth="1"/>
    <col min="27" max="28" width="8.88671875" style="1"/>
    <col min="29" max="29" width="12.44140625" style="1" bestFit="1" customWidth="1"/>
    <col min="30" max="30" width="9.33203125" style="1" bestFit="1" customWidth="1"/>
    <col min="31" max="31" width="11.88671875" style="1" bestFit="1" customWidth="1"/>
    <col min="32" max="32" width="13.33203125" style="1" bestFit="1" customWidth="1"/>
    <col min="33" max="33" width="9.33203125" style="1" customWidth="1"/>
    <col min="34" max="16384" width="8.88671875" style="1"/>
  </cols>
  <sheetData>
    <row r="1" spans="1:33" ht="15" thickBot="1" x14ac:dyDescent="0.35">
      <c r="A1" s="34" t="s">
        <v>45</v>
      </c>
      <c r="B1" s="35" t="s">
        <v>67</v>
      </c>
      <c r="C1" s="35" t="s">
        <v>47</v>
      </c>
      <c r="D1" s="35" t="s">
        <v>68</v>
      </c>
      <c r="E1" s="35" t="s">
        <v>69</v>
      </c>
      <c r="F1" s="35" t="s">
        <v>70</v>
      </c>
      <c r="G1" s="35" t="s">
        <v>71</v>
      </c>
      <c r="H1" s="35" t="s">
        <v>72</v>
      </c>
      <c r="I1" s="35" t="s">
        <v>73</v>
      </c>
      <c r="J1" s="35" t="s">
        <v>74</v>
      </c>
      <c r="K1" s="35" t="s">
        <v>65</v>
      </c>
      <c r="L1" s="36" t="s">
        <v>75</v>
      </c>
      <c r="N1" s="34" t="s">
        <v>45</v>
      </c>
      <c r="O1" s="35" t="s">
        <v>67</v>
      </c>
      <c r="P1" s="35" t="s">
        <v>47</v>
      </c>
      <c r="Q1" s="35" t="s">
        <v>68</v>
      </c>
      <c r="R1" s="35" t="s">
        <v>69</v>
      </c>
      <c r="S1" s="35" t="s">
        <v>70</v>
      </c>
      <c r="T1" s="35" t="s">
        <v>71</v>
      </c>
      <c r="U1" s="35" t="s">
        <v>72</v>
      </c>
      <c r="V1" s="35" t="s">
        <v>73</v>
      </c>
      <c r="W1" s="35" t="s">
        <v>74</v>
      </c>
      <c r="X1" s="35" t="s">
        <v>65</v>
      </c>
      <c r="Y1" s="36" t="s">
        <v>75</v>
      </c>
      <c r="Z1" s="15" t="s">
        <v>87</v>
      </c>
      <c r="AA1" s="15" t="s">
        <v>88</v>
      </c>
      <c r="AC1" s="15" t="s">
        <v>45</v>
      </c>
      <c r="AD1" s="15" t="s">
        <v>72</v>
      </c>
      <c r="AE1" s="15" t="s">
        <v>73</v>
      </c>
      <c r="AF1" s="15" t="s">
        <v>87</v>
      </c>
      <c r="AG1" s="15" t="s">
        <v>88</v>
      </c>
    </row>
    <row r="2" spans="1:33" x14ac:dyDescent="0.3">
      <c r="A2" s="1" t="str">
        <f>IF('AUS Portfolio'!A2="","",'AUS Portfolio'!A2)</f>
        <v/>
      </c>
      <c r="B2" s="1" t="str">
        <f>IF('AUS Portfolio'!B2="","",'AUS Portfolio'!B2)</f>
        <v/>
      </c>
      <c r="C2" s="1" t="str">
        <f>IF('AUS Portfolio'!C2="","",'AUS Portfolio'!C2)</f>
        <v/>
      </c>
      <c r="D2" s="1" t="str">
        <f>IF('AUS Portfolio'!D2="","",'AUS Portfolio'!D2)</f>
        <v/>
      </c>
      <c r="E2" s="1" t="str">
        <f>IF('AUS Portfolio'!E2="","",'AUS Portfolio'!E2)</f>
        <v/>
      </c>
      <c r="F2" s="1" t="str">
        <f>IF('AUS Portfolio'!F2="","",'AUS Portfolio'!F2)</f>
        <v/>
      </c>
      <c r="G2" s="1" t="str">
        <f>IF('AUS Portfolio'!G2="","",'AUS Portfolio'!G2)</f>
        <v/>
      </c>
      <c r="H2" s="1" t="str">
        <f>IF('AUS Portfolio'!H2="","",'AUS Portfolio'!H2)</f>
        <v/>
      </c>
      <c r="I2" s="1" t="str">
        <f>IF('AUS Portfolio'!I2="","",'AUS Portfolio'!I2)</f>
        <v/>
      </c>
      <c r="J2" s="1" t="str">
        <f>IF('AUS Portfolio'!J2="","",'AUS Portfolio'!J2)</f>
        <v/>
      </c>
      <c r="K2" s="1" t="str">
        <f>IF('AUS Portfolio'!K2="","",'AUS Portfolio'!K2)</f>
        <v/>
      </c>
      <c r="L2" s="1" t="str">
        <f>IF('AUS Portfolio'!L2="","",'AUS Portfolio'!L2)</f>
        <v/>
      </c>
      <c r="N2" s="1" t="str" cm="1">
        <f t="array" ref="N2:N15">_xlfn.UNIQUE(A2:A48,FALSE,TRUE)</f>
        <v>AAPL</v>
      </c>
      <c r="P2" s="1">
        <f>IF($N2="","",SUMIF($A$2:$A$48,$N2,C$2:C$48))</f>
        <v>10</v>
      </c>
      <c r="Q2" s="1">
        <f t="shared" ref="Q2:Y15" si="0">IF($N2="","",SUMIF($A$2:$A$42,$N2,D$2:D$42))</f>
        <v>48.716389999999997</v>
      </c>
      <c r="R2" s="1">
        <f t="shared" si="0"/>
        <v>149.1</v>
      </c>
      <c r="S2" s="1">
        <f t="shared" si="0"/>
        <v>0.21</v>
      </c>
      <c r="T2" s="1">
        <f t="shared" si="0"/>
        <v>2.1</v>
      </c>
      <c r="U2" s="1">
        <f t="shared" si="0"/>
        <v>487.16389999999996</v>
      </c>
      <c r="V2" s="1">
        <f t="shared" si="0"/>
        <v>1491</v>
      </c>
      <c r="W2" s="1">
        <f t="shared" si="0"/>
        <v>1003.8361</v>
      </c>
      <c r="X2" s="1">
        <f t="shared" si="0"/>
        <v>0</v>
      </c>
      <c r="Y2" s="1">
        <f t="shared" si="0"/>
        <v>0</v>
      </c>
      <c r="Z2" s="18">
        <f>(V2+X2-U2)/U2</f>
        <v>2.0605716063936597</v>
      </c>
      <c r="AA2" s="1">
        <f>V2/SUM($V$2:$V$14)</f>
        <v>7.964896760835144E-2</v>
      </c>
      <c r="AC2" s="1" t="s">
        <v>559</v>
      </c>
      <c r="AD2" s="1">
        <f>SUMIF(_xlfn.ANCHORARRAY($N$2),"AAPL",U2:U15)+SUMIF(_xlfn.ANCHORARRAY($N$2),"AMZN",U2:U15)+SUMIF(_xlfn.ANCHORARRAY($N$2),"GOOGL",U2:U15)+SUMIF(_xlfn.ANCHORARRAY($N$2),"MSFT",U2:U15)+SUMIF(_xlfn.ANCHORARRAY($N$2),"SQ",U2:U15)</f>
        <v>2086.2734999999998</v>
      </c>
      <c r="AE2" s="1">
        <f>SUMIF(_xlfn.ANCHORARRAY($N$2),"AAPL",V2:V15)+SUMIF(_xlfn.ANCHORARRAY($N$2),"AMZN",V2:V15)+SUMIF(_xlfn.ANCHORARRAY($N$2),"GOOGL",V2:V15)+SUMIF(_xlfn.ANCHORARRAY($N$2),"MSFT",V2:V15)+SUMIF(_xlfn.ANCHORARRAY($N$2),"SQ",V2:V15)</f>
        <v>9221.7099999999991</v>
      </c>
      <c r="AF2" s="18">
        <f>(AE2-AD2)/AD2</f>
        <v>3.4201826845809049</v>
      </c>
      <c r="AG2" s="1">
        <f>AE2/SUM($AE$2:$AE$8)</f>
        <v>0.41013376242626076</v>
      </c>
    </row>
    <row r="3" spans="1:33" x14ac:dyDescent="0.3">
      <c r="A3" s="1" t="str">
        <f>IF('AUS Portfolio'!A3="","",'AUS Portfolio'!A3)</f>
        <v/>
      </c>
      <c r="B3" s="1" t="str">
        <f>IF('AUS Portfolio'!B3="","",'AUS Portfolio'!B3)</f>
        <v/>
      </c>
      <c r="C3" s="1" t="str">
        <f>IF('AUS Portfolio'!C3="","",'AUS Portfolio'!C3)</f>
        <v/>
      </c>
      <c r="D3" s="1" t="str">
        <f>IF('AUS Portfolio'!D3="","",'AUS Portfolio'!D3)</f>
        <v/>
      </c>
      <c r="E3" s="1" t="str">
        <f>IF('AUS Portfolio'!E3="","",'AUS Portfolio'!E3)</f>
        <v/>
      </c>
      <c r="F3" s="1" t="str">
        <f>IF('AUS Portfolio'!F3="","",'AUS Portfolio'!F3)</f>
        <v/>
      </c>
      <c r="G3" s="1" t="str">
        <f>IF('AUS Portfolio'!G3="","",'AUS Portfolio'!G3)</f>
        <v/>
      </c>
      <c r="H3" s="1" t="str">
        <f>IF('AUS Portfolio'!H3="","",'AUS Portfolio'!H3)</f>
        <v/>
      </c>
      <c r="I3" s="1" t="str">
        <f>IF('AUS Portfolio'!I3="","",'AUS Portfolio'!I3)</f>
        <v/>
      </c>
      <c r="J3" s="1" t="str">
        <f>IF('AUS Portfolio'!J3="","",'AUS Portfolio'!J3)</f>
        <v/>
      </c>
      <c r="K3" s="1" t="str">
        <f>IF('AUS Portfolio'!K3="","",'AUS Portfolio'!K3)</f>
        <v/>
      </c>
      <c r="L3" s="1" t="str">
        <f>IF('AUS Portfolio'!L3="","",'AUS Portfolio'!L3)</f>
        <v/>
      </c>
      <c r="N3" s="1" t="str">
        <v>AMZN</v>
      </c>
      <c r="P3" s="1">
        <f t="shared" ref="P3:P15" si="1">IF($N3="","",SUMIF($A$2:$A$48,$N3,C$2:C$48))</f>
        <v>1</v>
      </c>
      <c r="Q3" s="1">
        <f t="shared" si="0"/>
        <v>459.12419999999997</v>
      </c>
      <c r="R3" s="1">
        <f t="shared" si="0"/>
        <v>3293.97</v>
      </c>
      <c r="S3" s="1">
        <f t="shared" si="0"/>
        <v>-9.5299999999999994</v>
      </c>
      <c r="T3" s="1">
        <f t="shared" si="0"/>
        <v>-9.5299999999999994</v>
      </c>
      <c r="U3" s="1">
        <f t="shared" si="0"/>
        <v>459.12419999999997</v>
      </c>
      <c r="V3" s="1">
        <f t="shared" si="0"/>
        <v>3293.97</v>
      </c>
      <c r="W3" s="1">
        <f t="shared" si="0"/>
        <v>2834.8458000000001</v>
      </c>
      <c r="X3" s="1">
        <f t="shared" si="0"/>
        <v>0</v>
      </c>
      <c r="Y3" s="1">
        <f t="shared" si="0"/>
        <v>0</v>
      </c>
      <c r="Z3" s="18">
        <f t="shared" ref="Z3:Z15" si="2">(V3+X3-U3)/U3</f>
        <v>6.1744639032314135</v>
      </c>
      <c r="AA3" s="1">
        <f t="shared" ref="AA3:AA15" si="3">V3/SUM($V$2:$V$14)</f>
        <v>0.17596331980743218</v>
      </c>
      <c r="AC3" s="1" t="s">
        <v>560</v>
      </c>
      <c r="AD3" s="1">
        <f>SUMIF(_xlfn.ANCHORARRAY($N$2),"ARKG",U2:U15)+SUMIF(_xlfn.ANCHORARRAY($N$2),"ARKK",U2:U15)+SUMIF(_xlfn.ANCHORARRAY($N$2),"ICLN",U2:U15)+SUMIF(_xlfn.ANCHORARRAY($N$2),"RIO",U2:U15)+SUMIF(_xlfn.ANCHORARRAY($N$2),"XLF",U2:U15)</f>
        <v>748.03490000000011</v>
      </c>
      <c r="AE3" s="1">
        <f>SUMIF(_xlfn.ANCHORARRAY($N$2),"ARKG",V2:V15)+SUMIF(_xlfn.ANCHORARRAY($N$2),"ARKK",V2:V15)+SUMIF(_xlfn.ANCHORARRAY($N$2),"ICLN",V2:V15)+SUMIF(_xlfn.ANCHORARRAY($N$2),"RIO",V2:V15)+SUMIF(_xlfn.ANCHORARRAY($N$2),"XLF",V2:V15)</f>
        <v>1098.42</v>
      </c>
      <c r="AF3" s="18">
        <f t="shared" ref="AF3:AF8" si="4">(AE3-AD3)/AD3</f>
        <v>0.46840742323653606</v>
      </c>
      <c r="AG3" s="1">
        <f t="shared" ref="AG3:AG8" si="5">AE3/SUM($AE$2:$AE$8)</f>
        <v>4.8852016309800829E-2</v>
      </c>
    </row>
    <row r="4" spans="1:33" x14ac:dyDescent="0.3">
      <c r="A4" s="1" t="str">
        <f>IF('AUS Portfolio'!A4="","",'AUS Portfolio'!A4)</f>
        <v/>
      </c>
      <c r="B4" s="1" t="str">
        <f>IF('AUS Portfolio'!B4="","",'AUS Portfolio'!B4)</f>
        <v/>
      </c>
      <c r="C4" s="1" t="str">
        <f>IF('AUS Portfolio'!C4="","",'AUS Portfolio'!C4)</f>
        <v/>
      </c>
      <c r="D4" s="1" t="str">
        <f>IF('AUS Portfolio'!D4="","",'AUS Portfolio'!D4)</f>
        <v/>
      </c>
      <c r="E4" s="1" t="str">
        <f>IF('AUS Portfolio'!E4="","",'AUS Portfolio'!E4)</f>
        <v/>
      </c>
      <c r="F4" s="1" t="str">
        <f>IF('AUS Portfolio'!F4="","",'AUS Portfolio'!F4)</f>
        <v/>
      </c>
      <c r="G4" s="1" t="str">
        <f>IF('AUS Portfolio'!G4="","",'AUS Portfolio'!G4)</f>
        <v/>
      </c>
      <c r="H4" s="1" t="str">
        <f>IF('AUS Portfolio'!H4="","",'AUS Portfolio'!H4)</f>
        <v/>
      </c>
      <c r="I4" s="1" t="str">
        <f>IF('AUS Portfolio'!I4="","",'AUS Portfolio'!I4)</f>
        <v/>
      </c>
      <c r="J4" s="1" t="str">
        <f>IF('AUS Portfolio'!J4="","",'AUS Portfolio'!J4)</f>
        <v/>
      </c>
      <c r="K4" s="1" t="str">
        <f>IF('AUS Portfolio'!K4="","",'AUS Portfolio'!K4)</f>
        <v/>
      </c>
      <c r="L4" s="1" t="str">
        <f>IF('AUS Portfolio'!L4="","",'AUS Portfolio'!L4)</f>
        <v/>
      </c>
      <c r="N4" s="1" t="str">
        <v>ARKG</v>
      </c>
      <c r="P4" s="1">
        <f t="shared" si="1"/>
        <v>3</v>
      </c>
      <c r="Q4" s="1">
        <f t="shared" si="0"/>
        <v>46.761200000000002</v>
      </c>
      <c r="R4" s="1">
        <f t="shared" si="0"/>
        <v>82.14</v>
      </c>
      <c r="S4" s="1">
        <f t="shared" si="0"/>
        <v>-1.49</v>
      </c>
      <c r="T4" s="1">
        <f t="shared" si="0"/>
        <v>-4.47</v>
      </c>
      <c r="U4" s="1">
        <f t="shared" si="0"/>
        <v>140.28360000000001</v>
      </c>
      <c r="V4" s="1">
        <f t="shared" si="0"/>
        <v>246.42000000000002</v>
      </c>
      <c r="W4" s="1">
        <f t="shared" si="0"/>
        <v>106.13640000000001</v>
      </c>
      <c r="X4" s="1">
        <f t="shared" si="0"/>
        <v>0</v>
      </c>
      <c r="Y4" s="1">
        <f t="shared" si="0"/>
        <v>0</v>
      </c>
      <c r="Z4" s="18">
        <f t="shared" si="2"/>
        <v>0.75658451878908162</v>
      </c>
      <c r="AA4" s="1">
        <f t="shared" si="3"/>
        <v>1.3163714686820902E-2</v>
      </c>
      <c r="AC4" s="1" t="s">
        <v>52</v>
      </c>
      <c r="AD4" s="1">
        <f>SUMIF(_xlfn.ANCHORARRAY($N$2),$AC4,U$2:U$15)</f>
        <v>1667.98</v>
      </c>
      <c r="AE4" s="1">
        <f>SUMIF(_xlfn.ANCHORARRAY($N$2),$AC4,V$2:V$15)</f>
        <v>2348.25</v>
      </c>
      <c r="AF4" s="18">
        <f t="shared" si="4"/>
        <v>0.40784062159018691</v>
      </c>
      <c r="AG4" s="1">
        <f t="shared" si="5"/>
        <v>0.10443796298272955</v>
      </c>
    </row>
    <row r="5" spans="1:33" x14ac:dyDescent="0.3">
      <c r="A5" s="1" t="str">
        <f>IF('AUS Portfolio'!A5="","",'AUS Portfolio'!A5)</f>
        <v/>
      </c>
      <c r="B5" s="1" t="str">
        <f>IF('AUS Portfolio'!B5="","",'AUS Portfolio'!B5)</f>
        <v/>
      </c>
      <c r="C5" s="1" t="str">
        <f>IF('AUS Portfolio'!C5="","",'AUS Portfolio'!C5)</f>
        <v/>
      </c>
      <c r="D5" s="1" t="str">
        <f>IF('AUS Portfolio'!D5="","",'AUS Portfolio'!D5)</f>
        <v/>
      </c>
      <c r="E5" s="1" t="str">
        <f>IF('AUS Portfolio'!E5="","",'AUS Portfolio'!E5)</f>
        <v/>
      </c>
      <c r="F5" s="1" t="str">
        <f>IF('AUS Portfolio'!F5="","",'AUS Portfolio'!F5)</f>
        <v/>
      </c>
      <c r="G5" s="1" t="str">
        <f>IF('AUS Portfolio'!G5="","",'AUS Portfolio'!G5)</f>
        <v/>
      </c>
      <c r="H5" s="1" t="str">
        <f>IF('AUS Portfolio'!H5="","",'AUS Portfolio'!H5)</f>
        <v/>
      </c>
      <c r="I5" s="1" t="str">
        <f>IF('AUS Portfolio'!I5="","",'AUS Portfolio'!I5)</f>
        <v/>
      </c>
      <c r="J5" s="1" t="str">
        <f>IF('AUS Portfolio'!J5="","",'AUS Portfolio'!J5)</f>
        <v/>
      </c>
      <c r="K5" s="1" t="str">
        <f>IF('AUS Portfolio'!K5="","",'AUS Portfolio'!K5)</f>
        <v/>
      </c>
      <c r="L5" s="1" t="str">
        <f>IF('AUS Portfolio'!L5="","",'AUS Portfolio'!L5)</f>
        <v/>
      </c>
      <c r="N5" s="1" t="str">
        <v>ARKK</v>
      </c>
      <c r="P5" s="1">
        <f t="shared" si="1"/>
        <v>2</v>
      </c>
      <c r="Q5" s="1">
        <f t="shared" si="0"/>
        <v>74.001900000000006</v>
      </c>
      <c r="R5" s="1">
        <f t="shared" si="0"/>
        <v>120.1</v>
      </c>
      <c r="S5" s="1">
        <f t="shared" si="0"/>
        <v>-1.75</v>
      </c>
      <c r="T5" s="1">
        <f t="shared" si="0"/>
        <v>-3.5</v>
      </c>
      <c r="U5" s="1">
        <f t="shared" si="0"/>
        <v>148.00380000000001</v>
      </c>
      <c r="V5" s="1">
        <f t="shared" si="0"/>
        <v>240.2</v>
      </c>
      <c r="W5" s="1">
        <f t="shared" si="0"/>
        <v>92.196199999999976</v>
      </c>
      <c r="X5" s="1">
        <f t="shared" si="0"/>
        <v>0</v>
      </c>
      <c r="Y5" s="1">
        <f t="shared" si="0"/>
        <v>0</v>
      </c>
      <c r="Z5" s="18">
        <f t="shared" si="2"/>
        <v>0.62293130311519007</v>
      </c>
      <c r="AA5" s="1">
        <f t="shared" si="3"/>
        <v>1.2831443339722345E-2</v>
      </c>
      <c r="AC5" s="1" t="s">
        <v>490</v>
      </c>
      <c r="AD5" s="1">
        <f t="shared" ref="AD5:AE8" si="6">SUMIF(_xlfn.ANCHORARRAY($N$2),$AC5,U$2:U$15)</f>
        <v>1013.4</v>
      </c>
      <c r="AE5" s="1">
        <f t="shared" si="6"/>
        <v>1292.0999999999999</v>
      </c>
      <c r="AF5" s="18">
        <f t="shared" si="4"/>
        <v>0.27501480165778563</v>
      </c>
      <c r="AG5" s="1">
        <f t="shared" si="5"/>
        <v>5.7465896718826716E-2</v>
      </c>
    </row>
    <row r="6" spans="1:33" x14ac:dyDescent="0.3">
      <c r="A6" s="1" t="str">
        <f>IF('AUS Portfolio'!A6="","",'AUS Portfolio'!A6)</f>
        <v/>
      </c>
      <c r="B6" s="1" t="str">
        <f>IF('AUS Portfolio'!B6="","",'AUS Portfolio'!B6)</f>
        <v/>
      </c>
      <c r="C6" s="1" t="str">
        <f>IF('AUS Portfolio'!C6="","",'AUS Portfolio'!C6)</f>
        <v/>
      </c>
      <c r="D6" s="1" t="str">
        <f>IF('AUS Portfolio'!D6="","",'AUS Portfolio'!D6)</f>
        <v/>
      </c>
      <c r="E6" s="1" t="str">
        <f>IF('AUS Portfolio'!E6="","",'AUS Portfolio'!E6)</f>
        <v/>
      </c>
      <c r="F6" s="1" t="str">
        <f>IF('AUS Portfolio'!F6="","",'AUS Portfolio'!F6)</f>
        <v/>
      </c>
      <c r="G6" s="1" t="str">
        <f>IF('AUS Portfolio'!G6="","",'AUS Portfolio'!G6)</f>
        <v/>
      </c>
      <c r="H6" s="1" t="str">
        <f>IF('AUS Portfolio'!H6="","",'AUS Portfolio'!H6)</f>
        <v/>
      </c>
      <c r="I6" s="1" t="str">
        <f>IF('AUS Portfolio'!I6="","",'AUS Portfolio'!I6)</f>
        <v/>
      </c>
      <c r="J6" s="1" t="str">
        <f>IF('AUS Portfolio'!J6="","",'AUS Portfolio'!J6)</f>
        <v/>
      </c>
      <c r="K6" s="1" t="str">
        <f>IF('AUS Portfolio'!K6="","",'AUS Portfolio'!K6)</f>
        <v/>
      </c>
      <c r="L6" s="1" t="str">
        <f>IF('AUS Portfolio'!L6="","",'AUS Portfolio'!L6)</f>
        <v/>
      </c>
      <c r="N6" s="1" t="str">
        <v>GOOGL</v>
      </c>
      <c r="P6" s="1">
        <f t="shared" si="1"/>
        <v>1</v>
      </c>
      <c r="Q6" s="1">
        <f t="shared" si="0"/>
        <v>434.30689999999993</v>
      </c>
      <c r="R6" s="1">
        <f t="shared" si="0"/>
        <v>2754.55</v>
      </c>
      <c r="S6" s="1">
        <f t="shared" si="0"/>
        <v>10.67</v>
      </c>
      <c r="T6" s="1">
        <f t="shared" si="0"/>
        <v>10.67</v>
      </c>
      <c r="U6" s="1">
        <f t="shared" si="0"/>
        <v>434.30689999999993</v>
      </c>
      <c r="V6" s="1">
        <f t="shared" si="0"/>
        <v>2754.55</v>
      </c>
      <c r="W6" s="1">
        <f t="shared" si="0"/>
        <v>2320.2431000000001</v>
      </c>
      <c r="X6" s="1">
        <f t="shared" si="0"/>
        <v>0</v>
      </c>
      <c r="Y6" s="1">
        <f t="shared" si="0"/>
        <v>0</v>
      </c>
      <c r="Z6" s="18">
        <f t="shared" si="2"/>
        <v>5.3424044149425223</v>
      </c>
      <c r="AA6" s="1">
        <f t="shared" si="3"/>
        <v>0.14714759471870187</v>
      </c>
      <c r="AC6" s="1" t="s">
        <v>551</v>
      </c>
      <c r="AD6" s="1">
        <f t="shared" si="6"/>
        <v>1983.63</v>
      </c>
      <c r="AE6" s="1">
        <f t="shared" si="6"/>
        <v>2471.6</v>
      </c>
      <c r="AF6" s="18">
        <f t="shared" si="4"/>
        <v>0.24599849770370472</v>
      </c>
      <c r="AG6" s="1">
        <f t="shared" si="5"/>
        <v>0.1099239302919682</v>
      </c>
    </row>
    <row r="7" spans="1:33" x14ac:dyDescent="0.3">
      <c r="A7" s="1" t="str">
        <f>IF('AUS Portfolio'!A7="","",'AUS Portfolio'!A7)</f>
        <v/>
      </c>
      <c r="B7" s="1" t="str">
        <f>IF('AUS Portfolio'!B7="","",'AUS Portfolio'!B7)</f>
        <v/>
      </c>
      <c r="C7" s="1" t="str">
        <f>IF('AUS Portfolio'!C7="","",'AUS Portfolio'!C7)</f>
        <v/>
      </c>
      <c r="D7" s="1" t="str">
        <f>IF('AUS Portfolio'!D7="","",'AUS Portfolio'!D7)</f>
        <v/>
      </c>
      <c r="E7" s="1" t="str">
        <f>IF('AUS Portfolio'!E7="","",'AUS Portfolio'!E7)</f>
        <v/>
      </c>
      <c r="F7" s="1" t="str">
        <f>IF('AUS Portfolio'!F7="","",'AUS Portfolio'!F7)</f>
        <v/>
      </c>
      <c r="G7" s="1" t="str">
        <f>IF('AUS Portfolio'!G7="","",'AUS Portfolio'!G7)</f>
        <v/>
      </c>
      <c r="H7" s="1" t="str">
        <f>IF('AUS Portfolio'!H7="","",'AUS Portfolio'!H7)</f>
        <v/>
      </c>
      <c r="I7" s="1" t="str">
        <f>IF('AUS Portfolio'!I7="","",'AUS Portfolio'!I7)</f>
        <v/>
      </c>
      <c r="J7" s="1" t="str">
        <f>IF('AUS Portfolio'!J7="","",'AUS Portfolio'!J7)</f>
        <v/>
      </c>
      <c r="K7" s="1" t="str">
        <f>IF('AUS Portfolio'!K7="","",'AUS Portfolio'!K7)</f>
        <v/>
      </c>
      <c r="L7" s="1" t="str">
        <f>IF('AUS Portfolio'!L7="","",'AUS Portfolio'!L7)</f>
        <v/>
      </c>
      <c r="N7" s="1" t="str">
        <v>ICLN</v>
      </c>
      <c r="P7" s="1">
        <f t="shared" si="1"/>
        <v>10</v>
      </c>
      <c r="Q7" s="1">
        <f t="shared" si="0"/>
        <v>16.957750000000001</v>
      </c>
      <c r="R7" s="1">
        <f t="shared" si="0"/>
        <v>22.6</v>
      </c>
      <c r="S7" s="1">
        <f t="shared" si="0"/>
        <v>-0.22</v>
      </c>
      <c r="T7" s="1">
        <f t="shared" si="0"/>
        <v>-2.2000000000000002</v>
      </c>
      <c r="U7" s="1">
        <f t="shared" si="0"/>
        <v>169.57750000000001</v>
      </c>
      <c r="V7" s="1">
        <f t="shared" si="0"/>
        <v>226</v>
      </c>
      <c r="W7" s="1">
        <f t="shared" si="0"/>
        <v>56.422499999999985</v>
      </c>
      <c r="X7" s="1">
        <f t="shared" si="0"/>
        <v>0</v>
      </c>
      <c r="Y7" s="1">
        <f t="shared" si="0"/>
        <v>0</v>
      </c>
      <c r="Z7" s="18">
        <f t="shared" si="2"/>
        <v>0.33272397576329393</v>
      </c>
      <c r="AA7" s="1">
        <f t="shared" si="3"/>
        <v>1.2072881743452332E-2</v>
      </c>
      <c r="AC7" s="1" t="s">
        <v>495</v>
      </c>
      <c r="AD7" s="1">
        <f t="shared" si="6"/>
        <v>2014.5</v>
      </c>
      <c r="AE7" s="1">
        <f t="shared" si="6"/>
        <v>2287.56</v>
      </c>
      <c r="AF7" s="18">
        <f t="shared" si="4"/>
        <v>0.13554728220402082</v>
      </c>
      <c r="AG7" s="1">
        <f t="shared" si="5"/>
        <v>0.10173878701193348</v>
      </c>
    </row>
    <row r="8" spans="1:33" x14ac:dyDescent="0.3">
      <c r="A8" s="1" t="str">
        <f>IF('AUS Portfolio'!A8="","",'AUS Portfolio'!A8)</f>
        <v/>
      </c>
      <c r="B8" s="1" t="str">
        <f>IF('AUS Portfolio'!B8="","",'AUS Portfolio'!B8)</f>
        <v/>
      </c>
      <c r="C8" s="1" t="str">
        <f>IF('AUS Portfolio'!C8="","",'AUS Portfolio'!C8)</f>
        <v/>
      </c>
      <c r="D8" s="1" t="str">
        <f>IF('AUS Portfolio'!D8="","",'AUS Portfolio'!D8)</f>
        <v/>
      </c>
      <c r="E8" s="1" t="str">
        <f>IF('AUS Portfolio'!E8="","",'AUS Portfolio'!E8)</f>
        <v/>
      </c>
      <c r="F8" s="1" t="str">
        <f>IF('AUS Portfolio'!F8="","",'AUS Portfolio'!F8)</f>
        <v/>
      </c>
      <c r="G8" s="1" t="str">
        <f>IF('AUS Portfolio'!G8="","",'AUS Portfolio'!G8)</f>
        <v/>
      </c>
      <c r="H8" s="1" t="str">
        <f>IF('AUS Portfolio'!H8="","",'AUS Portfolio'!H8)</f>
        <v/>
      </c>
      <c r="I8" s="1" t="str">
        <f>IF('AUS Portfolio'!I8="","",'AUS Portfolio'!I8)</f>
        <v/>
      </c>
      <c r="J8" s="1" t="str">
        <f>IF('AUS Portfolio'!J8="","",'AUS Portfolio'!J8)</f>
        <v/>
      </c>
      <c r="K8" s="1" t="str">
        <f>IF('AUS Portfolio'!K8="","",'AUS Portfolio'!K8)</f>
        <v/>
      </c>
      <c r="L8" s="1" t="str">
        <f>IF('AUS Portfolio'!L8="","",'AUS Portfolio'!L8)</f>
        <v/>
      </c>
      <c r="N8" s="1" t="str">
        <v>MSFT</v>
      </c>
      <c r="P8" s="1">
        <f t="shared" si="1"/>
        <v>3</v>
      </c>
      <c r="Q8" s="1">
        <f t="shared" si="0"/>
        <v>135.01739999999998</v>
      </c>
      <c r="R8" s="1">
        <f t="shared" si="0"/>
        <v>292.85000000000002</v>
      </c>
      <c r="S8" s="1">
        <f t="shared" si="0"/>
        <v>3.04</v>
      </c>
      <c r="T8" s="1">
        <f t="shared" si="0"/>
        <v>9.120000000000001</v>
      </c>
      <c r="U8" s="1">
        <f t="shared" si="0"/>
        <v>405.05219999999997</v>
      </c>
      <c r="V8" s="1">
        <f t="shared" si="0"/>
        <v>878.55000000000007</v>
      </c>
      <c r="W8" s="1">
        <f t="shared" si="0"/>
        <v>473.4978000000001</v>
      </c>
      <c r="X8" s="1">
        <f t="shared" si="0"/>
        <v>0</v>
      </c>
      <c r="Y8" s="1">
        <f t="shared" si="0"/>
        <v>0</v>
      </c>
      <c r="Z8" s="18">
        <f t="shared" si="2"/>
        <v>1.1689797018754624</v>
      </c>
      <c r="AA8" s="1">
        <f t="shared" si="3"/>
        <v>4.6931992281902861E-2</v>
      </c>
      <c r="AC8" s="1" t="s">
        <v>257</v>
      </c>
      <c r="AD8" s="1">
        <f t="shared" si="6"/>
        <v>3244.05</v>
      </c>
      <c r="AE8" s="1">
        <f t="shared" si="6"/>
        <v>3765</v>
      </c>
      <c r="AF8" s="18">
        <f t="shared" si="4"/>
        <v>0.16058630415684091</v>
      </c>
      <c r="AG8" s="1">
        <f t="shared" si="5"/>
        <v>0.16744764425848047</v>
      </c>
    </row>
    <row r="9" spans="1:33" x14ac:dyDescent="0.3">
      <c r="A9" s="1" t="str">
        <f>IF('AUS Portfolio'!A9="","",'AUS Portfolio'!A9)</f>
        <v/>
      </c>
      <c r="B9" s="1" t="str">
        <f>IF('AUS Portfolio'!B9="","",'AUS Portfolio'!B9)</f>
        <v/>
      </c>
      <c r="C9" s="1" t="str">
        <f>IF('AUS Portfolio'!C9="","",'AUS Portfolio'!C9)</f>
        <v/>
      </c>
      <c r="D9" s="1" t="str">
        <f>IF('AUS Portfolio'!D9="","",'AUS Portfolio'!D9)</f>
        <v/>
      </c>
      <c r="E9" s="1" t="str">
        <f>IF('AUS Portfolio'!E9="","",'AUS Portfolio'!E9)</f>
        <v/>
      </c>
      <c r="F9" s="1" t="str">
        <f>IF('AUS Portfolio'!F9="","",'AUS Portfolio'!F9)</f>
        <v/>
      </c>
      <c r="G9" s="1" t="str">
        <f>IF('AUS Portfolio'!G9="","",'AUS Portfolio'!G9)</f>
        <v/>
      </c>
      <c r="H9" s="1" t="str">
        <f>IF('AUS Portfolio'!H9="","",'AUS Portfolio'!H9)</f>
        <v/>
      </c>
      <c r="I9" s="1" t="str">
        <f>IF('AUS Portfolio'!I9="","",'AUS Portfolio'!I9)</f>
        <v/>
      </c>
      <c r="J9" s="1" t="str">
        <f>IF('AUS Portfolio'!J9="","",'AUS Portfolio'!J9)</f>
        <v/>
      </c>
      <c r="K9" s="1" t="str">
        <f>IF('AUS Portfolio'!K9="","",'AUS Portfolio'!K9)</f>
        <v/>
      </c>
      <c r="L9" s="1" t="str">
        <f>IF('AUS Portfolio'!L9="","",'AUS Portfolio'!L9)</f>
        <v/>
      </c>
      <c r="N9" s="1" t="str">
        <v>SQ</v>
      </c>
      <c r="P9" s="1">
        <f t="shared" si="1"/>
        <v>3</v>
      </c>
      <c r="Q9" s="1">
        <f t="shared" si="0"/>
        <v>100.20876666666668</v>
      </c>
      <c r="R9" s="1">
        <f t="shared" si="0"/>
        <v>267.88</v>
      </c>
      <c r="S9" s="1">
        <f t="shared" si="0"/>
        <v>-0.71</v>
      </c>
      <c r="T9" s="1">
        <f t="shared" si="0"/>
        <v>-2.13</v>
      </c>
      <c r="U9" s="1">
        <f t="shared" si="0"/>
        <v>300.62630000000001</v>
      </c>
      <c r="V9" s="1">
        <f t="shared" si="0"/>
        <v>803.64</v>
      </c>
      <c r="W9" s="1">
        <f t="shared" si="0"/>
        <v>503.01369999999997</v>
      </c>
      <c r="X9" s="1">
        <f t="shared" si="0"/>
        <v>0</v>
      </c>
      <c r="Y9" s="1">
        <f t="shared" si="0"/>
        <v>0</v>
      </c>
      <c r="Z9" s="18">
        <f t="shared" si="2"/>
        <v>1.6732192093639178</v>
      </c>
      <c r="AA9" s="1">
        <f t="shared" si="3"/>
        <v>4.293031276242492E-2</v>
      </c>
    </row>
    <row r="10" spans="1:33" x14ac:dyDescent="0.3">
      <c r="A10" s="1" t="str">
        <f>IF('AUS Portfolio'!A10="","",'AUS Portfolio'!A10)</f>
        <v/>
      </c>
      <c r="B10" s="1" t="str">
        <f>IF('AUS Portfolio'!B10="","",'AUS Portfolio'!B10)</f>
        <v/>
      </c>
      <c r="C10" s="1" t="str">
        <f>IF('AUS Portfolio'!C10="","",'AUS Portfolio'!C10)</f>
        <v/>
      </c>
      <c r="D10" s="1" t="str">
        <f>IF('AUS Portfolio'!D10="","",'AUS Portfolio'!D10)</f>
        <v/>
      </c>
      <c r="E10" s="1" t="str">
        <f>IF('AUS Portfolio'!E10="","",'AUS Portfolio'!E10)</f>
        <v/>
      </c>
      <c r="F10" s="1" t="str">
        <f>IF('AUS Portfolio'!F10="","",'AUS Portfolio'!F10)</f>
        <v/>
      </c>
      <c r="G10" s="1" t="str">
        <f>IF('AUS Portfolio'!G10="","",'AUS Portfolio'!G10)</f>
        <v/>
      </c>
      <c r="H10" s="1" t="str">
        <f>IF('AUS Portfolio'!H10="","",'AUS Portfolio'!H10)</f>
        <v/>
      </c>
      <c r="I10" s="1" t="str">
        <f>IF('AUS Portfolio'!I10="","",'AUS Portfolio'!I10)</f>
        <v/>
      </c>
      <c r="J10" s="1" t="str">
        <f>IF('AUS Portfolio'!J10="","",'AUS Portfolio'!J10)</f>
        <v/>
      </c>
      <c r="K10" s="1" t="str">
        <f>IF('AUS Portfolio'!K10="","",'AUS Portfolio'!K10)</f>
        <v/>
      </c>
      <c r="L10" s="1" t="str">
        <f>IF('AUS Portfolio'!L10="","",'AUS Portfolio'!L10)</f>
        <v/>
      </c>
      <c r="N10" s="1" t="str">
        <v>XLF</v>
      </c>
      <c r="P10" s="1">
        <f t="shared" si="1"/>
        <v>10</v>
      </c>
      <c r="Q10" s="1">
        <f t="shared" si="0"/>
        <v>29.017000000000003</v>
      </c>
      <c r="R10" s="1">
        <f t="shared" si="0"/>
        <v>38.58</v>
      </c>
      <c r="S10" s="1">
        <f t="shared" si="0"/>
        <v>-0.28999999999999998</v>
      </c>
      <c r="T10" s="1">
        <f t="shared" si="0"/>
        <v>-2.9</v>
      </c>
      <c r="U10" s="1">
        <f t="shared" si="0"/>
        <v>290.17</v>
      </c>
      <c r="V10" s="1">
        <f t="shared" si="0"/>
        <v>385.79999999999995</v>
      </c>
      <c r="W10" s="1">
        <f t="shared" si="0"/>
        <v>95.629999999999939</v>
      </c>
      <c r="X10" s="1">
        <f t="shared" si="0"/>
        <v>0</v>
      </c>
      <c r="Y10" s="1">
        <f t="shared" si="0"/>
        <v>0</v>
      </c>
      <c r="Z10" s="18">
        <f t="shared" si="2"/>
        <v>0.32956542716338677</v>
      </c>
      <c r="AA10" s="1">
        <f t="shared" si="3"/>
        <v>2.0609370693026145E-2</v>
      </c>
    </row>
    <row r="11" spans="1:33" x14ac:dyDescent="0.3">
      <c r="A11" s="1" t="str">
        <f>IF('AUS Portfolio'!A11="","",'AUS Portfolio'!A11)</f>
        <v/>
      </c>
      <c r="B11" s="1" t="str">
        <f>IF('AUS Portfolio'!B11="","",'AUS Portfolio'!B11)</f>
        <v/>
      </c>
      <c r="C11" s="1" t="str">
        <f>IF('AUS Portfolio'!C11="","",'AUS Portfolio'!C11)</f>
        <v/>
      </c>
      <c r="D11" s="1" t="str">
        <f>IF('AUS Portfolio'!D11="","",'AUS Portfolio'!D11)</f>
        <v/>
      </c>
      <c r="E11" s="1" t="str">
        <f>IF('AUS Portfolio'!E11="","",'AUS Portfolio'!E11)</f>
        <v/>
      </c>
      <c r="F11" s="1" t="str">
        <f>IF('AUS Portfolio'!F11="","",'AUS Portfolio'!F11)</f>
        <v/>
      </c>
      <c r="G11" s="1" t="str">
        <f>IF('AUS Portfolio'!G11="","",'AUS Portfolio'!G11)</f>
        <v/>
      </c>
      <c r="H11" s="1" t="str">
        <f>IF('AUS Portfolio'!H11="","",'AUS Portfolio'!H11)</f>
        <v/>
      </c>
      <c r="I11" s="1" t="str">
        <f>IF('AUS Portfolio'!I11="","",'AUS Portfolio'!I11)</f>
        <v/>
      </c>
      <c r="J11" s="1" t="str">
        <f>IF('AUS Portfolio'!J11="","",'AUS Portfolio'!J11)</f>
        <v/>
      </c>
      <c r="K11" s="1" t="str">
        <f>IF('AUS Portfolio'!K11="","",'AUS Portfolio'!K11)</f>
        <v/>
      </c>
      <c r="L11" s="1" t="str">
        <f>IF('AUS Portfolio'!L11="","",'AUS Portfolio'!L11)</f>
        <v/>
      </c>
      <c r="N11" s="1" t="str">
        <v>IOZ</v>
      </c>
      <c r="P11" s="1">
        <f t="shared" si="1"/>
        <v>75</v>
      </c>
      <c r="Q11" s="1">
        <f t="shared" si="0"/>
        <v>22.373066666666666</v>
      </c>
      <c r="R11" s="1">
        <f t="shared" si="0"/>
        <v>31.31</v>
      </c>
      <c r="S11" s="1">
        <f t="shared" si="0"/>
        <v>0.19</v>
      </c>
      <c r="T11" s="1">
        <f t="shared" si="0"/>
        <v>14.25</v>
      </c>
      <c r="U11" s="1">
        <f t="shared" si="0"/>
        <v>1667.98</v>
      </c>
      <c r="V11" s="1">
        <f t="shared" si="0"/>
        <v>2348.25</v>
      </c>
      <c r="W11" s="1">
        <f t="shared" si="0"/>
        <v>680.27</v>
      </c>
      <c r="X11" s="1">
        <f t="shared" si="0"/>
        <v>0</v>
      </c>
      <c r="Y11" s="1">
        <f t="shared" si="0"/>
        <v>0</v>
      </c>
      <c r="Z11" s="18">
        <f t="shared" si="2"/>
        <v>0.40784062159018691</v>
      </c>
      <c r="AA11" s="1">
        <f t="shared" si="3"/>
        <v>0.12544311749584927</v>
      </c>
    </row>
    <row r="12" spans="1:33" x14ac:dyDescent="0.3">
      <c r="A12" s="1" t="str">
        <f>IF('AUS Portfolio'!A12="","",'AUS Portfolio'!A12)</f>
        <v/>
      </c>
      <c r="B12" s="1" t="str">
        <f>IF('AUS Portfolio'!B12="","",'AUS Portfolio'!B12)</f>
        <v/>
      </c>
      <c r="C12" s="1" t="str">
        <f>IF('AUS Portfolio'!C12="","",'AUS Portfolio'!C12)</f>
        <v/>
      </c>
      <c r="D12" s="1" t="str">
        <f>IF('AUS Portfolio'!D12="","",'AUS Portfolio'!D12)</f>
        <v/>
      </c>
      <c r="E12" s="1" t="str">
        <f>IF('AUS Portfolio'!E12="","",'AUS Portfolio'!E12)</f>
        <v/>
      </c>
      <c r="F12" s="1" t="str">
        <f>IF('AUS Portfolio'!F12="","",'AUS Portfolio'!F12)</f>
        <v/>
      </c>
      <c r="G12" s="1" t="str">
        <f>IF('AUS Portfolio'!G12="","",'AUS Portfolio'!G12)</f>
        <v/>
      </c>
      <c r="H12" s="1" t="str">
        <f>IF('AUS Portfolio'!H12="","",'AUS Portfolio'!H12)</f>
        <v/>
      </c>
      <c r="I12" s="1" t="str">
        <f>IF('AUS Portfolio'!I12="","",'AUS Portfolio'!I12)</f>
        <v/>
      </c>
      <c r="J12" s="1" t="str">
        <f>IF('AUS Portfolio'!J12="","",'AUS Portfolio'!J12)</f>
        <v/>
      </c>
      <c r="K12" s="1" t="str">
        <f>IF('AUS Portfolio'!K12="","",'AUS Portfolio'!K12)</f>
        <v/>
      </c>
      <c r="L12" s="1" t="str">
        <f>IF('AUS Portfolio'!L12="","",'AUS Portfolio'!L12)</f>
        <v/>
      </c>
      <c r="N12" s="1" t="str">
        <v>VEU</v>
      </c>
      <c r="P12" s="1">
        <f t="shared" si="1"/>
        <v>15</v>
      </c>
      <c r="Q12" s="1">
        <f t="shared" si="0"/>
        <v>68.226666666666659</v>
      </c>
      <c r="R12" s="1">
        <f t="shared" si="0"/>
        <v>86.14</v>
      </c>
      <c r="S12" s="1">
        <f t="shared" si="0"/>
        <v>0.04</v>
      </c>
      <c r="T12" s="1">
        <f t="shared" si="0"/>
        <v>0.6</v>
      </c>
      <c r="U12" s="1">
        <f t="shared" si="0"/>
        <v>1013.4</v>
      </c>
      <c r="V12" s="1">
        <f t="shared" si="0"/>
        <v>1292.0999999999999</v>
      </c>
      <c r="W12" s="1">
        <f t="shared" si="0"/>
        <v>278.69999999999993</v>
      </c>
      <c r="X12" s="1">
        <f t="shared" si="0"/>
        <v>0</v>
      </c>
      <c r="Y12" s="1">
        <f t="shared" si="0"/>
        <v>0</v>
      </c>
      <c r="Z12" s="18">
        <f t="shared" si="2"/>
        <v>0.27501480165778563</v>
      </c>
      <c r="AA12" s="1">
        <f t="shared" si="3"/>
        <v>6.9023763277498928E-2</v>
      </c>
    </row>
    <row r="13" spans="1:33" x14ac:dyDescent="0.3">
      <c r="A13" s="1" t="str">
        <f>IF('AUS Portfolio'!A13="","",'AUS Portfolio'!A13)</f>
        <v/>
      </c>
      <c r="B13" s="1" t="str">
        <f>IF('AUS Portfolio'!B13="","",'AUS Portfolio'!B13)</f>
        <v/>
      </c>
      <c r="C13" s="1" t="str">
        <f>IF('AUS Portfolio'!C13="","",'AUS Portfolio'!C13)</f>
        <v/>
      </c>
      <c r="D13" s="1" t="str">
        <f>IF('AUS Portfolio'!D13="","",'AUS Portfolio'!D13)</f>
        <v/>
      </c>
      <c r="E13" s="1" t="str">
        <f>IF('AUS Portfolio'!E13="","",'AUS Portfolio'!E13)</f>
        <v/>
      </c>
      <c r="F13" s="1" t="str">
        <f>IF('AUS Portfolio'!F13="","",'AUS Portfolio'!F13)</f>
        <v/>
      </c>
      <c r="G13" s="1" t="str">
        <f>IF('AUS Portfolio'!G13="","",'AUS Portfolio'!G13)</f>
        <v/>
      </c>
      <c r="H13" s="1" t="str">
        <f>IF('AUS Portfolio'!H13="","",'AUS Portfolio'!H13)</f>
        <v/>
      </c>
      <c r="I13" s="1" t="str">
        <f>IF('AUS Portfolio'!I13="","",'AUS Portfolio'!I13)</f>
        <v/>
      </c>
      <c r="J13" s="1" t="str">
        <f>IF('AUS Portfolio'!J13="","",'AUS Portfolio'!J13)</f>
        <v/>
      </c>
      <c r="K13" s="1" t="str">
        <f>IF('AUS Portfolio'!K13="","",'AUS Portfolio'!K13)</f>
        <v/>
      </c>
      <c r="L13" s="1" t="str">
        <f>IF('AUS Portfolio'!L13="","",'AUS Portfolio'!L13)</f>
        <v/>
      </c>
      <c r="N13" s="1" t="str">
        <v>VDHG</v>
      </c>
      <c r="P13" s="1">
        <f t="shared" si="1"/>
        <v>40</v>
      </c>
      <c r="Q13" s="1">
        <f t="shared" si="0"/>
        <v>49.84075</v>
      </c>
      <c r="R13" s="1">
        <f t="shared" si="0"/>
        <v>61.79</v>
      </c>
      <c r="S13" s="1">
        <f t="shared" si="0"/>
        <v>0.17</v>
      </c>
      <c r="T13" s="1">
        <f t="shared" si="0"/>
        <v>6.8000000000000007</v>
      </c>
      <c r="U13" s="1">
        <f t="shared" si="0"/>
        <v>1983.63</v>
      </c>
      <c r="V13" s="1">
        <f t="shared" si="0"/>
        <v>2471.6</v>
      </c>
      <c r="W13" s="1">
        <f t="shared" si="0"/>
        <v>487.9699999999998</v>
      </c>
      <c r="X13" s="1">
        <f t="shared" si="0"/>
        <v>0</v>
      </c>
      <c r="Y13" s="1">
        <f t="shared" si="0"/>
        <v>0</v>
      </c>
      <c r="Z13" s="18">
        <f t="shared" si="2"/>
        <v>0.24599849770370472</v>
      </c>
      <c r="AA13" s="1">
        <f t="shared" si="3"/>
        <v>0.13203245361556099</v>
      </c>
    </row>
    <row r="14" spans="1:33" x14ac:dyDescent="0.3">
      <c r="A14" s="1" t="str">
        <f>IF('AUS Portfolio'!A14="","",'AUS Portfolio'!A14)</f>
        <v/>
      </c>
      <c r="B14" s="1" t="str">
        <f>IF('AUS Portfolio'!B14="","",'AUS Portfolio'!B14)</f>
        <v/>
      </c>
      <c r="C14" s="1" t="str">
        <f>IF('AUS Portfolio'!C14="","",'AUS Portfolio'!C14)</f>
        <v/>
      </c>
      <c r="D14" s="1" t="str">
        <f>IF('AUS Portfolio'!D14="","",'AUS Portfolio'!D14)</f>
        <v/>
      </c>
      <c r="E14" s="1" t="str">
        <f>IF('AUS Portfolio'!E14="","",'AUS Portfolio'!E14)</f>
        <v/>
      </c>
      <c r="F14" s="1" t="str">
        <f>IF('AUS Portfolio'!F14="","",'AUS Portfolio'!F14)</f>
        <v/>
      </c>
      <c r="G14" s="1" t="str">
        <f>IF('AUS Portfolio'!G14="","",'AUS Portfolio'!G14)</f>
        <v/>
      </c>
      <c r="H14" s="1" t="str">
        <f>IF('AUS Portfolio'!H14="","",'AUS Portfolio'!H14)</f>
        <v/>
      </c>
      <c r="I14" s="1" t="str">
        <f>IF('AUS Portfolio'!I14="","",'AUS Portfolio'!I14)</f>
        <v/>
      </c>
      <c r="J14" s="1" t="str">
        <f>IF('AUS Portfolio'!J14="","",'AUS Portfolio'!J14)</f>
        <v/>
      </c>
      <c r="K14" s="1" t="str">
        <f>IF('AUS Portfolio'!K14="","",'AUS Portfolio'!K14)</f>
        <v/>
      </c>
      <c r="L14" s="1" t="str">
        <f>IF('AUS Portfolio'!L14="","",'AUS Portfolio'!L14)</f>
        <v/>
      </c>
      <c r="N14" s="1" t="str">
        <v>VHY</v>
      </c>
      <c r="P14" s="1">
        <f t="shared" si="1"/>
        <v>33</v>
      </c>
      <c r="Q14" s="1">
        <f t="shared" si="0"/>
        <v>61.348484848484851</v>
      </c>
      <c r="R14" s="1">
        <f t="shared" si="0"/>
        <v>69.319999999999993</v>
      </c>
      <c r="S14" s="1">
        <f t="shared" si="0"/>
        <v>0.37</v>
      </c>
      <c r="T14" s="1">
        <f t="shared" si="0"/>
        <v>12.209999999999999</v>
      </c>
      <c r="U14" s="1">
        <f t="shared" si="0"/>
        <v>2014.5</v>
      </c>
      <c r="V14" s="1">
        <f t="shared" si="0"/>
        <v>2287.56</v>
      </c>
      <c r="W14" s="1">
        <f t="shared" si="0"/>
        <v>273.05999999999995</v>
      </c>
      <c r="X14" s="1">
        <f t="shared" si="0"/>
        <v>0</v>
      </c>
      <c r="Y14" s="1">
        <f t="shared" si="0"/>
        <v>0</v>
      </c>
      <c r="Z14" s="18">
        <f t="shared" si="2"/>
        <v>0.13554728220402082</v>
      </c>
      <c r="AA14" s="1">
        <f t="shared" si="3"/>
        <v>0.12220106796925582</v>
      </c>
    </row>
    <row r="15" spans="1:33" x14ac:dyDescent="0.3">
      <c r="A15" s="1" t="str">
        <f>IF('AUS Portfolio'!A15="","",'AUS Portfolio'!A15)</f>
        <v/>
      </c>
      <c r="B15" s="1" t="str">
        <f>IF('AUS Portfolio'!B15="","",'AUS Portfolio'!B15)</f>
        <v/>
      </c>
      <c r="C15" s="1" t="str">
        <f>IF('AUS Portfolio'!C15="","",'AUS Portfolio'!C15)</f>
        <v/>
      </c>
      <c r="D15" s="1" t="str">
        <f>IF('AUS Portfolio'!D15="","",'AUS Portfolio'!D15)</f>
        <v/>
      </c>
      <c r="E15" s="1" t="str">
        <f>IF('AUS Portfolio'!E15="","",'AUS Portfolio'!E15)</f>
        <v/>
      </c>
      <c r="F15" s="1" t="str">
        <f>IF('AUS Portfolio'!F15="","",'AUS Portfolio'!F15)</f>
        <v/>
      </c>
      <c r="G15" s="1" t="str">
        <f>IF('AUS Portfolio'!G15="","",'AUS Portfolio'!G15)</f>
        <v/>
      </c>
      <c r="H15" s="1" t="str">
        <f>IF('AUS Portfolio'!H15="","",'AUS Portfolio'!H15)</f>
        <v/>
      </c>
      <c r="I15" s="1" t="str">
        <f>IF('AUS Portfolio'!I15="","",'AUS Portfolio'!I15)</f>
        <v/>
      </c>
      <c r="J15" s="1" t="str">
        <f>IF('AUS Portfolio'!J15="","",'AUS Portfolio'!J15)</f>
        <v/>
      </c>
      <c r="K15" s="1" t="str">
        <f>IF('AUS Portfolio'!K15="","",'AUS Portfolio'!K15)</f>
        <v/>
      </c>
      <c r="L15" s="1" t="str">
        <f>IF('AUS Portfolio'!L15="","",'AUS Portfolio'!L15)</f>
        <v/>
      </c>
      <c r="N15" s="1" t="str">
        <v>ETHI</v>
      </c>
      <c r="P15" s="1">
        <f t="shared" si="1"/>
        <v>300</v>
      </c>
      <c r="Q15" s="1">
        <f t="shared" si="0"/>
        <v>10.846833333333334</v>
      </c>
      <c r="R15" s="1">
        <f t="shared" si="0"/>
        <v>12.55</v>
      </c>
      <c r="S15" s="1">
        <f t="shared" si="0"/>
        <v>7.0000000000000007E-2</v>
      </c>
      <c r="T15" s="1">
        <f t="shared" si="0"/>
        <v>21.000000000000004</v>
      </c>
      <c r="U15" s="1">
        <f t="shared" si="0"/>
        <v>3244.05</v>
      </c>
      <c r="V15" s="1">
        <f t="shared" si="0"/>
        <v>3765</v>
      </c>
      <c r="W15" s="1">
        <f t="shared" si="0"/>
        <v>520.94999999999982</v>
      </c>
      <c r="X15" s="1">
        <f t="shared" si="0"/>
        <v>0</v>
      </c>
      <c r="Y15" s="1">
        <f t="shared" si="0"/>
        <v>0</v>
      </c>
      <c r="Z15" s="18">
        <f t="shared" si="2"/>
        <v>0.16058630415684091</v>
      </c>
      <c r="AA15" s="1">
        <f t="shared" si="3"/>
        <v>0.20112566267300014</v>
      </c>
    </row>
    <row r="16" spans="1:33" x14ac:dyDescent="0.3">
      <c r="A16" s="1" t="str">
        <f>IF('AUS Portfolio'!A16="","",'AUS Portfolio'!A16)</f>
        <v/>
      </c>
      <c r="B16" s="1" t="str">
        <f>IF('AUS Portfolio'!B16="","",'AUS Portfolio'!B16)</f>
        <v/>
      </c>
      <c r="C16" s="1" t="str">
        <f>IF('AUS Portfolio'!C16="","",'AUS Portfolio'!C16)</f>
        <v/>
      </c>
      <c r="D16" s="1" t="str">
        <f>IF('AUS Portfolio'!D16="","",'AUS Portfolio'!D16)</f>
        <v/>
      </c>
      <c r="E16" s="1" t="str">
        <f>IF('AUS Portfolio'!E16="","",'AUS Portfolio'!E16)</f>
        <v/>
      </c>
      <c r="F16" s="1" t="str">
        <f>IF('AUS Portfolio'!F16="","",'AUS Portfolio'!F16)</f>
        <v/>
      </c>
      <c r="G16" s="1" t="str">
        <f>IF('AUS Portfolio'!G16="","",'AUS Portfolio'!G16)</f>
        <v/>
      </c>
      <c r="H16" s="1" t="str">
        <f>IF('AUS Portfolio'!H16="","",'AUS Portfolio'!H16)</f>
        <v/>
      </c>
      <c r="I16" s="1" t="str">
        <f>IF('AUS Portfolio'!I16="","",'AUS Portfolio'!I16)</f>
        <v/>
      </c>
      <c r="J16" s="1" t="str">
        <f>IF('AUS Portfolio'!J16="","",'AUS Portfolio'!J16)</f>
        <v/>
      </c>
      <c r="K16" s="1" t="str">
        <f>IF('AUS Portfolio'!K16="","",'AUS Portfolio'!K16)</f>
        <v/>
      </c>
      <c r="L16" s="1" t="str">
        <f>IF('AUS Portfolio'!L16="","",'AUS Portfolio'!L16)</f>
        <v/>
      </c>
    </row>
    <row r="17" spans="1:12" x14ac:dyDescent="0.3">
      <c r="A17" s="1" t="str">
        <f>IF('AUS Portfolio'!A17="","",'AUS Portfolio'!A17)</f>
        <v/>
      </c>
      <c r="B17" s="1" t="str">
        <f>IF('AUS Portfolio'!B17="","",'AUS Portfolio'!B17)</f>
        <v/>
      </c>
      <c r="C17" s="1" t="str">
        <f>IF('AUS Portfolio'!C17="","",'AUS Portfolio'!C17)</f>
        <v/>
      </c>
      <c r="D17" s="1" t="str">
        <f>IF('AUS Portfolio'!D17="","",'AUS Portfolio'!D17)</f>
        <v/>
      </c>
      <c r="E17" s="1" t="str">
        <f>IF('AUS Portfolio'!E17="","",'AUS Portfolio'!E17)</f>
        <v/>
      </c>
      <c r="F17" s="1" t="str">
        <f>IF('AUS Portfolio'!F17="","",'AUS Portfolio'!F17)</f>
        <v/>
      </c>
      <c r="G17" s="1" t="str">
        <f>IF('AUS Portfolio'!G17="","",'AUS Portfolio'!G17)</f>
        <v/>
      </c>
      <c r="H17" s="1" t="str">
        <f>IF('AUS Portfolio'!H17="","",'AUS Portfolio'!H17)</f>
        <v/>
      </c>
      <c r="I17" s="1" t="str">
        <f>IF('AUS Portfolio'!I17="","",'AUS Portfolio'!I17)</f>
        <v/>
      </c>
      <c r="J17" s="1" t="str">
        <f>IF('AUS Portfolio'!J17="","",'AUS Portfolio'!J17)</f>
        <v/>
      </c>
      <c r="K17" s="1" t="str">
        <f>IF('AUS Portfolio'!K17="","",'AUS Portfolio'!K17)</f>
        <v/>
      </c>
      <c r="L17" s="1" t="str">
        <f>IF('AUS Portfolio'!L17="","",'AUS Portfolio'!L17)</f>
        <v/>
      </c>
    </row>
    <row r="18" spans="1:12" x14ac:dyDescent="0.3">
      <c r="A18" s="1" t="str">
        <f>IF('AUS Portfolio'!A18="","",'AUS Portfolio'!A18)</f>
        <v/>
      </c>
      <c r="B18" s="1" t="str">
        <f>IF('AUS Portfolio'!B18="","",'AUS Portfolio'!B18)</f>
        <v/>
      </c>
      <c r="C18" s="1" t="str">
        <f>IF('AUS Portfolio'!C18="","",'AUS Portfolio'!C18)</f>
        <v/>
      </c>
      <c r="D18" s="1" t="str">
        <f>IF('AUS Portfolio'!D18="","",'AUS Portfolio'!D18)</f>
        <v/>
      </c>
      <c r="E18" s="1" t="str">
        <f>IF('AUS Portfolio'!E18="","",'AUS Portfolio'!E18)</f>
        <v/>
      </c>
      <c r="F18" s="1" t="str">
        <f>IF('AUS Portfolio'!F18="","",'AUS Portfolio'!F18)</f>
        <v/>
      </c>
      <c r="G18" s="1" t="str">
        <f>IF('AUS Portfolio'!G18="","",'AUS Portfolio'!G18)</f>
        <v/>
      </c>
      <c r="H18" s="1" t="str">
        <f>IF('AUS Portfolio'!H18="","",'AUS Portfolio'!H18)</f>
        <v/>
      </c>
      <c r="I18" s="1" t="str">
        <f>IF('AUS Portfolio'!I18="","",'AUS Portfolio'!I18)</f>
        <v/>
      </c>
      <c r="J18" s="1" t="str">
        <f>IF('AUS Portfolio'!J18="","",'AUS Portfolio'!J18)</f>
        <v/>
      </c>
      <c r="K18" s="1" t="str">
        <f>IF('AUS Portfolio'!K18="","",'AUS Portfolio'!K18)</f>
        <v/>
      </c>
      <c r="L18" s="1" t="str">
        <f>IF('AUS Portfolio'!L18="","",'AUS Portfolio'!L18)</f>
        <v/>
      </c>
    </row>
    <row r="19" spans="1:12" x14ac:dyDescent="0.3">
      <c r="A19" s="1" t="str">
        <f>IF('AUS Portfolio'!A19="","",'AUS Portfolio'!A19)</f>
        <v/>
      </c>
      <c r="B19" s="1" t="str">
        <f>IF('AUS Portfolio'!B19="","",'AUS Portfolio'!B19)</f>
        <v/>
      </c>
      <c r="C19" s="1" t="str">
        <f>IF('AUS Portfolio'!C19="","",'AUS Portfolio'!C19)</f>
        <v/>
      </c>
      <c r="D19" s="1" t="str">
        <f>IF('AUS Portfolio'!D19="","",'AUS Portfolio'!D19)</f>
        <v/>
      </c>
      <c r="E19" s="1" t="str">
        <f>IF('AUS Portfolio'!E19="","",'AUS Portfolio'!E19)</f>
        <v/>
      </c>
      <c r="F19" s="1" t="str">
        <f>IF('AUS Portfolio'!F19="","",'AUS Portfolio'!F19)</f>
        <v/>
      </c>
      <c r="G19" s="1" t="str">
        <f>IF('AUS Portfolio'!G19="","",'AUS Portfolio'!G19)</f>
        <v/>
      </c>
      <c r="H19" s="1" t="str">
        <f>IF('AUS Portfolio'!H19="","",'AUS Portfolio'!H19)</f>
        <v/>
      </c>
      <c r="I19" s="1" t="str">
        <f>IF('AUS Portfolio'!I19="","",'AUS Portfolio'!I19)</f>
        <v/>
      </c>
      <c r="J19" s="1" t="str">
        <f>IF('AUS Portfolio'!J19="","",'AUS Portfolio'!J19)</f>
        <v/>
      </c>
      <c r="K19" s="1" t="str">
        <f>IF('AUS Portfolio'!K19="","",'AUS Portfolio'!K19)</f>
        <v/>
      </c>
      <c r="L19" s="1" t="str">
        <f>IF('AUS Portfolio'!L19="","",'AUS Portfolio'!L19)</f>
        <v/>
      </c>
    </row>
    <row r="20" spans="1:12" x14ac:dyDescent="0.3">
      <c r="A20" s="1" t="str">
        <f>IF('AUS Portfolio'!A20="","",'AUS Portfolio'!A20)</f>
        <v/>
      </c>
      <c r="B20" s="1" t="str">
        <f>IF('AUS Portfolio'!B20="","",'AUS Portfolio'!B20)</f>
        <v/>
      </c>
      <c r="C20" s="1" t="str">
        <f>IF('AUS Portfolio'!C20="","",'AUS Portfolio'!C20)</f>
        <v/>
      </c>
      <c r="D20" s="1" t="str">
        <f>IF('AUS Portfolio'!D20="","",'AUS Portfolio'!D20)</f>
        <v/>
      </c>
      <c r="E20" s="1" t="str">
        <f>IF('AUS Portfolio'!E20="","",'AUS Portfolio'!E20)</f>
        <v/>
      </c>
      <c r="F20" s="1" t="str">
        <f>IF('AUS Portfolio'!F20="","",'AUS Portfolio'!F20)</f>
        <v/>
      </c>
      <c r="G20" s="1" t="str">
        <f>IF('AUS Portfolio'!G20="","",'AUS Portfolio'!G20)</f>
        <v/>
      </c>
      <c r="H20" s="1" t="str">
        <f>IF('AUS Portfolio'!H20="","",'AUS Portfolio'!H20)</f>
        <v/>
      </c>
      <c r="I20" s="1" t="str">
        <f>IF('AUS Portfolio'!I20="","",'AUS Portfolio'!I20)</f>
        <v/>
      </c>
      <c r="J20" s="1" t="str">
        <f>IF('AUS Portfolio'!J20="","",'AUS Portfolio'!J20)</f>
        <v/>
      </c>
      <c r="K20" s="1" t="str">
        <f>IF('AUS Portfolio'!K20="","",'AUS Portfolio'!K20)</f>
        <v/>
      </c>
      <c r="L20" s="1" t="str">
        <f>IF('AUS Portfolio'!L20="","",'AUS Portfolio'!L20)</f>
        <v/>
      </c>
    </row>
    <row r="22" spans="1:12" x14ac:dyDescent="0.3">
      <c r="A22" s="1" t="str">
        <f>IF('US Portfolio'!A2="","",'US Portfolio'!A2)</f>
        <v>AAPL</v>
      </c>
      <c r="B22" s="1" t="e" vm="1">
        <f>IF('US Portfolio'!B2="","",'US Portfolio'!B2)</f>
        <v>#VALUE!</v>
      </c>
      <c r="C22" s="1">
        <f>IF('US Portfolio'!C2="","",'US Portfolio'!C2)</f>
        <v>10</v>
      </c>
      <c r="D22" s="1">
        <f>IF('US Portfolio'!D2="","",'US Portfolio'!D2)</f>
        <v>48.716389999999997</v>
      </c>
      <c r="E22" s="1">
        <f>IF('US Portfolio'!E2="","",'US Portfolio'!E2)</f>
        <v>149.1</v>
      </c>
      <c r="F22" s="1">
        <f>IF('US Portfolio'!F2="","",'US Portfolio'!F2)</f>
        <v>0.21</v>
      </c>
      <c r="G22" s="1">
        <f>IF('US Portfolio'!G2="","",'US Portfolio'!G2)</f>
        <v>2.1</v>
      </c>
      <c r="H22" s="1">
        <f>IF('US Portfolio'!H2="","",'US Portfolio'!H2)</f>
        <v>487.16389999999996</v>
      </c>
      <c r="I22" s="1">
        <f>IF('US Portfolio'!I2="","",'US Portfolio'!I2)</f>
        <v>1491</v>
      </c>
      <c r="J22" s="1">
        <f>IF('US Portfolio'!J2="","",'US Portfolio'!J2)</f>
        <v>1003.8361</v>
      </c>
      <c r="K22" s="1">
        <f>IF('US Portfolio'!K2="","",'US Portfolio'!K2)</f>
        <v>0</v>
      </c>
      <c r="L22" s="1" t="str">
        <f>IF('US Portfolio'!L2="","",'US Portfolio'!L2)</f>
        <v/>
      </c>
    </row>
    <row r="23" spans="1:12" x14ac:dyDescent="0.3">
      <c r="A23" s="1" t="str">
        <f>IF('US Portfolio'!A3="","",'US Portfolio'!A3)</f>
        <v>AMZN</v>
      </c>
      <c r="B23" s="1" t="e" vm="2">
        <f>IF('US Portfolio'!B3="","",'US Portfolio'!B3)</f>
        <v>#VALUE!</v>
      </c>
      <c r="C23" s="1">
        <f>IF('US Portfolio'!C3="","",'US Portfolio'!C3)</f>
        <v>1</v>
      </c>
      <c r="D23" s="1">
        <f>IF('US Portfolio'!D3="","",'US Portfolio'!D3)</f>
        <v>459.12419999999997</v>
      </c>
      <c r="E23" s="1">
        <f>IF('US Portfolio'!E3="","",'US Portfolio'!E3)</f>
        <v>3293.97</v>
      </c>
      <c r="F23" s="1">
        <f>IF('US Portfolio'!F3="","",'US Portfolio'!F3)</f>
        <v>-9.5299999999999994</v>
      </c>
      <c r="G23" s="1">
        <f>IF('US Portfolio'!G3="","",'US Portfolio'!G3)</f>
        <v>-9.5299999999999994</v>
      </c>
      <c r="H23" s="1">
        <f>IF('US Portfolio'!H3="","",'US Portfolio'!H3)</f>
        <v>459.12419999999997</v>
      </c>
      <c r="I23" s="1">
        <f>IF('US Portfolio'!I3="","",'US Portfolio'!I3)</f>
        <v>3293.97</v>
      </c>
      <c r="J23" s="1">
        <f>IF('US Portfolio'!J3="","",'US Portfolio'!J3)</f>
        <v>2834.8458000000001</v>
      </c>
      <c r="K23" s="1">
        <f>IF('US Portfolio'!K3="","",'US Portfolio'!K3)</f>
        <v>0</v>
      </c>
      <c r="L23" s="1" t="str">
        <f>IF('US Portfolio'!L3="","",'US Portfolio'!L3)</f>
        <v/>
      </c>
    </row>
    <row r="24" spans="1:12" x14ac:dyDescent="0.3">
      <c r="A24" s="1" t="str">
        <f>IF('US Portfolio'!A4="","",'US Portfolio'!A4)</f>
        <v>ARKG</v>
      </c>
      <c r="B24" s="1" t="e" vm="3">
        <f>IF('US Portfolio'!B4="","",'US Portfolio'!B4)</f>
        <v>#VALUE!</v>
      </c>
      <c r="C24" s="1">
        <f>IF('US Portfolio'!C4="","",'US Portfolio'!C4)</f>
        <v>3</v>
      </c>
      <c r="D24" s="1">
        <f>IF('US Portfolio'!D4="","",'US Portfolio'!D4)</f>
        <v>46.761200000000002</v>
      </c>
      <c r="E24" s="1">
        <f>IF('US Portfolio'!E4="","",'US Portfolio'!E4)</f>
        <v>82.14</v>
      </c>
      <c r="F24" s="1">
        <f>IF('US Portfolio'!F4="","",'US Portfolio'!F4)</f>
        <v>-1.49</v>
      </c>
      <c r="G24" s="1">
        <f>IF('US Portfolio'!G4="","",'US Portfolio'!G4)</f>
        <v>-4.47</v>
      </c>
      <c r="H24" s="1">
        <f>IF('US Portfolio'!H4="","",'US Portfolio'!H4)</f>
        <v>140.28360000000001</v>
      </c>
      <c r="I24" s="1">
        <f>IF('US Portfolio'!I4="","",'US Portfolio'!I4)</f>
        <v>246.42000000000002</v>
      </c>
      <c r="J24" s="1">
        <f>IF('US Portfolio'!J4="","",'US Portfolio'!J4)</f>
        <v>106.13640000000001</v>
      </c>
      <c r="K24" s="1">
        <f>IF('US Portfolio'!K4="","",'US Portfolio'!K4)</f>
        <v>0</v>
      </c>
      <c r="L24" s="1" t="str">
        <f>IF('US Portfolio'!L4="","",'US Portfolio'!L4)</f>
        <v/>
      </c>
    </row>
    <row r="25" spans="1:12" x14ac:dyDescent="0.3">
      <c r="A25" s="1" t="str">
        <f>IF('US Portfolio'!A5="","",'US Portfolio'!A5)</f>
        <v>ARKK</v>
      </c>
      <c r="B25" s="1" t="e" vm="4">
        <f>IF('US Portfolio'!B5="","",'US Portfolio'!B5)</f>
        <v>#VALUE!</v>
      </c>
      <c r="C25" s="1">
        <f>IF('US Portfolio'!C5="","",'US Portfolio'!C5)</f>
        <v>2</v>
      </c>
      <c r="D25" s="1">
        <f>IF('US Portfolio'!D5="","",'US Portfolio'!D5)</f>
        <v>74.001900000000006</v>
      </c>
      <c r="E25" s="1">
        <f>IF('US Portfolio'!E5="","",'US Portfolio'!E5)</f>
        <v>120.1</v>
      </c>
      <c r="F25" s="1">
        <f>IF('US Portfolio'!F5="","",'US Portfolio'!F5)</f>
        <v>-1.75</v>
      </c>
      <c r="G25" s="1">
        <f>IF('US Portfolio'!G5="","",'US Portfolio'!G5)</f>
        <v>-3.5</v>
      </c>
      <c r="H25" s="1">
        <f>IF('US Portfolio'!H5="","",'US Portfolio'!H5)</f>
        <v>148.00380000000001</v>
      </c>
      <c r="I25" s="1">
        <f>IF('US Portfolio'!I5="","",'US Portfolio'!I5)</f>
        <v>240.2</v>
      </c>
      <c r="J25" s="1">
        <f>IF('US Portfolio'!J5="","",'US Portfolio'!J5)</f>
        <v>92.196199999999976</v>
      </c>
      <c r="K25" s="1">
        <f>IF('US Portfolio'!K5="","",'US Portfolio'!K5)</f>
        <v>0</v>
      </c>
      <c r="L25" s="1" t="str">
        <f>IF('US Portfolio'!L5="","",'US Portfolio'!L5)</f>
        <v/>
      </c>
    </row>
    <row r="26" spans="1:12" x14ac:dyDescent="0.3">
      <c r="A26" s="1" t="str">
        <f>IF('US Portfolio'!A6="","",'US Portfolio'!A6)</f>
        <v>GOOGL</v>
      </c>
      <c r="B26" s="1" t="e" vm="5">
        <f>IF('US Portfolio'!B6="","",'US Portfolio'!B6)</f>
        <v>#VALUE!</v>
      </c>
      <c r="C26" s="1">
        <f>IF('US Portfolio'!C6="","",'US Portfolio'!C6)</f>
        <v>1</v>
      </c>
      <c r="D26" s="1">
        <f>IF('US Portfolio'!D6="","",'US Portfolio'!D6)</f>
        <v>434.30689999999993</v>
      </c>
      <c r="E26" s="1">
        <f>IF('US Portfolio'!E6="","",'US Portfolio'!E6)</f>
        <v>2754.55</v>
      </c>
      <c r="F26" s="1">
        <f>IF('US Portfolio'!F6="","",'US Portfolio'!F6)</f>
        <v>10.67</v>
      </c>
      <c r="G26" s="1">
        <f>IF('US Portfolio'!G6="","",'US Portfolio'!G6)</f>
        <v>10.67</v>
      </c>
      <c r="H26" s="1">
        <f>IF('US Portfolio'!H6="","",'US Portfolio'!H6)</f>
        <v>434.30689999999993</v>
      </c>
      <c r="I26" s="1">
        <f>IF('US Portfolio'!I6="","",'US Portfolio'!I6)</f>
        <v>2754.55</v>
      </c>
      <c r="J26" s="1">
        <f>IF('US Portfolio'!J6="","",'US Portfolio'!J6)</f>
        <v>2320.2431000000001</v>
      </c>
      <c r="K26" s="1">
        <f>IF('US Portfolio'!K6="","",'US Portfolio'!K6)</f>
        <v>0</v>
      </c>
      <c r="L26" s="1" t="str">
        <f>IF('US Portfolio'!L6="","",'US Portfolio'!L6)</f>
        <v/>
      </c>
    </row>
    <row r="27" spans="1:12" x14ac:dyDescent="0.3">
      <c r="A27" s="1" t="str">
        <f>IF('US Portfolio'!A7="","",'US Portfolio'!A7)</f>
        <v>ICLN</v>
      </c>
      <c r="B27" s="1" t="e" vm="6">
        <f>IF('US Portfolio'!B7="","",'US Portfolio'!B7)</f>
        <v>#VALUE!</v>
      </c>
      <c r="C27" s="1">
        <f>IF('US Portfolio'!C7="","",'US Portfolio'!C7)</f>
        <v>10</v>
      </c>
      <c r="D27" s="1">
        <f>IF('US Portfolio'!D7="","",'US Portfolio'!D7)</f>
        <v>16.957750000000001</v>
      </c>
      <c r="E27" s="1">
        <f>IF('US Portfolio'!E7="","",'US Portfolio'!E7)</f>
        <v>22.6</v>
      </c>
      <c r="F27" s="1">
        <f>IF('US Portfolio'!F7="","",'US Portfolio'!F7)</f>
        <v>-0.22</v>
      </c>
      <c r="G27" s="1">
        <f>IF('US Portfolio'!G7="","",'US Portfolio'!G7)</f>
        <v>-2.2000000000000002</v>
      </c>
      <c r="H27" s="1">
        <f>IF('US Portfolio'!H7="","",'US Portfolio'!H7)</f>
        <v>169.57750000000001</v>
      </c>
      <c r="I27" s="1">
        <f>IF('US Portfolio'!I7="","",'US Portfolio'!I7)</f>
        <v>226</v>
      </c>
      <c r="J27" s="1">
        <f>IF('US Portfolio'!J7="","",'US Portfolio'!J7)</f>
        <v>56.422499999999985</v>
      </c>
      <c r="K27" s="1">
        <f>IF('US Portfolio'!K7="","",'US Portfolio'!K7)</f>
        <v>0</v>
      </c>
      <c r="L27" s="1" t="str">
        <f>IF('US Portfolio'!L7="","",'US Portfolio'!L7)</f>
        <v/>
      </c>
    </row>
    <row r="28" spans="1:12" x14ac:dyDescent="0.3">
      <c r="A28" s="1" t="str">
        <f>IF('US Portfolio'!A8="","",'US Portfolio'!A8)</f>
        <v>MSFT</v>
      </c>
      <c r="B28" s="1" t="e" vm="7">
        <f>IF('US Portfolio'!B8="","",'US Portfolio'!B8)</f>
        <v>#VALUE!</v>
      </c>
      <c r="C28" s="1">
        <f>IF('US Portfolio'!C8="","",'US Portfolio'!C8)</f>
        <v>3</v>
      </c>
      <c r="D28" s="1">
        <f>IF('US Portfolio'!D8="","",'US Portfolio'!D8)</f>
        <v>135.01739999999998</v>
      </c>
      <c r="E28" s="1">
        <f>IF('US Portfolio'!E8="","",'US Portfolio'!E8)</f>
        <v>292.85000000000002</v>
      </c>
      <c r="F28" s="1">
        <f>IF('US Portfolio'!F8="","",'US Portfolio'!F8)</f>
        <v>3.04</v>
      </c>
      <c r="G28" s="1">
        <f>IF('US Portfolio'!G8="","",'US Portfolio'!G8)</f>
        <v>9.120000000000001</v>
      </c>
      <c r="H28" s="1">
        <f>IF('US Portfolio'!H8="","",'US Portfolio'!H8)</f>
        <v>405.05219999999997</v>
      </c>
      <c r="I28" s="1">
        <f>IF('US Portfolio'!I8="","",'US Portfolio'!I8)</f>
        <v>878.55000000000007</v>
      </c>
      <c r="J28" s="1">
        <f>IF('US Portfolio'!J8="","",'US Portfolio'!J8)</f>
        <v>473.4978000000001</v>
      </c>
      <c r="K28" s="1">
        <f>IF('US Portfolio'!K8="","",'US Portfolio'!K8)</f>
        <v>0</v>
      </c>
      <c r="L28" s="1" t="str">
        <f>IF('US Portfolio'!L8="","",'US Portfolio'!L8)</f>
        <v/>
      </c>
    </row>
    <row r="29" spans="1:12" x14ac:dyDescent="0.3">
      <c r="A29" s="1" t="str">
        <f>IF('US Portfolio'!A9="","",'US Portfolio'!A9)</f>
        <v>SQ</v>
      </c>
      <c r="B29" s="1" t="e" vm="8">
        <f>IF('US Portfolio'!B9="","",'US Portfolio'!B9)</f>
        <v>#VALUE!</v>
      </c>
      <c r="C29" s="1">
        <f>IF('US Portfolio'!C9="","",'US Portfolio'!C9)</f>
        <v>3</v>
      </c>
      <c r="D29" s="1">
        <f>IF('US Portfolio'!D9="","",'US Portfolio'!D9)</f>
        <v>100.20876666666668</v>
      </c>
      <c r="E29" s="1">
        <f>IF('US Portfolio'!E9="","",'US Portfolio'!E9)</f>
        <v>267.88</v>
      </c>
      <c r="F29" s="1">
        <f>IF('US Portfolio'!F9="","",'US Portfolio'!F9)</f>
        <v>-0.71</v>
      </c>
      <c r="G29" s="1">
        <f>IF('US Portfolio'!G9="","",'US Portfolio'!G9)</f>
        <v>-2.13</v>
      </c>
      <c r="H29" s="1">
        <f>IF('US Portfolio'!H9="","",'US Portfolio'!H9)</f>
        <v>300.62630000000001</v>
      </c>
      <c r="I29" s="1">
        <f>IF('US Portfolio'!I9="","",'US Portfolio'!I9)</f>
        <v>803.64</v>
      </c>
      <c r="J29" s="1">
        <f>IF('US Portfolio'!J9="","",'US Portfolio'!J9)</f>
        <v>503.01369999999997</v>
      </c>
      <c r="K29" s="1">
        <f>IF('US Portfolio'!K9="","",'US Portfolio'!K9)</f>
        <v>0</v>
      </c>
      <c r="L29" s="1" t="str">
        <f>IF('US Portfolio'!L9="","",'US Portfolio'!L9)</f>
        <v/>
      </c>
    </row>
    <row r="30" spans="1:12" x14ac:dyDescent="0.3">
      <c r="A30" s="1" t="str">
        <f>IF('US Portfolio'!A10="","",'US Portfolio'!A10)</f>
        <v>XLF</v>
      </c>
      <c r="B30" s="1" t="e" vm="9">
        <f>IF('US Portfolio'!B10="","",'US Portfolio'!B10)</f>
        <v>#VALUE!</v>
      </c>
      <c r="C30" s="1">
        <f>IF('US Portfolio'!C10="","",'US Portfolio'!C10)</f>
        <v>10</v>
      </c>
      <c r="D30" s="1">
        <f>IF('US Portfolio'!D10="","",'US Portfolio'!D10)</f>
        <v>29.017000000000003</v>
      </c>
      <c r="E30" s="1">
        <f>IF('US Portfolio'!E10="","",'US Portfolio'!E10)</f>
        <v>38.58</v>
      </c>
      <c r="F30" s="1">
        <f>IF('US Portfolio'!F10="","",'US Portfolio'!F10)</f>
        <v>-0.28999999999999998</v>
      </c>
      <c r="G30" s="1">
        <f>IF('US Portfolio'!G10="","",'US Portfolio'!G10)</f>
        <v>-2.9</v>
      </c>
      <c r="H30" s="1">
        <f>IF('US Portfolio'!H10="","",'US Portfolio'!H10)</f>
        <v>290.17</v>
      </c>
      <c r="I30" s="1">
        <f>IF('US Portfolio'!I10="","",'US Portfolio'!I10)</f>
        <v>385.79999999999995</v>
      </c>
      <c r="J30" s="1">
        <f>IF('US Portfolio'!J10="","",'US Portfolio'!J10)</f>
        <v>95.629999999999939</v>
      </c>
      <c r="K30" s="1">
        <f>IF('US Portfolio'!K10="","",'US Portfolio'!K10)</f>
        <v>0</v>
      </c>
      <c r="L30" s="1" t="str">
        <f>IF('US Portfolio'!L10="","",'US Portfolio'!L10)</f>
        <v/>
      </c>
    </row>
    <row r="31" spans="1:12" x14ac:dyDescent="0.3">
      <c r="A31" s="1" t="str">
        <f>IF('US Portfolio'!A11="","",'US Portfolio'!A11)</f>
        <v/>
      </c>
      <c r="B31" s="1" t="str">
        <f>IF('US Portfolio'!B11="","",'US Portfolio'!B11)</f>
        <v/>
      </c>
      <c r="C31" s="1" t="str">
        <f>IF('US Portfolio'!C11="","",'US Portfolio'!C11)</f>
        <v/>
      </c>
      <c r="D31" s="1" t="str">
        <f>IF('US Portfolio'!D11="","",'US Portfolio'!D11)</f>
        <v/>
      </c>
      <c r="E31" s="1" t="str">
        <f>IF('US Portfolio'!E11="","",'US Portfolio'!E11)</f>
        <v/>
      </c>
      <c r="F31" s="1" t="str">
        <f>IF('US Portfolio'!F11="","",'US Portfolio'!F11)</f>
        <v/>
      </c>
      <c r="G31" s="1" t="str">
        <f>IF('US Portfolio'!G11="","",'US Portfolio'!G11)</f>
        <v/>
      </c>
      <c r="H31" s="1" t="str">
        <f>IF('US Portfolio'!H11="","",'US Portfolio'!H11)</f>
        <v/>
      </c>
      <c r="I31" s="1" t="str">
        <f>IF('US Portfolio'!I11="","",'US Portfolio'!I11)</f>
        <v/>
      </c>
      <c r="J31" s="1" t="str">
        <f>IF('US Portfolio'!J11="","",'US Portfolio'!J11)</f>
        <v/>
      </c>
      <c r="K31" s="1" t="str">
        <f>IF('US Portfolio'!K11="","",'US Portfolio'!K11)</f>
        <v/>
      </c>
      <c r="L31" s="1" t="str">
        <f>IF('US Portfolio'!L11="","",'US Portfolio'!L11)</f>
        <v/>
      </c>
    </row>
    <row r="32" spans="1:12" x14ac:dyDescent="0.3">
      <c r="A32" s="1" t="str">
        <f>IF('US Portfolio'!A12="","",'US Portfolio'!A12)</f>
        <v/>
      </c>
      <c r="B32" s="1" t="str">
        <f>IF('US Portfolio'!B12="","",'US Portfolio'!B12)</f>
        <v/>
      </c>
      <c r="C32" s="1" t="str">
        <f>IF('US Portfolio'!C12="","",'US Portfolio'!C12)</f>
        <v/>
      </c>
      <c r="D32" s="1" t="str">
        <f>IF('US Portfolio'!D12="","",'US Portfolio'!D12)</f>
        <v/>
      </c>
      <c r="E32" s="1" t="str">
        <f>IF('US Portfolio'!E12="","",'US Portfolio'!E12)</f>
        <v/>
      </c>
      <c r="F32" s="1" t="str">
        <f>IF('US Portfolio'!F12="","",'US Portfolio'!F12)</f>
        <v/>
      </c>
      <c r="G32" s="1" t="str">
        <f>IF('US Portfolio'!G12="","",'US Portfolio'!G12)</f>
        <v/>
      </c>
      <c r="H32" s="1" t="str">
        <f>IF('US Portfolio'!H12="","",'US Portfolio'!H12)</f>
        <v/>
      </c>
      <c r="I32" s="1" t="str">
        <f>IF('US Portfolio'!I12="","",'US Portfolio'!I12)</f>
        <v/>
      </c>
      <c r="J32" s="1" t="str">
        <f>IF('US Portfolio'!J12="","",'US Portfolio'!J12)</f>
        <v/>
      </c>
      <c r="K32" s="1" t="str">
        <f>IF('US Portfolio'!K12="","",'US Portfolio'!K12)</f>
        <v/>
      </c>
      <c r="L32" s="1" t="str">
        <f>IF('US Portfolio'!L12="","",'US Portfolio'!L12)</f>
        <v/>
      </c>
    </row>
    <row r="33" spans="1:15" x14ac:dyDescent="0.3">
      <c r="A33" s="1" t="str">
        <f>IF('US Portfolio'!A13="","",'US Portfolio'!A13)</f>
        <v/>
      </c>
      <c r="B33" s="1" t="str">
        <f>IF('US Portfolio'!B13="","",'US Portfolio'!B13)</f>
        <v/>
      </c>
      <c r="C33" s="1" t="str">
        <f>IF('US Portfolio'!C13="","",'US Portfolio'!C13)</f>
        <v/>
      </c>
      <c r="D33" s="1" t="str">
        <f>IF('US Portfolio'!D13="","",'US Portfolio'!D13)</f>
        <v/>
      </c>
      <c r="E33" s="1" t="str">
        <f>IF('US Portfolio'!E13="","",'US Portfolio'!E13)</f>
        <v/>
      </c>
      <c r="F33" s="1" t="str">
        <f>IF('US Portfolio'!F13="","",'US Portfolio'!F13)</f>
        <v/>
      </c>
      <c r="G33" s="1" t="str">
        <f>IF('US Portfolio'!G13="","",'US Portfolio'!G13)</f>
        <v/>
      </c>
      <c r="H33" s="1" t="str">
        <f>IF('US Portfolio'!H13="","",'US Portfolio'!H13)</f>
        <v/>
      </c>
      <c r="I33" s="1" t="str">
        <f>IF('US Portfolio'!I13="","",'US Portfolio'!I13)</f>
        <v/>
      </c>
      <c r="J33" s="1" t="str">
        <f>IF('US Portfolio'!J13="","",'US Portfolio'!J13)</f>
        <v/>
      </c>
      <c r="K33" s="1" t="str">
        <f>IF('US Portfolio'!K13="","",'US Portfolio'!K13)</f>
        <v/>
      </c>
      <c r="L33" s="1" t="str">
        <f>IF('US Portfolio'!L13="","",'US Portfolio'!L13)</f>
        <v/>
      </c>
    </row>
    <row r="34" spans="1:15" x14ac:dyDescent="0.3">
      <c r="A34" s="1" t="str">
        <f>IF('US Portfolio'!A14="","",'US Portfolio'!A14)</f>
        <v/>
      </c>
      <c r="B34" s="1" t="str">
        <f>IF('US Portfolio'!B14="","",'US Portfolio'!B14)</f>
        <v/>
      </c>
      <c r="C34" s="1" t="str">
        <f>IF('US Portfolio'!C14="","",'US Portfolio'!C14)</f>
        <v/>
      </c>
      <c r="D34" s="1" t="str">
        <f>IF('US Portfolio'!D14="","",'US Portfolio'!D14)</f>
        <v/>
      </c>
      <c r="E34" s="1" t="str">
        <f>IF('US Portfolio'!E14="","",'US Portfolio'!E14)</f>
        <v/>
      </c>
      <c r="F34" s="1" t="str">
        <f>IF('US Portfolio'!F14="","",'US Portfolio'!F14)</f>
        <v/>
      </c>
      <c r="G34" s="1" t="str">
        <f>IF('US Portfolio'!G14="","",'US Portfolio'!G14)</f>
        <v/>
      </c>
      <c r="H34" s="1" t="str">
        <f>IF('US Portfolio'!H14="","",'US Portfolio'!H14)</f>
        <v/>
      </c>
      <c r="I34" s="1" t="str">
        <f>IF('US Portfolio'!I14="","",'US Portfolio'!I14)</f>
        <v/>
      </c>
      <c r="J34" s="1" t="str">
        <f>IF('US Portfolio'!J14="","",'US Portfolio'!J14)</f>
        <v/>
      </c>
      <c r="K34" s="1" t="str">
        <f>IF('US Portfolio'!K14="","",'US Portfolio'!K14)</f>
        <v/>
      </c>
      <c r="L34" s="1" t="str">
        <f>IF('US Portfolio'!L14="","",'US Portfolio'!L14)</f>
        <v/>
      </c>
    </row>
    <row r="35" spans="1:15" x14ac:dyDescent="0.3">
      <c r="A35" s="1" t="str">
        <f>IF('US Portfolio'!A15="","",'US Portfolio'!A15)</f>
        <v/>
      </c>
      <c r="B35" s="1" t="str">
        <f>IF('US Portfolio'!B15="","",'US Portfolio'!B15)</f>
        <v/>
      </c>
      <c r="C35" s="1" t="str">
        <f>IF('US Portfolio'!C15="","",'US Portfolio'!C15)</f>
        <v/>
      </c>
      <c r="D35" s="1" t="str">
        <f>IF('US Portfolio'!D15="","",'US Portfolio'!D15)</f>
        <v/>
      </c>
      <c r="E35" s="1" t="str">
        <f>IF('US Portfolio'!E15="","",'US Portfolio'!E15)</f>
        <v/>
      </c>
      <c r="F35" s="1" t="str">
        <f>IF('US Portfolio'!F15="","",'US Portfolio'!F15)</f>
        <v/>
      </c>
      <c r="G35" s="1" t="str">
        <f>IF('US Portfolio'!G15="","",'US Portfolio'!G15)</f>
        <v/>
      </c>
      <c r="H35" s="1" t="str">
        <f>IF('US Portfolio'!H15="","",'US Portfolio'!H15)</f>
        <v/>
      </c>
      <c r="I35" s="1" t="str">
        <f>IF('US Portfolio'!I15="","",'US Portfolio'!I15)</f>
        <v/>
      </c>
      <c r="J35" s="1" t="str">
        <f>IF('US Portfolio'!J15="","",'US Portfolio'!J15)</f>
        <v/>
      </c>
      <c r="K35" s="1" t="str">
        <f>IF('US Portfolio'!K15="","",'US Portfolio'!K15)</f>
        <v/>
      </c>
      <c r="L35" s="1" t="str">
        <f>IF('US Portfolio'!L15="","",'US Portfolio'!L15)</f>
        <v/>
      </c>
    </row>
    <row r="36" spans="1:15" x14ac:dyDescent="0.3">
      <c r="A36" s="1" t="str">
        <f>IF('US Portfolio'!A16="","",'US Portfolio'!A16)</f>
        <v/>
      </c>
      <c r="B36" s="1" t="str">
        <f>IF('US Portfolio'!B16="","",'US Portfolio'!B16)</f>
        <v/>
      </c>
      <c r="C36" s="1" t="str">
        <f>IF('US Portfolio'!C16="","",'US Portfolio'!C16)</f>
        <v/>
      </c>
      <c r="D36" s="1" t="str">
        <f>IF('US Portfolio'!D16="","",'US Portfolio'!D16)</f>
        <v/>
      </c>
      <c r="E36" s="1" t="str">
        <f>IF('US Portfolio'!E16="","",'US Portfolio'!E16)</f>
        <v/>
      </c>
      <c r="F36" s="1" t="str">
        <f>IF('US Portfolio'!F16="","",'US Portfolio'!F16)</f>
        <v/>
      </c>
      <c r="G36" s="1" t="str">
        <f>IF('US Portfolio'!G16="","",'US Portfolio'!G16)</f>
        <v/>
      </c>
      <c r="H36" s="1" t="str">
        <f>IF('US Portfolio'!H16="","",'US Portfolio'!H16)</f>
        <v/>
      </c>
      <c r="I36" s="1" t="str">
        <f>IF('US Portfolio'!I16="","",'US Portfolio'!I16)</f>
        <v/>
      </c>
      <c r="J36" s="1" t="str">
        <f>IF('US Portfolio'!J16="","",'US Portfolio'!J16)</f>
        <v/>
      </c>
      <c r="K36" s="1" t="str">
        <f>IF('US Portfolio'!K16="","",'US Portfolio'!K16)</f>
        <v/>
      </c>
      <c r="L36" s="1" t="str">
        <f>IF('US Portfolio'!L16="","",'US Portfolio'!L16)</f>
        <v/>
      </c>
    </row>
    <row r="37" spans="1:15" x14ac:dyDescent="0.3">
      <c r="A37" s="1" t="str">
        <f>IF('US Portfolio'!A17="","",'US Portfolio'!A17)</f>
        <v/>
      </c>
      <c r="B37" s="1" t="str">
        <f>IF('US Portfolio'!B17="","",'US Portfolio'!B17)</f>
        <v/>
      </c>
      <c r="C37" s="1" t="str">
        <f>IF('US Portfolio'!C17="","",'US Portfolio'!C17)</f>
        <v/>
      </c>
      <c r="D37" s="1" t="str">
        <f>IF('US Portfolio'!D17="","",'US Portfolio'!D17)</f>
        <v/>
      </c>
      <c r="E37" s="1" t="str">
        <f>IF('US Portfolio'!E17="","",'US Portfolio'!E17)</f>
        <v/>
      </c>
      <c r="F37" s="1" t="str">
        <f>IF('US Portfolio'!F17="","",'US Portfolio'!F17)</f>
        <v/>
      </c>
      <c r="G37" s="1" t="str">
        <f>IF('US Portfolio'!G17="","",'US Portfolio'!G17)</f>
        <v/>
      </c>
      <c r="H37" s="1" t="str">
        <f>IF('US Portfolio'!H17="","",'US Portfolio'!H17)</f>
        <v/>
      </c>
      <c r="I37" s="1" t="str">
        <f>IF('US Portfolio'!I17="","",'US Portfolio'!I17)</f>
        <v/>
      </c>
      <c r="J37" s="1" t="str">
        <f>IF('US Portfolio'!J17="","",'US Portfolio'!J17)</f>
        <v/>
      </c>
      <c r="K37" s="1" t="str">
        <f>IF('US Portfolio'!K17="","",'US Portfolio'!K17)</f>
        <v/>
      </c>
      <c r="L37" s="1" t="str">
        <f>IF('US Portfolio'!L17="","",'US Portfolio'!L17)</f>
        <v/>
      </c>
    </row>
    <row r="38" spans="1:15" x14ac:dyDescent="0.3">
      <c r="A38" s="1" t="str">
        <f>IF('AUS Margin Portfolio'!A2="","",'AUS Margin Portfolio'!A2)</f>
        <v>IOZ</v>
      </c>
      <c r="B38" s="1" t="e" vm="10">
        <f>IF('AUS Margin Portfolio'!B2="","",'AUS Margin Portfolio'!B2)</f>
        <v>#VALUE!</v>
      </c>
      <c r="C38" s="1">
        <f>IF('AUS Margin Portfolio'!C2="","",'AUS Margin Portfolio'!C2)</f>
        <v>75</v>
      </c>
      <c r="D38" s="1">
        <f>IF('AUS Margin Portfolio'!D2="","",'AUS Margin Portfolio'!D2)</f>
        <v>22.373066666666666</v>
      </c>
      <c r="E38" s="1">
        <f>IF('AUS Margin Portfolio'!E2="","",'AUS Margin Portfolio'!E2)</f>
        <v>31.31</v>
      </c>
      <c r="F38" s="1">
        <f>IF('AUS Margin Portfolio'!F2="","",'AUS Margin Portfolio'!F2)</f>
        <v>0.19</v>
      </c>
      <c r="G38" s="1">
        <f>IF('AUS Margin Portfolio'!G2="","",'AUS Margin Portfolio'!G2)</f>
        <v>14.25</v>
      </c>
      <c r="H38" s="1">
        <f>IF('AUS Margin Portfolio'!H2="","",'AUS Margin Portfolio'!H2)</f>
        <v>1667.98</v>
      </c>
      <c r="I38" s="1">
        <f>IF('AUS Margin Portfolio'!I2="","",'AUS Margin Portfolio'!I2)</f>
        <v>2348.25</v>
      </c>
      <c r="J38" s="1">
        <f>IF('AUS Margin Portfolio'!L2="","",'AUS Margin Portfolio'!L2)</f>
        <v>680.27</v>
      </c>
      <c r="K38" s="1">
        <f>IF('AUS Margin Portfolio'!M2="","",'AUS Margin Portfolio'!M2)</f>
        <v>0</v>
      </c>
      <c r="O38" s="1" t="str">
        <f>IF('AUS Margin Portfolio'!O2="","",'AUS Margin Portfolio'!O2)</f>
        <v/>
      </c>
    </row>
    <row r="39" spans="1:15" x14ac:dyDescent="0.3">
      <c r="A39" s="1" t="str">
        <f>IF('AUS Margin Portfolio'!A3="","",'AUS Margin Portfolio'!A3)</f>
        <v>VEU</v>
      </c>
      <c r="B39" s="1" t="e" vm="11">
        <f>IF('AUS Margin Portfolio'!B3="","",'AUS Margin Portfolio'!B3)</f>
        <v>#VALUE!</v>
      </c>
      <c r="C39" s="1">
        <f>IF('AUS Margin Portfolio'!C3="","",'AUS Margin Portfolio'!C3)</f>
        <v>15</v>
      </c>
      <c r="D39" s="1">
        <f>IF('AUS Margin Portfolio'!D3="","",'AUS Margin Portfolio'!D3)</f>
        <v>68.226666666666659</v>
      </c>
      <c r="E39" s="1">
        <f>IF('AUS Margin Portfolio'!E3="","",'AUS Margin Portfolio'!E3)</f>
        <v>86.14</v>
      </c>
      <c r="F39" s="1">
        <f>IF('AUS Margin Portfolio'!F3="","",'AUS Margin Portfolio'!F3)</f>
        <v>0.04</v>
      </c>
      <c r="G39" s="1">
        <f>IF('AUS Margin Portfolio'!G3="","",'AUS Margin Portfolio'!G3)</f>
        <v>0.6</v>
      </c>
      <c r="H39" s="1">
        <f>IF('AUS Margin Portfolio'!H3="","",'AUS Margin Portfolio'!H3)</f>
        <v>1013.4</v>
      </c>
      <c r="I39" s="1">
        <f>IF('AUS Margin Portfolio'!I3="","",'AUS Margin Portfolio'!I3)</f>
        <v>1292.0999999999999</v>
      </c>
      <c r="J39" s="1">
        <f>IF('AUS Margin Portfolio'!L3="","",'AUS Margin Portfolio'!L3)</f>
        <v>278.69999999999993</v>
      </c>
      <c r="K39" s="1">
        <f>IF('AUS Margin Portfolio'!M3="","",'AUS Margin Portfolio'!M3)</f>
        <v>0</v>
      </c>
      <c r="O39" s="1" t="str">
        <f>IF('AUS Margin Portfolio'!O3="","",'AUS Margin Portfolio'!O3)</f>
        <v/>
      </c>
    </row>
    <row r="40" spans="1:15" x14ac:dyDescent="0.3">
      <c r="A40" s="1" t="str">
        <f>IF('AUS Margin Portfolio'!A4="","",'AUS Margin Portfolio'!A4)</f>
        <v>VDHG</v>
      </c>
      <c r="B40" s="1" t="e" vm="12">
        <f>IF('AUS Margin Portfolio'!B4="","",'AUS Margin Portfolio'!B4)</f>
        <v>#VALUE!</v>
      </c>
      <c r="C40" s="1">
        <f>IF('AUS Margin Portfolio'!C4="","",'AUS Margin Portfolio'!C4)</f>
        <v>40</v>
      </c>
      <c r="D40" s="1">
        <f>IF('AUS Margin Portfolio'!D4="","",'AUS Margin Portfolio'!D4)</f>
        <v>49.84075</v>
      </c>
      <c r="E40" s="1">
        <f>IF('AUS Margin Portfolio'!E4="","",'AUS Margin Portfolio'!E4)</f>
        <v>61.79</v>
      </c>
      <c r="F40" s="1">
        <f>IF('AUS Margin Portfolio'!F4="","",'AUS Margin Portfolio'!F4)</f>
        <v>0.17</v>
      </c>
      <c r="G40" s="1">
        <f>IF('AUS Margin Portfolio'!G4="","",'AUS Margin Portfolio'!G4)</f>
        <v>6.8000000000000007</v>
      </c>
      <c r="H40" s="1">
        <f>IF('AUS Margin Portfolio'!H4="","",'AUS Margin Portfolio'!H4)</f>
        <v>1983.63</v>
      </c>
      <c r="I40" s="1">
        <f>IF('AUS Margin Portfolio'!I4="","",'AUS Margin Portfolio'!I4)</f>
        <v>2471.6</v>
      </c>
      <c r="J40" s="1">
        <f>IF('AUS Margin Portfolio'!L4="","",'AUS Margin Portfolio'!L4)</f>
        <v>487.9699999999998</v>
      </c>
      <c r="K40" s="1">
        <f>IF('AUS Margin Portfolio'!M4="","",'AUS Margin Portfolio'!M4)</f>
        <v>0</v>
      </c>
      <c r="O40" s="1" t="str">
        <f>IF('AUS Margin Portfolio'!O4="","",'AUS Margin Portfolio'!O4)</f>
        <v/>
      </c>
    </row>
    <row r="41" spans="1:15" x14ac:dyDescent="0.3">
      <c r="A41" s="1" t="str">
        <f>IF('AUS Margin Portfolio'!A5="","",'AUS Margin Portfolio'!A5)</f>
        <v>VHY</v>
      </c>
      <c r="B41" s="1" t="e" vm="13">
        <f>IF('AUS Margin Portfolio'!B5="","",'AUS Margin Portfolio'!B5)</f>
        <v>#VALUE!</v>
      </c>
      <c r="C41" s="1">
        <f>IF('AUS Margin Portfolio'!C5="","",'AUS Margin Portfolio'!C5)</f>
        <v>33</v>
      </c>
      <c r="D41" s="1">
        <f>IF('AUS Margin Portfolio'!D5="","",'AUS Margin Portfolio'!D5)</f>
        <v>61.348484848484851</v>
      </c>
      <c r="E41" s="1">
        <f>IF('AUS Margin Portfolio'!E5="","",'AUS Margin Portfolio'!E5)</f>
        <v>69.319999999999993</v>
      </c>
      <c r="F41" s="1">
        <f>IF('AUS Margin Portfolio'!F5="","",'AUS Margin Portfolio'!F5)</f>
        <v>0.37</v>
      </c>
      <c r="G41" s="1">
        <f>IF('AUS Margin Portfolio'!G5="","",'AUS Margin Portfolio'!G5)</f>
        <v>12.209999999999999</v>
      </c>
      <c r="H41" s="1">
        <f>IF('AUS Margin Portfolio'!H5="","",'AUS Margin Portfolio'!H5)</f>
        <v>2014.5</v>
      </c>
      <c r="I41" s="1">
        <f>IF('AUS Margin Portfolio'!I5="","",'AUS Margin Portfolio'!I5)</f>
        <v>2287.56</v>
      </c>
      <c r="J41" s="1">
        <f>IF('AUS Margin Portfolio'!L5="","",'AUS Margin Portfolio'!L5)</f>
        <v>273.05999999999995</v>
      </c>
      <c r="K41" s="1">
        <f>IF('AUS Margin Portfolio'!M5="","",'AUS Margin Portfolio'!M5)</f>
        <v>0</v>
      </c>
      <c r="O41" s="1" t="str">
        <f>IF('AUS Margin Portfolio'!O5="","",'AUS Margin Portfolio'!O5)</f>
        <v/>
      </c>
    </row>
    <row r="42" spans="1:15" x14ac:dyDescent="0.3">
      <c r="A42" s="1" t="str">
        <f>IF('AUS Margin Portfolio'!A6="","",'AUS Margin Portfolio'!A6)</f>
        <v>ETHI</v>
      </c>
      <c r="B42" s="1" t="e" vm="14">
        <f>IF('AUS Margin Portfolio'!B6="","",'AUS Margin Portfolio'!B6)</f>
        <v>#VALUE!</v>
      </c>
      <c r="C42" s="1">
        <f>IF('AUS Margin Portfolio'!C6="","",'AUS Margin Portfolio'!C6)</f>
        <v>300</v>
      </c>
      <c r="D42" s="1">
        <f>IF('AUS Margin Portfolio'!D6="","",'AUS Margin Portfolio'!D6)</f>
        <v>10.846833333333334</v>
      </c>
      <c r="E42" s="1">
        <f>IF('AUS Margin Portfolio'!E6="","",'AUS Margin Portfolio'!E6)</f>
        <v>12.55</v>
      </c>
      <c r="F42" s="1">
        <f>IF('AUS Margin Portfolio'!F6="","",'AUS Margin Portfolio'!F6)</f>
        <v>7.0000000000000007E-2</v>
      </c>
      <c r="G42" s="1">
        <f>IF('AUS Margin Portfolio'!G6="","",'AUS Margin Portfolio'!G6)</f>
        <v>21.000000000000004</v>
      </c>
      <c r="H42" s="1">
        <f>IF('AUS Margin Portfolio'!H6="","",'AUS Margin Portfolio'!H6)</f>
        <v>3244.05</v>
      </c>
      <c r="I42" s="1">
        <f>IF('AUS Margin Portfolio'!I6="","",'AUS Margin Portfolio'!I6)</f>
        <v>3765</v>
      </c>
      <c r="J42" s="1">
        <f>IF('AUS Margin Portfolio'!L6="","",'AUS Margin Portfolio'!L6)</f>
        <v>520.94999999999982</v>
      </c>
      <c r="K42" s="1">
        <f>IF('AUS Margin Portfolio'!M6="","",'AUS Margin Portfolio'!M6)</f>
        <v>0</v>
      </c>
      <c r="O42" s="1" t="str">
        <f>IF('AUS Margin Portfolio'!O6="","",'AUS Margin Portfolio'!O6)</f>
        <v/>
      </c>
    </row>
    <row r="43" spans="1:15" x14ac:dyDescent="0.3">
      <c r="A43" s="1" t="str">
        <f>IF('AUS Margin Portfolio'!A7="","",'AUS Margin Portfolio'!A7)</f>
        <v/>
      </c>
      <c r="B43" s="1" t="str">
        <f>IF('AUS Margin Portfolio'!B7="","",'AUS Margin Portfolio'!B7)</f>
        <v/>
      </c>
      <c r="C43" s="1" t="str">
        <f>IF('AUS Margin Portfolio'!C7="","",'AUS Margin Portfolio'!C7)</f>
        <v/>
      </c>
      <c r="D43" s="1" t="str">
        <f>IF('AUS Margin Portfolio'!D7="","",'AUS Margin Portfolio'!D7)</f>
        <v/>
      </c>
      <c r="E43" s="1" t="str">
        <f>IF('AUS Margin Portfolio'!E7="","",'AUS Margin Portfolio'!E7)</f>
        <v/>
      </c>
      <c r="F43" s="1" t="str">
        <f>IF('AUS Margin Portfolio'!F7="","",'AUS Margin Portfolio'!F7)</f>
        <v/>
      </c>
      <c r="G43" s="1" t="str">
        <f>IF('AUS Margin Portfolio'!G7="","",'AUS Margin Portfolio'!G7)</f>
        <v/>
      </c>
      <c r="H43" s="1" t="str">
        <f>IF('AUS Margin Portfolio'!H7="","",'AUS Margin Portfolio'!H7)</f>
        <v/>
      </c>
      <c r="I43" s="1" t="str">
        <f>IF('AUS Margin Portfolio'!I7="","",'AUS Margin Portfolio'!I7)</f>
        <v/>
      </c>
      <c r="J43" s="1" t="str">
        <f>IF('AUS Margin Portfolio'!L7="","",'AUS Margin Portfolio'!L7)</f>
        <v/>
      </c>
      <c r="K43" s="1" t="str">
        <f>IF('AUS Margin Portfolio'!M7="","",'AUS Margin Portfolio'!M7)</f>
        <v/>
      </c>
      <c r="L43" s="1" t="str">
        <f>IF('AUS Margin Portfolio'!L7="","",'AUS Margin Portfolio'!L7)</f>
        <v/>
      </c>
      <c r="M43" s="1" t="str">
        <f>IF('AUS Margin Portfolio'!M7="","",'AUS Margin Portfolio'!M7)</f>
        <v/>
      </c>
      <c r="O43" s="1" t="str">
        <f>IF('AUS Margin Portfolio'!O7="","",'AUS Margin Portfolio'!O7)</f>
        <v/>
      </c>
    </row>
    <row r="44" spans="1:15" x14ac:dyDescent="0.3">
      <c r="J44" s="1" t="str">
        <f>IF('AUS Margin Portfolio'!L8="","",'AUS Margin Portfolio'!L8)</f>
        <v/>
      </c>
      <c r="K44" s="1" t="str">
        <f>IF('AUS Margin Portfolio'!M8="","",'AUS Margin Portfolio'!M8)</f>
        <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AA6B6-00AA-47B8-A35A-35A04A5EB9CC}">
  <sheetPr codeName="Sheet4"/>
  <dimension ref="A1:G17"/>
  <sheetViews>
    <sheetView workbookViewId="0">
      <selection activeCell="B8" sqref="B8"/>
    </sheetView>
  </sheetViews>
  <sheetFormatPr defaultColWidth="8.88671875" defaultRowHeight="14.4" x14ac:dyDescent="0.3"/>
  <cols>
    <col min="1" max="1" width="29" style="1" customWidth="1"/>
    <col min="2" max="2" width="19.5546875" style="1" customWidth="1"/>
    <col min="3" max="3" width="12.5546875" style="1" customWidth="1"/>
    <col min="4" max="4" width="12.44140625" style="1" customWidth="1"/>
    <col min="5" max="5" width="10.5546875" style="1" customWidth="1"/>
    <col min="6" max="6" width="8.88671875" style="1"/>
    <col min="7" max="7" width="11.109375" style="1" bestFit="1" customWidth="1"/>
    <col min="8" max="16384" width="8.88671875" style="1"/>
  </cols>
  <sheetData>
    <row r="1" spans="1:7" x14ac:dyDescent="0.3">
      <c r="A1" s="98" t="s">
        <v>17</v>
      </c>
      <c r="B1" s="98"/>
      <c r="C1" s="98"/>
      <c r="D1" s="98"/>
      <c r="E1" s="98"/>
      <c r="F1" s="98"/>
      <c r="G1" s="98"/>
    </row>
    <row r="2" spans="1:7" x14ac:dyDescent="0.3">
      <c r="A2" s="98"/>
      <c r="B2" s="98"/>
      <c r="C2" s="98"/>
      <c r="D2" s="98"/>
      <c r="E2" s="98"/>
      <c r="F2" s="98"/>
      <c r="G2" s="98"/>
    </row>
    <row r="3" spans="1:7" ht="18" x14ac:dyDescent="0.3">
      <c r="A3" s="2"/>
      <c r="B3" s="2"/>
      <c r="C3" s="2"/>
      <c r="D3" s="2"/>
      <c r="E3" s="2"/>
      <c r="F3" s="2"/>
      <c r="G3" s="2"/>
    </row>
    <row r="4" spans="1:7" x14ac:dyDescent="0.3">
      <c r="A4" s="1" t="s">
        <v>38</v>
      </c>
      <c r="B4" s="3">
        <v>12000</v>
      </c>
      <c r="D4" s="16" t="s">
        <v>41</v>
      </c>
    </row>
    <row r="5" spans="1:7" x14ac:dyDescent="0.3">
      <c r="A5" s="1" t="s">
        <v>23</v>
      </c>
      <c r="B5" s="3">
        <f>'Salary &amp; Spend'!B5</f>
        <v>500</v>
      </c>
      <c r="D5" s="1" t="s">
        <v>42</v>
      </c>
      <c r="E5" s="3">
        <v>9</v>
      </c>
    </row>
    <row r="6" spans="1:7" x14ac:dyDescent="0.3">
      <c r="D6" s="1" t="s">
        <v>43</v>
      </c>
      <c r="E6" s="17">
        <f>(0.28%/12)*B7</f>
        <v>3.5000000000000004</v>
      </c>
    </row>
    <row r="7" spans="1:7" x14ac:dyDescent="0.3">
      <c r="A7" s="1" t="s">
        <v>39</v>
      </c>
      <c r="B7" s="3">
        <v>15000</v>
      </c>
      <c r="E7" s="19" t="s">
        <v>44</v>
      </c>
    </row>
    <row r="8" spans="1:7" x14ac:dyDescent="0.3">
      <c r="A8" s="1" t="s">
        <v>40</v>
      </c>
      <c r="B8" s="4">
        <f>(B7-B4)/B4</f>
        <v>0.25</v>
      </c>
    </row>
    <row r="10" spans="1:7" ht="25.35" customHeight="1" x14ac:dyDescent="0.3">
      <c r="A10" s="99" t="s">
        <v>24</v>
      </c>
      <c r="B10" s="99"/>
      <c r="C10" s="99"/>
      <c r="D10" s="99"/>
      <c r="E10" s="5"/>
      <c r="F10" s="5"/>
      <c r="G10" s="5"/>
    </row>
    <row r="11" spans="1:7" x14ac:dyDescent="0.3">
      <c r="A11" s="6" t="s">
        <v>34</v>
      </c>
      <c r="B11" s="6" t="s">
        <v>35</v>
      </c>
      <c r="C11" s="6" t="s">
        <v>36</v>
      </c>
      <c r="D11" s="6" t="s">
        <v>37</v>
      </c>
      <c r="E11" s="6"/>
      <c r="F11" s="6"/>
      <c r="G11" s="6"/>
    </row>
    <row r="12" spans="1:7" x14ac:dyDescent="0.3">
      <c r="A12" s="1" t="s">
        <v>25</v>
      </c>
      <c r="B12" s="1" t="s">
        <v>31</v>
      </c>
      <c r="C12" s="7">
        <v>0.2</v>
      </c>
      <c r="D12" s="3">
        <f>$B$7*C12</f>
        <v>3000</v>
      </c>
      <c r="E12" s="8"/>
      <c r="F12" s="8"/>
      <c r="G12" s="8"/>
    </row>
    <row r="13" spans="1:7" x14ac:dyDescent="0.3">
      <c r="A13" s="1" t="s">
        <v>26</v>
      </c>
      <c r="B13" s="1" t="s">
        <v>32</v>
      </c>
      <c r="C13" s="7">
        <v>0.3</v>
      </c>
      <c r="D13" s="3">
        <f t="shared" ref="D13:D17" si="0">$B$7*C13</f>
        <v>4500</v>
      </c>
      <c r="E13" s="8"/>
      <c r="F13" s="8"/>
      <c r="G13" s="8"/>
    </row>
    <row r="14" spans="1:7" x14ac:dyDescent="0.3">
      <c r="A14" s="1" t="s">
        <v>27</v>
      </c>
      <c r="B14" s="1" t="s">
        <v>32</v>
      </c>
      <c r="C14" s="7">
        <v>0.3</v>
      </c>
      <c r="D14" s="3">
        <f t="shared" si="0"/>
        <v>4500</v>
      </c>
      <c r="E14" s="8"/>
      <c r="F14" s="8"/>
      <c r="G14" s="8"/>
    </row>
    <row r="15" spans="1:7" x14ac:dyDescent="0.3">
      <c r="A15" s="1" t="s">
        <v>28</v>
      </c>
      <c r="B15" s="1" t="s">
        <v>32</v>
      </c>
      <c r="C15" s="7">
        <v>0.05</v>
      </c>
      <c r="D15" s="3">
        <f t="shared" si="0"/>
        <v>750</v>
      </c>
      <c r="E15" s="8"/>
      <c r="F15" s="8"/>
      <c r="G15" s="8"/>
    </row>
    <row r="16" spans="1:7" x14ac:dyDescent="0.3">
      <c r="A16" s="1" t="s">
        <v>29</v>
      </c>
      <c r="B16" s="1" t="s">
        <v>33</v>
      </c>
      <c r="C16" s="7">
        <v>0.05</v>
      </c>
      <c r="D16" s="3">
        <f t="shared" si="0"/>
        <v>750</v>
      </c>
      <c r="E16" s="8"/>
      <c r="F16" s="8"/>
      <c r="G16" s="8"/>
    </row>
    <row r="17" spans="1:7" x14ac:dyDescent="0.3">
      <c r="A17" s="1" t="s">
        <v>30</v>
      </c>
      <c r="B17" s="1" t="s">
        <v>32</v>
      </c>
      <c r="C17" s="7">
        <v>0.1</v>
      </c>
      <c r="D17" s="3">
        <f t="shared" si="0"/>
        <v>1500</v>
      </c>
      <c r="E17" s="8"/>
      <c r="F17" s="8"/>
      <c r="G17" s="8"/>
    </row>
  </sheetData>
  <mergeCells count="2">
    <mergeCell ref="A10:D10"/>
    <mergeCell ref="A1:G2"/>
  </mergeCells>
  <pageMargins left="0.7" right="0.7" top="0.75" bottom="0.75" header="0.3" footer="0.3"/>
  <drawing r:id="rId1"/>
  <legacyDrawing r:id="rId2"/>
  <controls>
    <mc:AlternateContent xmlns:mc="http://schemas.openxmlformats.org/markup-compatibility/2006">
      <mc:Choice Requires="x14">
        <control shapeId="1025" r:id="rId3" name="IncreaseSuper">
          <controlPr defaultSize="0" autoLine="0" r:id="rId4">
            <anchor moveWithCells="1">
              <from>
                <xdr:col>6</xdr:col>
                <xdr:colOff>7620</xdr:colOff>
                <xdr:row>2</xdr:row>
                <xdr:rowOff>160020</xdr:rowOff>
              </from>
              <to>
                <xdr:col>8</xdr:col>
                <xdr:colOff>114300</xdr:colOff>
                <xdr:row>5</xdr:row>
                <xdr:rowOff>144780</xdr:rowOff>
              </to>
            </anchor>
          </controlPr>
        </control>
      </mc:Choice>
      <mc:Fallback>
        <control shapeId="1025" r:id="rId3" name="IncreaseSuper"/>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Overview</vt:lpstr>
      <vt:lpstr>Wealth</vt:lpstr>
      <vt:lpstr>Salary &amp; Spend</vt:lpstr>
      <vt:lpstr>Expenses</vt:lpstr>
      <vt:lpstr>Saving_Invest Forecaster</vt:lpstr>
      <vt:lpstr>Personal Investment</vt:lpstr>
      <vt:lpstr>US Transaction</vt:lpstr>
      <vt:lpstr>US Calculation</vt:lpstr>
      <vt:lpstr>US Portfolio</vt:lpstr>
      <vt:lpstr>Australian Transaction</vt:lpstr>
      <vt:lpstr>AUS Calculations</vt:lpstr>
      <vt:lpstr>AUS Portfolio</vt:lpstr>
      <vt:lpstr>Australian MTransaction</vt:lpstr>
      <vt:lpstr>AUS MCalculations</vt:lpstr>
      <vt:lpstr>AUS Margin Portfolio</vt:lpstr>
      <vt:lpstr>Securities List</vt:lpstr>
      <vt:lpstr>Joint Portfolio</vt:lpstr>
      <vt:lpstr>Super Investment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Charge</dc:creator>
  <cp:lastModifiedBy>James Charge</cp:lastModifiedBy>
  <dcterms:created xsi:type="dcterms:W3CDTF">2021-06-18T03:54:18Z</dcterms:created>
  <dcterms:modified xsi:type="dcterms:W3CDTF">2021-08-14T02:16:37Z</dcterms:modified>
</cp:coreProperties>
</file>